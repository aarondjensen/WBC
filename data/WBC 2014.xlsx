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cards" sheetId="1" r:id="rId4"/>
    <sheet state="visible" name="Scoreboard" sheetId="2" r:id="rId5"/>
    <sheet state="visible" name="WeekendLongBets" sheetId="3" r:id="rId6"/>
    <sheet state="visible" name="BettingScoreboard" sheetId="4" r:id="rId7"/>
    <sheet state="visible" name="BettingPayouts" sheetId="5" r:id="rId8"/>
  </sheets>
  <definedNames/>
  <calcPr/>
</workbook>
</file>

<file path=xl/sharedStrings.xml><?xml version="1.0" encoding="utf-8"?>
<sst xmlns="http://schemas.openxmlformats.org/spreadsheetml/2006/main" count="288" uniqueCount="56">
  <si>
    <t>BLACK LAKE</t>
  </si>
  <si>
    <t>Hole</t>
  </si>
  <si>
    <t>OUT</t>
  </si>
  <si>
    <t>IN</t>
  </si>
  <si>
    <t>TOTAL</t>
  </si>
  <si>
    <t>NET</t>
  </si>
  <si>
    <t>Player</t>
  </si>
  <si>
    <t>Handi</t>
  </si>
  <si>
    <t>SK</t>
  </si>
  <si>
    <t>CTP</t>
  </si>
  <si>
    <t>LO</t>
  </si>
  <si>
    <t>Par</t>
  </si>
  <si>
    <t>AJ</t>
  </si>
  <si>
    <t>Y</t>
  </si>
  <si>
    <t>BB</t>
  </si>
  <si>
    <t>BK</t>
  </si>
  <si>
    <t>EO</t>
  </si>
  <si>
    <t>MV</t>
  </si>
  <si>
    <t>SR</t>
  </si>
  <si>
    <t>SKIN</t>
  </si>
  <si>
    <t>THE TRIBUTE</t>
  </si>
  <si>
    <t>THE SIGNATURE</t>
  </si>
  <si>
    <t>y</t>
  </si>
  <si>
    <t>THREETOPS</t>
  </si>
  <si>
    <t>-</t>
  </si>
  <si>
    <t>THE MASTERPIECE</t>
  </si>
  <si>
    <t>MASTERPIECE</t>
  </si>
  <si>
    <t>Aaron Jensen</t>
  </si>
  <si>
    <t>Bob Bergeron</t>
  </si>
  <si>
    <t>Brian Kelly</t>
  </si>
  <si>
    <t>Eric Olson</t>
  </si>
  <si>
    <t>Matt Vigo</t>
  </si>
  <si>
    <t>Scott Rhoades</t>
  </si>
  <si>
    <t>Single Round Low</t>
  </si>
  <si>
    <t xml:space="preserve">Low Cumulative </t>
  </si>
  <si>
    <t>Totals</t>
  </si>
  <si>
    <t>Low Per Round</t>
  </si>
  <si>
    <t>Black Lake</t>
  </si>
  <si>
    <t>The Tribute</t>
  </si>
  <si>
    <t>The Signature</t>
  </si>
  <si>
    <t>ThreeTops</t>
  </si>
  <si>
    <t>The Masterpiece</t>
  </si>
  <si>
    <t># of Winners</t>
  </si>
  <si>
    <t>Cumulative Low</t>
  </si>
  <si>
    <t>Score</t>
  </si>
  <si>
    <t>Skins</t>
  </si>
  <si>
    <t>Skin $</t>
  </si>
  <si>
    <t>CTP $</t>
  </si>
  <si>
    <t>Name</t>
  </si>
  <si>
    <t>Skins Buyin</t>
  </si>
  <si>
    <t>CTP Buyin</t>
  </si>
  <si>
    <t>Per Round Low Buyin</t>
  </si>
  <si>
    <t>Per Round Low</t>
  </si>
  <si>
    <t>Single Round Low Buyin</t>
  </si>
  <si>
    <t>Cumulative Buyin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</si>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</sst>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_);[Red]\(&quot;$&quot;#,##0.00\)"/>
    <numFmt numFmtId="166" formatCode="&quot;$&quot;#,##0"/>
  </numFmts>
  <fonts count="8">
    <font>
      <sz val="11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/>
    <font>
      <sz val="10.0"/>
      <name val="Calibri"/>
    </font>
    <font>
      <b/>
      <sz val="10.0"/>
      <color rgb="FF000000"/>
      <name val="Calibri"/>
    </font>
    <font>
      <sz val="10.0"/>
      <color rgb="FF000000"/>
      <name val="Engravers mt"/>
    </font>
    <font>
      <b/>
      <sz val="10.0"/>
      <color rgb="FFFFFF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1" fillId="2" fontId="2" numFmtId="0" xfId="0" applyAlignment="1" applyBorder="1" applyFill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wrapText="0"/>
    </xf>
    <xf borderId="4" fillId="0" fontId="1" numFmtId="164" xfId="0" applyAlignment="1" applyBorder="1" applyFont="1" applyNumberFormat="1">
      <alignment horizontal="center" shrinkToFit="0" wrapText="0"/>
    </xf>
    <xf borderId="5" fillId="3" fontId="1" numFmtId="0" xfId="0" applyAlignment="1" applyBorder="1" applyFill="1" applyFont="1">
      <alignment horizontal="center" shrinkToFit="0" wrapText="0"/>
    </xf>
    <xf borderId="5" fillId="4" fontId="1" numFmtId="0" xfId="0" applyAlignment="1" applyBorder="1" applyFill="1" applyFont="1">
      <alignment horizontal="center" shrinkToFit="0" wrapText="0"/>
    </xf>
    <xf borderId="6" fillId="5" fontId="5" numFmtId="0" xfId="0" applyAlignment="1" applyBorder="1" applyFill="1" applyFont="1">
      <alignment horizontal="left" shrinkToFit="0" wrapText="0"/>
    </xf>
    <xf borderId="7" fillId="5" fontId="5" numFmtId="0" xfId="0" applyAlignment="1" applyBorder="1" applyFont="1">
      <alignment horizontal="left" shrinkToFit="0" wrapText="0"/>
    </xf>
    <xf borderId="8" fillId="5" fontId="5" numFmtId="0" xfId="0" applyAlignment="1" applyBorder="1" applyFont="1">
      <alignment horizontal="left" shrinkToFit="0" wrapText="0"/>
    </xf>
    <xf borderId="9" fillId="5" fontId="5" numFmtId="0" xfId="0" applyAlignment="1" applyBorder="1" applyFont="1">
      <alignment horizontal="left" shrinkToFit="0" wrapText="0"/>
    </xf>
    <xf borderId="4" fillId="3" fontId="1" numFmtId="0" xfId="0" applyAlignment="1" applyBorder="1" applyFont="1">
      <alignment horizontal="center" shrinkToFit="0" wrapText="0"/>
    </xf>
    <xf borderId="4" fillId="4" fontId="1" numFmtId="0" xfId="0" applyAlignment="1" applyBorder="1" applyFont="1">
      <alignment horizontal="center" shrinkToFit="0" wrapText="0"/>
    </xf>
    <xf borderId="10" fillId="6" fontId="1" numFmtId="0" xfId="0" applyAlignment="1" applyBorder="1" applyFill="1" applyFont="1">
      <alignment horizontal="center" shrinkToFit="0" wrapText="0"/>
    </xf>
    <xf borderId="4" fillId="6" fontId="1" numFmtId="0" xfId="0" applyAlignment="1" applyBorder="1" applyFont="1">
      <alignment horizontal="center" shrinkToFit="0" wrapText="0"/>
    </xf>
    <xf borderId="1" fillId="7" fontId="1" numFmtId="0" xfId="0" applyAlignment="1" applyBorder="1" applyFill="1" applyFont="1">
      <alignment horizontal="center" shrinkToFit="0" wrapText="0"/>
    </xf>
    <xf borderId="11" fillId="8" fontId="1" numFmtId="0" xfId="0" applyAlignment="1" applyBorder="1" applyFill="1" applyFont="1">
      <alignment horizontal="center" shrinkToFit="0" wrapText="0"/>
    </xf>
    <xf borderId="4" fillId="8" fontId="1" numFmtId="0" xfId="0" applyAlignment="1" applyBorder="1" applyFont="1">
      <alignment horizontal="center" shrinkToFit="0" wrapText="0"/>
    </xf>
    <xf borderId="1" fillId="8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center" shrinkToFit="0" wrapText="0"/>
    </xf>
    <xf borderId="12" fillId="8" fontId="1" numFmtId="0" xfId="0" applyAlignment="1" applyBorder="1" applyFont="1">
      <alignment horizontal="center" shrinkToFit="0" wrapText="0"/>
    </xf>
    <xf borderId="13" fillId="8" fontId="1" numFmtId="0" xfId="0" applyAlignment="1" applyBorder="1" applyFont="1">
      <alignment horizontal="center" shrinkToFit="0" wrapText="0"/>
    </xf>
    <xf borderId="14" fillId="8" fontId="1" numFmtId="0" xfId="0" applyAlignment="1" applyBorder="1" applyFont="1">
      <alignment horizontal="center" shrinkToFit="0" wrapText="0"/>
    </xf>
    <xf borderId="15" fillId="3" fontId="5" numFmtId="0" xfId="0" applyAlignment="1" applyBorder="1" applyFont="1">
      <alignment horizontal="center" shrinkToFit="0" wrapText="0"/>
    </xf>
    <xf borderId="5" fillId="3" fontId="5" numFmtId="0" xfId="0" applyAlignment="1" applyBorder="1" applyFont="1">
      <alignment horizontal="center" shrinkToFit="0" wrapText="0"/>
    </xf>
    <xf borderId="4" fillId="8" fontId="5" numFmtId="164" xfId="0" applyAlignment="1" applyBorder="1" applyFont="1" applyNumberFormat="1">
      <alignment horizontal="center" shrinkToFit="0" wrapText="0"/>
    </xf>
    <xf borderId="4" fillId="0" fontId="1" numFmtId="165" xfId="0" applyAlignment="1" applyBorder="1" applyFont="1" applyNumberFormat="1">
      <alignment horizontal="center" shrinkToFit="0" wrapText="0"/>
    </xf>
    <xf borderId="4" fillId="9" fontId="2" numFmtId="0" xfId="0" applyAlignment="1" applyBorder="1" applyFill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16" fillId="2" fontId="2" numFmtId="0" xfId="0" applyAlignment="1" applyBorder="1" applyFont="1">
      <alignment horizontal="center" shrinkToFit="0" wrapText="0"/>
    </xf>
    <xf borderId="10" fillId="2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66" xfId="0" applyAlignment="1" applyFont="1" applyNumberFormat="1">
      <alignment horizontal="center" shrinkToFit="0" wrapText="0"/>
    </xf>
    <xf borderId="4" fillId="8" fontId="5" numFmtId="0" xfId="0" applyAlignment="1" applyBorder="1" applyFont="1">
      <alignment horizontal="center" shrinkToFit="0" wrapText="0"/>
    </xf>
    <xf borderId="4" fillId="7" fontId="1" numFmtId="0" xfId="0" applyAlignment="1" applyBorder="1" applyFont="1">
      <alignment horizontal="center" shrinkToFit="0" wrapText="0"/>
    </xf>
    <xf borderId="4" fillId="7" fontId="5" numFmtId="0" xfId="0" applyAlignment="1" applyBorder="1" applyFont="1">
      <alignment horizontal="center" shrinkToFit="0" wrapText="0"/>
    </xf>
    <xf borderId="4" fillId="7" fontId="5" numFmtId="164" xfId="0" applyAlignment="1" applyBorder="1" applyFont="1" applyNumberFormat="1">
      <alignment horizontal="center" shrinkToFit="0" wrapText="0"/>
    </xf>
    <xf borderId="17" fillId="8" fontId="5" numFmtId="0" xfId="0" applyAlignment="1" applyBorder="1" applyFont="1">
      <alignment horizontal="center" shrinkToFit="0" vertical="center" wrapText="1"/>
    </xf>
    <xf borderId="18" fillId="8" fontId="5" numFmtId="0" xfId="0" applyAlignment="1" applyBorder="1" applyFont="1">
      <alignment horizontal="center" shrinkToFit="0" vertical="center" wrapText="1"/>
    </xf>
    <xf borderId="19" fillId="8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7" fontId="1" numFmtId="0" xfId="0" applyAlignment="1" applyBorder="1" applyFont="1">
      <alignment horizontal="center" shrinkToFit="0" wrapText="0"/>
    </xf>
    <xf borderId="12" fillId="8" fontId="5" numFmtId="0" xfId="0" applyAlignment="1" applyBorder="1" applyFont="1">
      <alignment horizontal="center" shrinkToFit="0" wrapText="0"/>
    </xf>
    <xf borderId="13" fillId="8" fontId="5" numFmtId="0" xfId="0" applyAlignment="1" applyBorder="1" applyFont="1">
      <alignment horizontal="center" shrinkToFit="0" wrapText="0"/>
    </xf>
    <xf borderId="14" fillId="8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7" fillId="8" fontId="5" numFmtId="0" xfId="0" applyAlignment="1" applyBorder="1" applyFont="1">
      <alignment horizontal="center" shrinkToFit="0" wrapText="0"/>
    </xf>
    <xf borderId="19" fillId="8" fontId="5" numFmtId="0" xfId="0" applyAlignment="1" applyBorder="1" applyFont="1">
      <alignment horizontal="center" shrinkToFit="0" wrapText="0"/>
    </xf>
    <xf borderId="4" fillId="7" fontId="1" numFmtId="164" xfId="0" applyAlignment="1" applyBorder="1" applyFont="1" applyNumberFormat="1">
      <alignment horizontal="center" shrinkToFit="0" wrapText="0"/>
    </xf>
    <xf borderId="1" fillId="7" fontId="1" numFmtId="164" xfId="0" applyAlignment="1" applyBorder="1" applyFont="1" applyNumberFormat="1">
      <alignment horizontal="center" shrinkToFit="0" wrapText="0"/>
    </xf>
    <xf borderId="4" fillId="8" fontId="1" numFmtId="164" xfId="0" applyAlignment="1" applyBorder="1" applyFont="1" applyNumberFormat="1">
      <alignment horizontal="center" shrinkToFit="0" wrapText="0"/>
    </xf>
    <xf borderId="1" fillId="8" fontId="1" numFmtId="164" xfId="0" applyAlignment="1" applyBorder="1" applyFont="1" applyNumberFormat="1">
      <alignment horizontal="center" shrinkToFit="0" wrapText="0"/>
    </xf>
    <xf borderId="13" fillId="8" fontId="1" numFmtId="164" xfId="0" applyAlignment="1" applyBorder="1" applyFont="1" applyNumberFormat="1">
      <alignment horizontal="center" shrinkToFit="0" wrapText="0"/>
    </xf>
    <xf borderId="14" fillId="8" fontId="1" numFmtId="164" xfId="0" applyAlignment="1" applyBorder="1" applyFont="1" applyNumberFormat="1">
      <alignment horizontal="center" shrinkToFit="0" wrapText="0"/>
    </xf>
    <xf borderId="17" fillId="10" fontId="7" numFmtId="0" xfId="0" applyAlignment="1" applyBorder="1" applyFill="1" applyFont="1">
      <alignment horizontal="center" shrinkToFit="0" vertical="center" wrapText="1"/>
    </xf>
    <xf borderId="18" fillId="10" fontId="7" numFmtId="0" xfId="0" applyAlignment="1" applyBorder="1" applyFont="1">
      <alignment horizontal="center" shrinkToFit="0" vertical="center" wrapText="1"/>
    </xf>
    <xf borderId="19" fillId="1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0"/>
    </xf>
    <xf borderId="4" fillId="11" fontId="1" numFmtId="0" xfId="0" applyAlignment="1" applyBorder="1" applyFill="1" applyFont="1">
      <alignment horizontal="center" shrinkToFit="0" wrapText="0"/>
    </xf>
    <xf borderId="4" fillId="11" fontId="1" numFmtId="164" xfId="0" applyAlignment="1" applyBorder="1" applyFont="1" applyNumberFormat="1">
      <alignment horizontal="center" shrinkToFit="0" wrapText="0"/>
    </xf>
    <xf borderId="1" fillId="11" fontId="1" numFmtId="164" xfId="0" applyAlignment="1" applyBorder="1" applyFont="1" applyNumberFormat="1">
      <alignment horizontal="center" shrinkToFit="0" wrapText="0"/>
    </xf>
    <xf borderId="11" fillId="11" fontId="1" numFmtId="0" xfId="0" applyAlignment="1" applyBorder="1" applyFont="1">
      <alignment shrinkToFit="0" wrapText="0"/>
    </xf>
    <xf borderId="12" fillId="8" fontId="1" numFmtId="0" xfId="0" applyAlignment="1" applyBorder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7F7F7F"/>
          <bgColor rgb="FF7F7F7F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19</xdr:row>
      <xdr:rowOff>38100</xdr:rowOff>
    </xdr:from>
    <xdr:ext cx="1800225" cy="4191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45</xdr:row>
      <xdr:rowOff>85725</xdr:rowOff>
    </xdr:from>
    <xdr:ext cx="1800225" cy="9715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59</xdr:row>
      <xdr:rowOff>57150</xdr:rowOff>
    </xdr:from>
    <xdr:ext cx="1809750" cy="9715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9525</xdr:rowOff>
    </xdr:from>
    <xdr:ext cx="1771650" cy="174307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76200</xdr:rowOff>
    </xdr:from>
    <xdr:ext cx="1876425" cy="9906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8.14"/>
    <col customWidth="1" min="2" max="25" width="5.0"/>
    <col customWidth="1" min="26" max="27" width="3.57"/>
    <col customWidth="1" min="28" max="29" width="7.43"/>
  </cols>
  <sheetData>
    <row r="1" ht="12.7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>
        <v>71.9</v>
      </c>
      <c r="AC1" s="5">
        <v>137.0</v>
      </c>
    </row>
    <row r="2" ht="12.75" customHeight="1">
      <c r="A2" s="1"/>
      <c r="B2" s="1"/>
      <c r="C2" s="1"/>
      <c r="D2" s="6">
        <v>10.0</v>
      </c>
      <c r="E2" s="6">
        <v>0.0</v>
      </c>
      <c r="F2" s="6">
        <v>0.0</v>
      </c>
      <c r="G2" s="7" t="s">
        <v>1</v>
      </c>
      <c r="H2" s="8">
        <v>1.0</v>
      </c>
      <c r="I2" s="8">
        <v>2.0</v>
      </c>
      <c r="J2" s="8">
        <v>3.0</v>
      </c>
      <c r="K2" s="8">
        <v>4.0</v>
      </c>
      <c r="L2" s="8">
        <v>5.0</v>
      </c>
      <c r="M2" s="8">
        <v>6.0</v>
      </c>
      <c r="N2" s="8">
        <v>7.0</v>
      </c>
      <c r="O2" s="8">
        <v>8.0</v>
      </c>
      <c r="P2" s="8">
        <v>9.0</v>
      </c>
      <c r="Q2" s="8">
        <v>10.0</v>
      </c>
      <c r="R2" s="8">
        <v>11.0</v>
      </c>
      <c r="S2" s="8">
        <v>12.0</v>
      </c>
      <c r="T2" s="8">
        <v>13.0</v>
      </c>
      <c r="U2" s="8">
        <v>14.0</v>
      </c>
      <c r="V2" s="8">
        <v>15.0</v>
      </c>
      <c r="W2" s="8">
        <v>16.0</v>
      </c>
      <c r="X2" s="8">
        <v>17.0</v>
      </c>
      <c r="Y2" s="8">
        <v>18.0</v>
      </c>
      <c r="Z2" s="8" t="s">
        <v>2</v>
      </c>
      <c r="AA2" s="8" t="s">
        <v>3</v>
      </c>
      <c r="AB2" s="8" t="s">
        <v>4</v>
      </c>
      <c r="AC2" s="8" t="s">
        <v>5</v>
      </c>
    </row>
    <row r="3" ht="12.75" customHeight="1">
      <c r="A3" s="1"/>
      <c r="B3" s="9" t="s">
        <v>6</v>
      </c>
      <c r="C3" s="10" t="s">
        <v>7</v>
      </c>
      <c r="D3" s="11" t="s">
        <v>8</v>
      </c>
      <c r="E3" s="12" t="s">
        <v>9</v>
      </c>
      <c r="F3" s="12" t="s">
        <v>10</v>
      </c>
      <c r="G3" s="13" t="s">
        <v>11</v>
      </c>
      <c r="H3" s="14">
        <v>5.0</v>
      </c>
      <c r="I3" s="14">
        <v>4.0</v>
      </c>
      <c r="J3" s="14">
        <v>4.0</v>
      </c>
      <c r="K3" s="14">
        <v>4.0</v>
      </c>
      <c r="L3" s="14">
        <v>3.0</v>
      </c>
      <c r="M3" s="14">
        <v>4.0</v>
      </c>
      <c r="N3" s="14">
        <v>4.0</v>
      </c>
      <c r="O3" s="14">
        <v>3.0</v>
      </c>
      <c r="P3" s="14">
        <v>5.0</v>
      </c>
      <c r="Q3" s="14">
        <v>4.0</v>
      </c>
      <c r="R3" s="14">
        <v>4.0</v>
      </c>
      <c r="S3" s="14">
        <v>3.0</v>
      </c>
      <c r="T3" s="14">
        <v>4.0</v>
      </c>
      <c r="U3" s="14">
        <v>3.0</v>
      </c>
      <c r="V3" s="14">
        <v>5.0</v>
      </c>
      <c r="W3" s="14">
        <v>4.0</v>
      </c>
      <c r="X3" s="14">
        <v>4.0</v>
      </c>
      <c r="Y3" s="14">
        <v>5.0</v>
      </c>
      <c r="Z3" s="14">
        <f t="shared" ref="Z3:Z9" si="1">SUM(H3:P3)</f>
        <v>36</v>
      </c>
      <c r="AA3" s="14">
        <f t="shared" ref="AA3:AA9" si="2">SUM(Q3:Y3)</f>
        <v>36</v>
      </c>
      <c r="AB3" s="14">
        <f t="shared" ref="AB3:AB9" si="3">Z3+AA3</f>
        <v>72</v>
      </c>
      <c r="AC3" s="14"/>
    </row>
    <row r="4" ht="12.75" customHeight="1">
      <c r="A4" s="1"/>
      <c r="B4" s="15" t="s">
        <v>12</v>
      </c>
      <c r="C4" s="16">
        <v>21.0</v>
      </c>
      <c r="D4" s="17" t="s">
        <v>13</v>
      </c>
      <c r="E4" s="17" t="s">
        <v>13</v>
      </c>
      <c r="F4" s="17" t="s">
        <v>13</v>
      </c>
      <c r="G4" s="13"/>
      <c r="H4" s="16">
        <v>6.0</v>
      </c>
      <c r="I4" s="16">
        <v>6.0</v>
      </c>
      <c r="J4" s="16">
        <v>7.0</v>
      </c>
      <c r="K4" s="16">
        <v>4.0</v>
      </c>
      <c r="L4" s="16">
        <v>3.0</v>
      </c>
      <c r="M4" s="16">
        <v>7.0</v>
      </c>
      <c r="N4" s="16">
        <v>5.0</v>
      </c>
      <c r="O4" s="16">
        <v>4.0</v>
      </c>
      <c r="P4" s="16">
        <v>6.0</v>
      </c>
      <c r="Q4" s="16">
        <v>6.0</v>
      </c>
      <c r="R4" s="16">
        <v>5.0</v>
      </c>
      <c r="S4" s="16">
        <v>5.0</v>
      </c>
      <c r="T4" s="16">
        <v>5.0</v>
      </c>
      <c r="U4" s="16">
        <v>7.0</v>
      </c>
      <c r="V4" s="16">
        <v>8.0</v>
      </c>
      <c r="W4" s="16">
        <v>5.0</v>
      </c>
      <c r="X4" s="16">
        <v>4.0</v>
      </c>
      <c r="Y4" s="16">
        <v>6.0</v>
      </c>
      <c r="Z4" s="16">
        <f t="shared" si="1"/>
        <v>48</v>
      </c>
      <c r="AA4" s="16">
        <f t="shared" si="2"/>
        <v>51</v>
      </c>
      <c r="AB4" s="16">
        <f t="shared" si="3"/>
        <v>99</v>
      </c>
      <c r="AC4" s="16">
        <f t="shared" ref="AC4:AC11" si="4">IF(AB4&gt;0,AB4-C4,"")</f>
        <v>78</v>
      </c>
    </row>
    <row r="5" ht="12.75" customHeight="1">
      <c r="A5" s="1"/>
      <c r="B5" s="18" t="s">
        <v>14</v>
      </c>
      <c r="C5" s="19">
        <v>18.0</v>
      </c>
      <c r="D5" s="20" t="s">
        <v>13</v>
      </c>
      <c r="E5" s="20" t="s">
        <v>13</v>
      </c>
      <c r="F5" s="20" t="s">
        <v>13</v>
      </c>
      <c r="G5" s="13"/>
      <c r="H5" s="21">
        <v>7.0</v>
      </c>
      <c r="I5" s="21">
        <v>6.0</v>
      </c>
      <c r="J5" s="21">
        <v>3.0</v>
      </c>
      <c r="K5" s="21">
        <v>5.0</v>
      </c>
      <c r="L5" s="21">
        <v>4.0</v>
      </c>
      <c r="M5" s="21">
        <v>4.0</v>
      </c>
      <c r="N5" s="21">
        <v>6.0</v>
      </c>
      <c r="O5" s="21">
        <v>4.0</v>
      </c>
      <c r="P5" s="21">
        <v>7.0</v>
      </c>
      <c r="Q5" s="21">
        <v>6.0</v>
      </c>
      <c r="R5" s="21">
        <v>4.0</v>
      </c>
      <c r="S5" s="21">
        <v>3.0</v>
      </c>
      <c r="T5" s="21">
        <v>4.0</v>
      </c>
      <c r="U5" s="21">
        <v>4.0</v>
      </c>
      <c r="V5" s="21">
        <v>6.0</v>
      </c>
      <c r="W5" s="21">
        <v>6.0</v>
      </c>
      <c r="X5" s="21">
        <v>5.0</v>
      </c>
      <c r="Y5" s="21">
        <v>5.0</v>
      </c>
      <c r="Z5" s="21">
        <f t="shared" si="1"/>
        <v>46</v>
      </c>
      <c r="AA5" s="21">
        <f t="shared" si="2"/>
        <v>43</v>
      </c>
      <c r="AB5" s="21">
        <f t="shared" si="3"/>
        <v>89</v>
      </c>
      <c r="AC5" s="16">
        <f t="shared" si="4"/>
        <v>71</v>
      </c>
    </row>
    <row r="6" ht="12.75" customHeight="1">
      <c r="A6" s="1"/>
      <c r="B6" s="15" t="s">
        <v>15</v>
      </c>
      <c r="C6" s="16">
        <v>16.0</v>
      </c>
      <c r="D6" s="17" t="s">
        <v>13</v>
      </c>
      <c r="E6" s="17" t="s">
        <v>13</v>
      </c>
      <c r="F6" s="17" t="s">
        <v>13</v>
      </c>
      <c r="G6" s="13"/>
      <c r="H6" s="16">
        <v>5.0</v>
      </c>
      <c r="I6" s="16">
        <v>5.0</v>
      </c>
      <c r="J6" s="16">
        <v>5.0</v>
      </c>
      <c r="K6" s="16">
        <v>6.0</v>
      </c>
      <c r="L6" s="16">
        <v>4.0</v>
      </c>
      <c r="M6" s="16">
        <v>6.0</v>
      </c>
      <c r="N6" s="16">
        <v>5.0</v>
      </c>
      <c r="O6" s="16">
        <v>4.0</v>
      </c>
      <c r="P6" s="16">
        <v>7.0</v>
      </c>
      <c r="Q6" s="16">
        <v>4.0</v>
      </c>
      <c r="R6" s="16">
        <v>4.0</v>
      </c>
      <c r="S6" s="16">
        <v>3.0</v>
      </c>
      <c r="T6" s="16">
        <v>6.0</v>
      </c>
      <c r="U6" s="16">
        <v>5.0</v>
      </c>
      <c r="V6" s="16">
        <v>6.0</v>
      </c>
      <c r="W6" s="16">
        <v>5.0</v>
      </c>
      <c r="X6" s="16">
        <v>6.0</v>
      </c>
      <c r="Y6" s="16">
        <v>5.0</v>
      </c>
      <c r="Z6" s="16">
        <f t="shared" si="1"/>
        <v>47</v>
      </c>
      <c r="AA6" s="16">
        <f t="shared" si="2"/>
        <v>44</v>
      </c>
      <c r="AB6" s="16">
        <f t="shared" si="3"/>
        <v>91</v>
      </c>
      <c r="AC6" s="16">
        <f t="shared" si="4"/>
        <v>75</v>
      </c>
    </row>
    <row r="7" ht="12.75" customHeight="1">
      <c r="A7" s="1"/>
      <c r="B7" s="18" t="s">
        <v>16</v>
      </c>
      <c r="C7" s="19">
        <v>23.0</v>
      </c>
      <c r="D7" s="20" t="s">
        <v>13</v>
      </c>
      <c r="E7" s="20" t="s">
        <v>13</v>
      </c>
      <c r="F7" s="20" t="s">
        <v>13</v>
      </c>
      <c r="G7" s="13"/>
      <c r="H7" s="21">
        <v>5.0</v>
      </c>
      <c r="I7" s="21">
        <v>5.0</v>
      </c>
      <c r="J7" s="21">
        <v>6.0</v>
      </c>
      <c r="K7" s="21">
        <v>5.0</v>
      </c>
      <c r="L7" s="21">
        <v>4.0</v>
      </c>
      <c r="M7" s="21">
        <v>5.0</v>
      </c>
      <c r="N7" s="21">
        <v>5.0</v>
      </c>
      <c r="O7" s="21">
        <v>2.0</v>
      </c>
      <c r="P7" s="21">
        <v>6.0</v>
      </c>
      <c r="Q7" s="21">
        <v>6.0</v>
      </c>
      <c r="R7" s="21">
        <v>6.0</v>
      </c>
      <c r="S7" s="21">
        <v>7.0</v>
      </c>
      <c r="T7" s="21">
        <v>6.0</v>
      </c>
      <c r="U7" s="21">
        <v>3.0</v>
      </c>
      <c r="V7" s="21">
        <v>6.0</v>
      </c>
      <c r="W7" s="21">
        <v>4.0</v>
      </c>
      <c r="X7" s="21">
        <v>6.0</v>
      </c>
      <c r="Y7" s="21">
        <v>7.0</v>
      </c>
      <c r="Z7" s="21">
        <f t="shared" si="1"/>
        <v>43</v>
      </c>
      <c r="AA7" s="21">
        <f t="shared" si="2"/>
        <v>51</v>
      </c>
      <c r="AB7" s="21">
        <f t="shared" si="3"/>
        <v>94</v>
      </c>
      <c r="AC7" s="16">
        <f t="shared" si="4"/>
        <v>71</v>
      </c>
    </row>
    <row r="8" ht="12.75" customHeight="1">
      <c r="A8" s="1"/>
      <c r="B8" s="15" t="s">
        <v>17</v>
      </c>
      <c r="C8" s="16">
        <v>18.0</v>
      </c>
      <c r="D8" s="17" t="s">
        <v>13</v>
      </c>
      <c r="E8" s="17" t="s">
        <v>13</v>
      </c>
      <c r="F8" s="17" t="s">
        <v>13</v>
      </c>
      <c r="G8" s="13"/>
      <c r="H8" s="16">
        <v>6.0</v>
      </c>
      <c r="I8" s="16">
        <v>6.0</v>
      </c>
      <c r="J8" s="16">
        <v>6.0</v>
      </c>
      <c r="K8" s="16">
        <v>7.0</v>
      </c>
      <c r="L8" s="16">
        <v>4.0</v>
      </c>
      <c r="M8" s="16">
        <v>4.0</v>
      </c>
      <c r="N8" s="16">
        <v>5.0</v>
      </c>
      <c r="O8" s="16">
        <v>5.0</v>
      </c>
      <c r="P8" s="16">
        <v>5.0</v>
      </c>
      <c r="Q8" s="16">
        <v>7.0</v>
      </c>
      <c r="R8" s="16">
        <v>3.0</v>
      </c>
      <c r="S8" s="16">
        <v>4.0</v>
      </c>
      <c r="T8" s="16">
        <v>4.0</v>
      </c>
      <c r="U8" s="16">
        <v>3.0</v>
      </c>
      <c r="V8" s="16">
        <v>7.0</v>
      </c>
      <c r="W8" s="16">
        <v>6.0</v>
      </c>
      <c r="X8" s="16">
        <v>6.0</v>
      </c>
      <c r="Y8" s="16">
        <v>7.0</v>
      </c>
      <c r="Z8" s="16">
        <f t="shared" si="1"/>
        <v>48</v>
      </c>
      <c r="AA8" s="16">
        <f t="shared" si="2"/>
        <v>47</v>
      </c>
      <c r="AB8" s="16">
        <f t="shared" si="3"/>
        <v>95</v>
      </c>
      <c r="AC8" s="16">
        <f t="shared" si="4"/>
        <v>77</v>
      </c>
    </row>
    <row r="9" ht="12.75" customHeight="1">
      <c r="A9" s="1"/>
      <c r="B9" s="18" t="s">
        <v>18</v>
      </c>
      <c r="C9" s="19">
        <v>11.0</v>
      </c>
      <c r="D9" s="20" t="s">
        <v>13</v>
      </c>
      <c r="E9" s="20" t="s">
        <v>13</v>
      </c>
      <c r="F9" s="20" t="s">
        <v>13</v>
      </c>
      <c r="G9" s="13"/>
      <c r="H9" s="21">
        <v>6.0</v>
      </c>
      <c r="I9" s="21">
        <v>6.0</v>
      </c>
      <c r="J9" s="21">
        <v>5.0</v>
      </c>
      <c r="K9" s="21">
        <v>5.0</v>
      </c>
      <c r="L9" s="21">
        <v>3.0</v>
      </c>
      <c r="M9" s="21">
        <v>7.0</v>
      </c>
      <c r="N9" s="21">
        <v>4.0</v>
      </c>
      <c r="O9" s="21">
        <v>4.0</v>
      </c>
      <c r="P9" s="21">
        <v>5.0</v>
      </c>
      <c r="Q9" s="21">
        <v>5.0</v>
      </c>
      <c r="R9" s="21">
        <v>6.0</v>
      </c>
      <c r="S9" s="21">
        <v>3.0</v>
      </c>
      <c r="T9" s="21">
        <v>5.0</v>
      </c>
      <c r="U9" s="21">
        <v>4.0</v>
      </c>
      <c r="V9" s="21">
        <v>6.0</v>
      </c>
      <c r="W9" s="21">
        <v>5.0</v>
      </c>
      <c r="X9" s="21">
        <v>4.0</v>
      </c>
      <c r="Y9" s="21">
        <v>5.0</v>
      </c>
      <c r="Z9" s="21">
        <f t="shared" si="1"/>
        <v>45</v>
      </c>
      <c r="AA9" s="21">
        <f t="shared" si="2"/>
        <v>43</v>
      </c>
      <c r="AB9" s="21">
        <f t="shared" si="3"/>
        <v>88</v>
      </c>
      <c r="AC9" s="16">
        <f t="shared" si="4"/>
        <v>77</v>
      </c>
    </row>
    <row r="10" ht="12.75" customHeight="1">
      <c r="A10" s="1"/>
      <c r="B10" s="15"/>
      <c r="C10" s="16"/>
      <c r="D10" s="17"/>
      <c r="E10" s="17"/>
      <c r="F10" s="17"/>
      <c r="G10" s="13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 t="str">
        <f t="shared" si="4"/>
        <v/>
      </c>
    </row>
    <row r="11" ht="12.75" customHeight="1">
      <c r="A11" s="1"/>
      <c r="B11" s="22"/>
      <c r="C11" s="23"/>
      <c r="D11" s="24"/>
      <c r="E11" s="24"/>
      <c r="F11" s="24"/>
      <c r="G11" s="13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6" t="str">
        <f t="shared" si="4"/>
        <v/>
      </c>
    </row>
    <row r="12" ht="12.75" customHeight="1">
      <c r="A12" s="1"/>
      <c r="B12" s="25"/>
      <c r="C12" s="26"/>
      <c r="D12" s="27">
        <f>COUNTIF(Scorecards!$D$4:$D$11, "Y")*D2</f>
        <v>60</v>
      </c>
      <c r="E12" s="27">
        <f>COUNTIF(Scorecards!$E$4:$E$11, "Y")*E2</f>
        <v>0</v>
      </c>
      <c r="F12" s="27">
        <f>COUNTIF(Scorecards!$F$4:$F$11, "Y")*F2</f>
        <v>0</v>
      </c>
      <c r="G12" s="16" t="s">
        <v>19</v>
      </c>
      <c r="H12" s="21" t="str">
        <f t="array" ref="H12">IF(OR(SUM(IF(IF(Scorecards!$D$4:$D$11="Y", H4:H11, 10)=MIN(IF(Scorecards!$D$4:$D$11="Y", H4:H11, 10)), 1, 0)) &gt; 1, MIN(IF(Scorecards!$D$4:$D$11="Y", H4:H11, 10)) &gt; H3), "", INDEX(Scorecards!$B$4:$B$11,MATCH(MIN(IF(Scorecards!$D$4:$D$11="Y",H4:H11,10)),IF(Scorecards!$D$4:$D$11="Y",H4:H11,10),0)))</f>
        <v/>
      </c>
      <c r="I12" s="21" t="str">
        <f t="array" ref="I12">IF(OR(SUM(IF(IF(Scorecards!$D$4:$D$11="Y", I4:I11, 10)=MIN(IF(Scorecards!$D$4:$D$11="Y", I4:I11, 10)), 1, 0)) &gt; 1, MIN(IF(Scorecards!$D$4:$D$11="Y", I4:I11, 10)) &gt; I3), "", INDEX(Scorecards!$B$4:$B$11,MATCH(MIN(IF(Scorecards!$D$4:$D$11="Y",I4:I11,10)),IF(Scorecards!$D$4:$D$11="Y",I4:I11,10),0)))</f>
        <v/>
      </c>
      <c r="J12" s="21" t="str">
        <f t="array" ref="J12">IF(OR(SUM(IF(IF(Scorecards!$D$4:$D$11="Y", J4:J11, 10)=MIN(IF(Scorecards!$D$4:$D$11="Y", J4:J11, 10)), 1, 0)) &gt; 1, MIN(IF(Scorecards!$D$4:$D$11="Y", J4:J11, 10)) &gt; J3), "", INDEX(Scorecards!$B$4:$B$11,MATCH(MIN(IF(Scorecards!$D$4:$D$11="Y",J4:J11,10)),IF(Scorecards!$D$4:$D$11="Y",J4:J11,10),0)))</f>
        <v>BB</v>
      </c>
      <c r="K12" s="21" t="str">
        <f t="array" ref="K12">IF(OR(SUM(IF(IF(Scorecards!$D$4:$D$11="Y", K4:K11, 10)=MIN(IF(Scorecards!$D$4:$D$11="Y", K4:K11, 10)), 1, 0)) &gt; 1, MIN(IF(Scorecards!$D$4:$D$11="Y", K4:K11, 10)) &gt; K3), "", INDEX(Scorecards!$B$4:$B$11,MATCH(MIN(IF(Scorecards!$D$4:$D$11="Y",K4:K11,10)),IF(Scorecards!$D$4:$D$11="Y",K4:K11,10),0)))</f>
        <v>AJ</v>
      </c>
      <c r="L12" s="21" t="str">
        <f t="array" ref="L12">IF(OR(SUM(IF(IF(Scorecards!$D$4:$D$11="Y", L4:L11, 10)=MIN(IF(Scorecards!$D$4:$D$11="Y", L4:L11, 10)), 1, 0)) &gt; 1, MIN(IF(Scorecards!$D$4:$D$11="Y", L4:L11, 10)) &gt; L3), "", INDEX(Scorecards!$B$4:$B$11,MATCH(MIN(IF(Scorecards!$D$4:$D$11="Y",L4:L11,10)),IF(Scorecards!$D$4:$D$11="Y",L4:L11,10),0)))</f>
        <v/>
      </c>
      <c r="M12" s="21" t="str">
        <f t="array" ref="M12">IF(OR(SUM(IF(IF(Scorecards!$D$4:$D$11="Y", M4:M11, 10)=MIN(IF(Scorecards!$D$4:$D$11="Y", M4:M11, 10)), 1, 0)) &gt; 1, MIN(IF(Scorecards!$D$4:$D$11="Y", M4:M11, 10)) &gt; M3), "", INDEX(Scorecards!$B$4:$B$11,MATCH(MIN(IF(Scorecards!$D$4:$D$11="Y",M4:M11,10)),IF(Scorecards!$D$4:$D$11="Y",M4:M11,10),0)))</f>
        <v/>
      </c>
      <c r="N12" s="21" t="str">
        <f t="array" ref="N12">IF(OR(SUM(IF(IF(Scorecards!$D$4:$D$11="Y", N4:N11, 10)=MIN(IF(Scorecards!$D$4:$D$11="Y", N4:N11, 10)), 1, 0)) &gt; 1, MIN(IF(Scorecards!$D$4:$D$11="Y", N4:N11, 10)) &gt; N3), "", INDEX(Scorecards!$B$4:$B$11,MATCH(MIN(IF(Scorecards!$D$4:$D$11="Y",N4:N11,10)),IF(Scorecards!$D$4:$D$11="Y",N4:N11,10),0)))</f>
        <v>SR</v>
      </c>
      <c r="O12" s="21" t="str">
        <f t="array" ref="O12">IF(OR(SUM(IF(IF(Scorecards!$D$4:$D$11="Y", O4:O11, 10)=MIN(IF(Scorecards!$D$4:$D$11="Y", O4:O11, 10)), 1, 0)) &gt; 1, MIN(IF(Scorecards!$D$4:$D$11="Y", O4:O11, 10)) &gt; O3), "", INDEX(Scorecards!$B$4:$B$11,MATCH(MIN(IF(Scorecards!$D$4:$D$11="Y",O4:O11,10)),IF(Scorecards!$D$4:$D$11="Y",O4:O11,10),0)))</f>
        <v>EO</v>
      </c>
      <c r="P12" s="21" t="str">
        <f t="array" ref="P12">IF(OR(SUM(IF(IF(Scorecards!$D$4:$D$11="Y", P4:P11, 10)=MIN(IF(Scorecards!$D$4:$D$11="Y", P4:P11, 10)), 1, 0)) &gt; 1, MIN(IF(Scorecards!$D$4:$D$11="Y", P4:P11, 10)) &gt; P3), "", INDEX(Scorecards!$B$4:$B$11,MATCH(MIN(IF(Scorecards!$D$4:$D$11="Y",P4:P11,10)),IF(Scorecards!$D$4:$D$11="Y",P4:P11,10),0)))</f>
        <v/>
      </c>
      <c r="Q12" s="21" t="str">
        <f t="array" ref="Q12">IF(OR(SUM(IF(IF(Scorecards!$D$4:$D$11="Y", Q4:Q11, 10)=MIN(IF(Scorecards!$D$4:$D$11="Y", Q4:Q11, 10)), 1, 0)) &gt; 1, MIN(IF(Scorecards!$D$4:$D$11="Y", Q4:Q11, 10)) &gt; Q3), "", INDEX(Scorecards!$B$4:$B$11,MATCH(MIN(IF(Scorecards!$D$4:$D$11="Y",Q4:Q11,10)),IF(Scorecards!$D$4:$D$11="Y",Q4:Q11,10),0)))</f>
        <v>BK</v>
      </c>
      <c r="R12" s="21" t="str">
        <f t="array" ref="R12">IF(OR(SUM(IF(IF(Scorecards!$D$4:$D$11="Y", R4:R11, 10)=MIN(IF(Scorecards!$D$4:$D$11="Y", R4:R11, 10)), 1, 0)) &gt; 1, MIN(IF(Scorecards!$D$4:$D$11="Y", R4:R11, 10)) &gt; R3), "", INDEX(Scorecards!$B$4:$B$11,MATCH(MIN(IF(Scorecards!$D$4:$D$11="Y",R4:R11,10)),IF(Scorecards!$D$4:$D$11="Y",R4:R11,10),0)))</f>
        <v>MV</v>
      </c>
      <c r="S12" s="21" t="str">
        <f t="array" ref="S12">IF(OR(SUM(IF(IF(Scorecards!$D$4:$D$11="Y", S4:S11, 10)=MIN(IF(Scorecards!$D$4:$D$11="Y", S4:S11, 10)), 1, 0)) &gt; 1, MIN(IF(Scorecards!$D$4:$D$11="Y", S4:S11, 10)) &gt; S3), "", INDEX(Scorecards!$B$4:$B$11,MATCH(MIN(IF(Scorecards!$D$4:$D$11="Y",S4:S11,10)),IF(Scorecards!$D$4:$D$11="Y",S4:S11,10),0)))</f>
        <v/>
      </c>
      <c r="T12" s="21" t="str">
        <f t="array" ref="T12">IF(OR(SUM(IF(IF(Scorecards!$D$4:$D$11="Y", T4:T11, 10)=MIN(IF(Scorecards!$D$4:$D$11="Y", T4:T11, 10)), 1, 0)) &gt; 1, MIN(IF(Scorecards!$D$4:$D$11="Y", T4:T11, 10)) &gt; T3), "", INDEX(Scorecards!$B$4:$B$11,MATCH(MIN(IF(Scorecards!$D$4:$D$11="Y",T4:T11,10)),IF(Scorecards!$D$4:$D$11="Y",T4:T11,10),0)))</f>
        <v/>
      </c>
      <c r="U12" s="21" t="str">
        <f t="array" ref="U12">IF(OR(SUM(IF(IF(Scorecards!$D$4:$D$11="Y", U4:U11, 10)=MIN(IF(Scorecards!$D$4:$D$11="Y", U4:U11, 10)), 1, 0)) &gt; 1, MIN(IF(Scorecards!$D$4:$D$11="Y", U4:U11, 10)) &gt; U3), "", INDEX(Scorecards!$B$4:$B$11,MATCH(MIN(IF(Scorecards!$D$4:$D$11="Y",U4:U11,10)),IF(Scorecards!$D$4:$D$11="Y",U4:U11,10),0)))</f>
        <v/>
      </c>
      <c r="V12" s="21" t="str">
        <f t="array" ref="V12">IF(OR(SUM(IF(IF(Scorecards!$D$4:$D$11="Y", V4:V11, 10)=MIN(IF(Scorecards!$D$4:$D$11="Y", V4:V11, 10)), 1, 0)) &gt; 1, MIN(IF(Scorecards!$D$4:$D$11="Y", V4:V11, 10)) &gt; V3), "", INDEX(Scorecards!$B$4:$B$11,MATCH(MIN(IF(Scorecards!$D$4:$D$11="Y",V4:V11,10)),IF(Scorecards!$D$4:$D$11="Y",V4:V11,10),0)))</f>
        <v/>
      </c>
      <c r="W12" s="21" t="str">
        <f t="array" ref="W12">IF(OR(SUM(IF(IF(Scorecards!$D$4:$D$11="Y", W4:W11, 10)=MIN(IF(Scorecards!$D$4:$D$11="Y", W4:W11, 10)), 1, 0)) &gt; 1, MIN(IF(Scorecards!$D$4:$D$11="Y", W4:W11, 10)) &gt; W3), "", INDEX(Scorecards!$B$4:$B$11,MATCH(MIN(IF(Scorecards!$D$4:$D$11="Y",W4:W11,10)),IF(Scorecards!$D$4:$D$11="Y",W4:W11,10),0)))</f>
        <v>EO</v>
      </c>
      <c r="X12" s="21" t="str">
        <f t="array" ref="X12">IF(OR(SUM(IF(IF(Scorecards!$D$4:$D$11="Y", X4:X11, 10)=MIN(IF(Scorecards!$D$4:$D$11="Y", X4:X11, 10)), 1, 0)) &gt; 1, MIN(IF(Scorecards!$D$4:$D$11="Y", X4:X11, 10)) &gt; X3), "", INDEX(Scorecards!$B$4:$B$11,MATCH(MIN(IF(Scorecards!$D$4:$D$11="Y",X4:X11,10)),IF(Scorecards!$D$4:$D$11="Y",X4:X11,10),0)))</f>
        <v/>
      </c>
      <c r="Y12" s="21" t="str">
        <f t="array" ref="Y12">IF(OR(SUM(IF(IF(Scorecards!$D$4:$D$11="Y", Y4:Y11, 10)=MIN(IF(Scorecards!$D$4:$D$11="Y", Y4:Y11, 10)), 1, 0)) &gt; 1, MIN(IF(Scorecards!$D$4:$D$11="Y", Y4:Y11, 10)) &gt; Y3), "", INDEX(Scorecards!$B$4:$B$11,MATCH(MIN(IF(Scorecards!$D$4:$D$11="Y",Y4:Y11,10)),IF(Scorecards!$D$4:$D$11="Y",Y4:Y11,10),0)))</f>
        <v/>
      </c>
      <c r="Z12" s="13"/>
      <c r="AA12" s="13"/>
      <c r="AB12" s="21">
        <f>18-COUNTBLANK(H12:Y12)</f>
        <v>7</v>
      </c>
      <c r="AC12" s="28">
        <f>IF(AB12 = 0, 0, D12/AB12)</f>
        <v>8.571428571</v>
      </c>
    </row>
    <row r="13" ht="12.75" customHeight="1">
      <c r="A13" s="1"/>
      <c r="B13" s="1"/>
      <c r="C13" s="1"/>
      <c r="D13" s="1"/>
      <c r="E13" s="1"/>
      <c r="F13" s="1"/>
      <c r="G13" s="16" t="s">
        <v>9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"/>
      <c r="AA13" s="1"/>
      <c r="AB13" s="21">
        <f>COUNTA(I13,L13,U13,X13)</f>
        <v>0</v>
      </c>
      <c r="AC13" s="28">
        <f>IF(AB13 = 0, 0, E12/AB13)</f>
        <v>0</v>
      </c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1"/>
      <c r="B15" s="1"/>
      <c r="C15" s="1"/>
      <c r="D15" s="1"/>
      <c r="E15" s="1"/>
      <c r="F15" s="1"/>
      <c r="G15" s="2" t="s">
        <v>20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  <c r="AB15" s="5">
        <v>70.0</v>
      </c>
      <c r="AC15" s="5">
        <v>125.0</v>
      </c>
    </row>
    <row r="16" ht="12.75" customHeight="1">
      <c r="A16" s="1"/>
      <c r="B16" s="1"/>
      <c r="C16" s="1"/>
      <c r="D16" s="6">
        <v>10.0</v>
      </c>
      <c r="E16" s="6">
        <v>0.0</v>
      </c>
      <c r="F16" s="6">
        <v>0.0</v>
      </c>
      <c r="G16" s="7" t="s">
        <v>1</v>
      </c>
      <c r="H16" s="8">
        <v>1.0</v>
      </c>
      <c r="I16" s="8">
        <v>2.0</v>
      </c>
      <c r="J16" s="8">
        <v>3.0</v>
      </c>
      <c r="K16" s="8">
        <v>4.0</v>
      </c>
      <c r="L16" s="8">
        <v>5.0</v>
      </c>
      <c r="M16" s="8">
        <v>6.0</v>
      </c>
      <c r="N16" s="8">
        <v>7.0</v>
      </c>
      <c r="O16" s="8">
        <v>8.0</v>
      </c>
      <c r="P16" s="8">
        <v>9.0</v>
      </c>
      <c r="Q16" s="8">
        <v>10.0</v>
      </c>
      <c r="R16" s="8">
        <v>11.0</v>
      </c>
      <c r="S16" s="8">
        <v>12.0</v>
      </c>
      <c r="T16" s="8">
        <v>13.0</v>
      </c>
      <c r="U16" s="8">
        <v>14.0</v>
      </c>
      <c r="V16" s="8">
        <v>15.0</v>
      </c>
      <c r="W16" s="8">
        <v>16.0</v>
      </c>
      <c r="X16" s="8">
        <v>17.0</v>
      </c>
      <c r="Y16" s="8">
        <v>18.0</v>
      </c>
      <c r="Z16" s="8" t="s">
        <v>2</v>
      </c>
      <c r="AA16" s="8" t="s">
        <v>3</v>
      </c>
      <c r="AB16" s="8" t="s">
        <v>4</v>
      </c>
      <c r="AC16" s="8" t="s">
        <v>5</v>
      </c>
    </row>
    <row r="17" ht="12.75" customHeight="1">
      <c r="A17" s="1"/>
      <c r="B17" s="9" t="s">
        <v>6</v>
      </c>
      <c r="C17" s="10" t="s">
        <v>7</v>
      </c>
      <c r="D17" s="11" t="s">
        <v>8</v>
      </c>
      <c r="E17" s="12" t="s">
        <v>9</v>
      </c>
      <c r="F17" s="12" t="s">
        <v>10</v>
      </c>
      <c r="G17" s="13" t="s">
        <v>11</v>
      </c>
      <c r="H17" s="14">
        <v>4.0</v>
      </c>
      <c r="I17" s="14">
        <v>4.0</v>
      </c>
      <c r="J17" s="14">
        <v>4.0</v>
      </c>
      <c r="K17" s="14">
        <v>5.0</v>
      </c>
      <c r="L17" s="14">
        <v>4.0</v>
      </c>
      <c r="M17" s="14">
        <v>3.0</v>
      </c>
      <c r="N17" s="14">
        <v>5.0</v>
      </c>
      <c r="O17" s="14">
        <v>4.0</v>
      </c>
      <c r="P17" s="14">
        <v>3.0</v>
      </c>
      <c r="Q17" s="14">
        <v>4.0</v>
      </c>
      <c r="R17" s="14">
        <v>5.0</v>
      </c>
      <c r="S17" s="14">
        <v>4.0</v>
      </c>
      <c r="T17" s="14">
        <v>3.0</v>
      </c>
      <c r="U17" s="14">
        <v>4.0</v>
      </c>
      <c r="V17" s="14">
        <v>4.0</v>
      </c>
      <c r="W17" s="14">
        <v>5.0</v>
      </c>
      <c r="X17" s="14">
        <v>3.0</v>
      </c>
      <c r="Y17" s="14">
        <v>4.0</v>
      </c>
      <c r="Z17" s="14">
        <f t="shared" ref="Z17:Z23" si="5">SUM(H17:P17)</f>
        <v>36</v>
      </c>
      <c r="AA17" s="14">
        <f t="shared" ref="AA17:AA23" si="6">SUM(Q17:Y17)</f>
        <v>36</v>
      </c>
      <c r="AB17" s="14">
        <f t="shared" ref="AB17:AB23" si="7">Z17+AA17</f>
        <v>72</v>
      </c>
      <c r="AC17" s="14"/>
    </row>
    <row r="18" ht="12.75" customHeight="1">
      <c r="A18" s="1"/>
      <c r="B18" s="15" t="s">
        <v>12</v>
      </c>
      <c r="C18" s="16">
        <v>21.0</v>
      </c>
      <c r="D18" s="17" t="s">
        <v>13</v>
      </c>
      <c r="E18" s="17" t="s">
        <v>13</v>
      </c>
      <c r="F18" s="17" t="s">
        <v>13</v>
      </c>
      <c r="G18" s="13"/>
      <c r="H18" s="16">
        <v>5.0</v>
      </c>
      <c r="I18" s="16">
        <v>7.0</v>
      </c>
      <c r="J18" s="16">
        <v>4.0</v>
      </c>
      <c r="K18" s="16">
        <v>8.0</v>
      </c>
      <c r="L18" s="16">
        <v>5.0</v>
      </c>
      <c r="M18" s="16">
        <v>3.0</v>
      </c>
      <c r="N18" s="16">
        <v>7.0</v>
      </c>
      <c r="O18" s="16">
        <v>6.0</v>
      </c>
      <c r="P18" s="16">
        <v>4.0</v>
      </c>
      <c r="Q18" s="16">
        <v>5.0</v>
      </c>
      <c r="R18" s="16">
        <v>9.0</v>
      </c>
      <c r="S18" s="16">
        <v>5.0</v>
      </c>
      <c r="T18" s="16">
        <v>4.0</v>
      </c>
      <c r="U18" s="16">
        <v>4.0</v>
      </c>
      <c r="V18" s="16">
        <v>4.0</v>
      </c>
      <c r="W18" s="16">
        <v>8.0</v>
      </c>
      <c r="X18" s="16">
        <v>4.0</v>
      </c>
      <c r="Y18" s="16">
        <v>6.0</v>
      </c>
      <c r="Z18" s="16">
        <f t="shared" si="5"/>
        <v>49</v>
      </c>
      <c r="AA18" s="16">
        <f t="shared" si="6"/>
        <v>49</v>
      </c>
      <c r="AB18" s="16">
        <f t="shared" si="7"/>
        <v>98</v>
      </c>
      <c r="AC18" s="16">
        <f t="shared" ref="AC18:AC25" si="8">IF(AB18&gt;0,AB18-C18,"")</f>
        <v>77</v>
      </c>
    </row>
    <row r="19" ht="12.75" customHeight="1">
      <c r="A19" s="1"/>
      <c r="B19" s="18" t="s">
        <v>14</v>
      </c>
      <c r="C19" s="19">
        <v>18.0</v>
      </c>
      <c r="D19" s="20" t="s">
        <v>13</v>
      </c>
      <c r="E19" s="20" t="s">
        <v>13</v>
      </c>
      <c r="F19" s="20" t="s">
        <v>13</v>
      </c>
      <c r="G19" s="13"/>
      <c r="H19" s="21">
        <v>5.0</v>
      </c>
      <c r="I19" s="21">
        <v>4.0</v>
      </c>
      <c r="J19" s="21">
        <v>5.0</v>
      </c>
      <c r="K19" s="21">
        <v>5.0</v>
      </c>
      <c r="L19" s="21">
        <v>6.0</v>
      </c>
      <c r="M19" s="21">
        <v>3.0</v>
      </c>
      <c r="N19" s="21">
        <v>6.0</v>
      </c>
      <c r="O19" s="21">
        <v>7.0</v>
      </c>
      <c r="P19" s="21">
        <v>4.0</v>
      </c>
      <c r="Q19" s="21">
        <v>5.0</v>
      </c>
      <c r="R19" s="21">
        <v>7.0</v>
      </c>
      <c r="S19" s="21">
        <v>5.0</v>
      </c>
      <c r="T19" s="21">
        <v>6.0</v>
      </c>
      <c r="U19" s="21">
        <v>4.0</v>
      </c>
      <c r="V19" s="21">
        <v>5.0</v>
      </c>
      <c r="W19" s="21">
        <v>7.0</v>
      </c>
      <c r="X19" s="21">
        <v>6.0</v>
      </c>
      <c r="Y19" s="21">
        <v>6.0</v>
      </c>
      <c r="Z19" s="21">
        <f t="shared" si="5"/>
        <v>45</v>
      </c>
      <c r="AA19" s="21">
        <f t="shared" si="6"/>
        <v>51</v>
      </c>
      <c r="AB19" s="21">
        <f t="shared" si="7"/>
        <v>96</v>
      </c>
      <c r="AC19" s="16">
        <f t="shared" si="8"/>
        <v>78</v>
      </c>
    </row>
    <row r="20" ht="12.75" customHeight="1">
      <c r="A20" s="1"/>
      <c r="B20" s="15" t="s">
        <v>15</v>
      </c>
      <c r="C20" s="16">
        <v>16.0</v>
      </c>
      <c r="D20" s="17" t="s">
        <v>13</v>
      </c>
      <c r="E20" s="17" t="s">
        <v>13</v>
      </c>
      <c r="F20" s="17" t="s">
        <v>13</v>
      </c>
      <c r="G20" s="13"/>
      <c r="H20" s="16">
        <v>6.0</v>
      </c>
      <c r="I20" s="16">
        <v>4.0</v>
      </c>
      <c r="J20" s="16">
        <v>4.0</v>
      </c>
      <c r="K20" s="16">
        <v>6.0</v>
      </c>
      <c r="L20" s="16">
        <v>7.0</v>
      </c>
      <c r="M20" s="16">
        <v>4.0</v>
      </c>
      <c r="N20" s="16">
        <v>7.0</v>
      </c>
      <c r="O20" s="16">
        <v>6.0</v>
      </c>
      <c r="P20" s="16">
        <v>3.0</v>
      </c>
      <c r="Q20" s="16">
        <v>7.0</v>
      </c>
      <c r="R20" s="16">
        <v>7.0</v>
      </c>
      <c r="S20" s="16">
        <v>5.0</v>
      </c>
      <c r="T20" s="16">
        <v>4.0</v>
      </c>
      <c r="U20" s="16">
        <v>5.0</v>
      </c>
      <c r="V20" s="16">
        <v>6.0</v>
      </c>
      <c r="W20" s="16">
        <v>5.0</v>
      </c>
      <c r="X20" s="16">
        <v>4.0</v>
      </c>
      <c r="Y20" s="16">
        <v>4.0</v>
      </c>
      <c r="Z20" s="16">
        <f t="shared" si="5"/>
        <v>47</v>
      </c>
      <c r="AA20" s="16">
        <f t="shared" si="6"/>
        <v>47</v>
      </c>
      <c r="AB20" s="16">
        <f t="shared" si="7"/>
        <v>94</v>
      </c>
      <c r="AC20" s="16">
        <f t="shared" si="8"/>
        <v>78</v>
      </c>
    </row>
    <row r="21" ht="12.75" customHeight="1">
      <c r="A21" s="1"/>
      <c r="B21" s="18" t="s">
        <v>16</v>
      </c>
      <c r="C21" s="19">
        <v>23.0</v>
      </c>
      <c r="D21" s="20" t="s">
        <v>13</v>
      </c>
      <c r="E21" s="20" t="s">
        <v>13</v>
      </c>
      <c r="F21" s="20" t="s">
        <v>13</v>
      </c>
      <c r="G21" s="13"/>
      <c r="H21" s="21">
        <v>4.0</v>
      </c>
      <c r="I21" s="21">
        <v>4.0</v>
      </c>
      <c r="J21" s="21">
        <v>6.0</v>
      </c>
      <c r="K21" s="21">
        <v>7.0</v>
      </c>
      <c r="L21" s="21">
        <v>6.0</v>
      </c>
      <c r="M21" s="21">
        <v>5.0</v>
      </c>
      <c r="N21" s="21">
        <v>6.0</v>
      </c>
      <c r="O21" s="21">
        <v>6.0</v>
      </c>
      <c r="P21" s="21">
        <v>4.0</v>
      </c>
      <c r="Q21" s="21">
        <v>7.0</v>
      </c>
      <c r="R21" s="21">
        <v>5.0</v>
      </c>
      <c r="S21" s="21">
        <v>4.0</v>
      </c>
      <c r="T21" s="21">
        <v>5.0</v>
      </c>
      <c r="U21" s="21">
        <v>4.0</v>
      </c>
      <c r="V21" s="21">
        <v>4.0</v>
      </c>
      <c r="W21" s="21">
        <v>7.0</v>
      </c>
      <c r="X21" s="21">
        <v>3.0</v>
      </c>
      <c r="Y21" s="21">
        <v>5.0</v>
      </c>
      <c r="Z21" s="21">
        <f t="shared" si="5"/>
        <v>48</v>
      </c>
      <c r="AA21" s="21">
        <f t="shared" si="6"/>
        <v>44</v>
      </c>
      <c r="AB21" s="21">
        <f t="shared" si="7"/>
        <v>92</v>
      </c>
      <c r="AC21" s="16">
        <f t="shared" si="8"/>
        <v>69</v>
      </c>
    </row>
    <row r="22" ht="12.75" customHeight="1">
      <c r="A22" s="1"/>
      <c r="B22" s="15" t="s">
        <v>17</v>
      </c>
      <c r="C22" s="16">
        <v>18.0</v>
      </c>
      <c r="D22" s="17" t="s">
        <v>13</v>
      </c>
      <c r="E22" s="17" t="s">
        <v>13</v>
      </c>
      <c r="F22" s="17" t="s">
        <v>13</v>
      </c>
      <c r="G22" s="13"/>
      <c r="H22" s="16">
        <v>5.0</v>
      </c>
      <c r="I22" s="16">
        <v>4.0</v>
      </c>
      <c r="J22" s="16">
        <v>5.0</v>
      </c>
      <c r="K22" s="16">
        <v>6.0</v>
      </c>
      <c r="L22" s="16">
        <v>5.0</v>
      </c>
      <c r="M22" s="16">
        <v>3.0</v>
      </c>
      <c r="N22" s="16">
        <v>6.0</v>
      </c>
      <c r="O22" s="16">
        <v>6.0</v>
      </c>
      <c r="P22" s="16">
        <v>5.0</v>
      </c>
      <c r="Q22" s="16">
        <v>6.0</v>
      </c>
      <c r="R22" s="16">
        <v>7.0</v>
      </c>
      <c r="S22" s="16">
        <v>5.0</v>
      </c>
      <c r="T22" s="16">
        <v>4.0</v>
      </c>
      <c r="U22" s="16">
        <v>5.0</v>
      </c>
      <c r="V22" s="16">
        <v>5.0</v>
      </c>
      <c r="W22" s="16">
        <v>5.0</v>
      </c>
      <c r="X22" s="16">
        <v>3.0</v>
      </c>
      <c r="Y22" s="16">
        <v>5.0</v>
      </c>
      <c r="Z22" s="16">
        <f t="shared" si="5"/>
        <v>45</v>
      </c>
      <c r="AA22" s="16">
        <f t="shared" si="6"/>
        <v>45</v>
      </c>
      <c r="AB22" s="16">
        <f t="shared" si="7"/>
        <v>90</v>
      </c>
      <c r="AC22" s="16">
        <f t="shared" si="8"/>
        <v>72</v>
      </c>
    </row>
    <row r="23" ht="12.75" customHeight="1">
      <c r="A23" s="1"/>
      <c r="B23" s="18" t="s">
        <v>18</v>
      </c>
      <c r="C23" s="19">
        <v>11.0</v>
      </c>
      <c r="D23" s="20" t="s">
        <v>13</v>
      </c>
      <c r="E23" s="20" t="s">
        <v>13</v>
      </c>
      <c r="F23" s="20" t="s">
        <v>13</v>
      </c>
      <c r="G23" s="13"/>
      <c r="H23" s="21">
        <v>4.0</v>
      </c>
      <c r="I23" s="21">
        <v>6.0</v>
      </c>
      <c r="J23" s="21">
        <v>4.0</v>
      </c>
      <c r="K23" s="21">
        <v>6.0</v>
      </c>
      <c r="L23" s="21">
        <v>5.0</v>
      </c>
      <c r="M23" s="21">
        <v>2.0</v>
      </c>
      <c r="N23" s="21">
        <v>4.0</v>
      </c>
      <c r="O23" s="21">
        <v>5.0</v>
      </c>
      <c r="P23" s="21">
        <v>4.0</v>
      </c>
      <c r="Q23" s="21">
        <v>5.0</v>
      </c>
      <c r="R23" s="21">
        <v>7.0</v>
      </c>
      <c r="S23" s="21">
        <v>4.0</v>
      </c>
      <c r="T23" s="21">
        <v>3.0</v>
      </c>
      <c r="U23" s="21">
        <v>5.0</v>
      </c>
      <c r="V23" s="21">
        <v>3.0</v>
      </c>
      <c r="W23" s="21">
        <v>6.0</v>
      </c>
      <c r="X23" s="21">
        <v>4.0</v>
      </c>
      <c r="Y23" s="21">
        <v>4.0</v>
      </c>
      <c r="Z23" s="21">
        <f t="shared" si="5"/>
        <v>40</v>
      </c>
      <c r="AA23" s="21">
        <f t="shared" si="6"/>
        <v>41</v>
      </c>
      <c r="AB23" s="21">
        <f t="shared" si="7"/>
        <v>81</v>
      </c>
      <c r="AC23" s="16">
        <f t="shared" si="8"/>
        <v>70</v>
      </c>
    </row>
    <row r="24" ht="12.75" customHeight="1">
      <c r="A24" s="1"/>
      <c r="B24" s="15"/>
      <c r="C24" s="16"/>
      <c r="D24" s="17"/>
      <c r="E24" s="17"/>
      <c r="F24" s="17"/>
      <c r="G24" s="13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 t="str">
        <f t="shared" si="8"/>
        <v/>
      </c>
    </row>
    <row r="25" ht="12.75" customHeight="1">
      <c r="A25" s="1"/>
      <c r="B25" s="22"/>
      <c r="C25" s="23"/>
      <c r="D25" s="24"/>
      <c r="E25" s="24"/>
      <c r="F25" s="24"/>
      <c r="G25" s="13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6" t="str">
        <f t="shared" si="8"/>
        <v/>
      </c>
    </row>
    <row r="26" ht="12.75" customHeight="1">
      <c r="A26" s="1"/>
      <c r="B26" s="25"/>
      <c r="C26" s="26"/>
      <c r="D26" s="27">
        <f>COUNTIF(Scorecards!$D$4:$D$11, "Y")*D16</f>
        <v>60</v>
      </c>
      <c r="E26" s="27">
        <f>COUNTIF(Scorecards!$E$4:$E$11, "Y")*E16</f>
        <v>0</v>
      </c>
      <c r="F26" s="27">
        <f>COUNTIF(Scorecards!$F$18:$F$25, "Y")*F16</f>
        <v>0</v>
      </c>
      <c r="G26" s="16" t="s">
        <v>19</v>
      </c>
      <c r="H26" s="21" t="str">
        <f t="array" ref="H26">IF(OR(SUM(IF(IF(Scorecards!$D$18:$D$25="Y", H18:H25, 10)=MIN(IF(Scorecards!$D$18:$D$25="Y", H18:H25, 10)), 1, 0)) &gt; 1, MIN(IF(Scorecards!$D$18:$D$25="Y", H18:H25, 10)) &gt; H17), "", INDEX(Scorecards!$B$18:$B$25,MATCH(MIN(IF(Scorecards!$D$18:$D$25="Y",H18:H25,10)),IF(Scorecards!$D$18:$D$25="Y",H18:H25,10),0)))</f>
        <v/>
      </c>
      <c r="I26" s="21" t="str">
        <f t="array" ref="I26">IF(OR(SUM(IF(IF(Scorecards!$D$18:$D$25="Y", I18:I25, 10)=MIN(IF(Scorecards!$D$18:$D$25="Y", I18:I25, 10)), 1, 0)) &gt; 1, MIN(IF(Scorecards!$D$18:$D$25="Y", I18:I25, 10)) &gt; I17), "", INDEX(Scorecards!$B$18:$B$25,MATCH(MIN(IF(Scorecards!$D$18:$D$25="Y",I18:I25,10)),IF(Scorecards!$D$18:$D$25="Y",I18:I25,10),0)))</f>
        <v/>
      </c>
      <c r="J26" s="21" t="str">
        <f t="array" ref="J26">IF(OR(SUM(IF(IF(Scorecards!$D$18:$D$25="Y", J18:J25, 10)=MIN(IF(Scorecards!$D$18:$D$25="Y", J18:J25, 10)), 1, 0)) &gt; 1, MIN(IF(Scorecards!$D$18:$D$25="Y", J18:J25, 10)) &gt; J17), "", INDEX(Scorecards!$B$18:$B$25,MATCH(MIN(IF(Scorecards!$D$18:$D$25="Y",J18:J25,10)),IF(Scorecards!$D$18:$D$25="Y",J18:J25,10),0)))</f>
        <v/>
      </c>
      <c r="K26" s="21" t="str">
        <f t="array" ref="K26">IF(OR(SUM(IF(IF(Scorecards!$D$18:$D$25="Y", K18:K25, 10)=MIN(IF(Scorecards!$D$18:$D$25="Y", K18:K25, 10)), 1, 0)) &gt; 1, MIN(IF(Scorecards!$D$18:$D$25="Y", K18:K25, 10)) &gt; K17), "", INDEX(Scorecards!$B$18:$B$25,MATCH(MIN(IF(Scorecards!$D$18:$D$25="Y",K18:K25,10)),IF(Scorecards!$D$18:$D$25="Y",K18:K25,10),0)))</f>
        <v>BB</v>
      </c>
      <c r="L26" s="21" t="str">
        <f t="array" ref="L26">IF(OR(SUM(IF(IF(Scorecards!$D$18:$D$25="Y", L18:L25, 10)=MIN(IF(Scorecards!$D$18:$D$25="Y", L18:L25, 10)), 1, 0)) &gt; 1, MIN(IF(Scorecards!$D$18:$D$25="Y", L18:L25, 10)) &gt; L17), "", INDEX(Scorecards!$B$18:$B$25,MATCH(MIN(IF(Scorecards!$D$18:$D$25="Y",L18:L25,10)),IF(Scorecards!$D$18:$D$25="Y",L18:L25,10),0)))</f>
        <v/>
      </c>
      <c r="M26" s="21" t="str">
        <f t="array" ref="M26">IF(OR(SUM(IF(IF(Scorecards!$D$18:$D$25="Y", M18:M25, 10)=MIN(IF(Scorecards!$D$18:$D$25="Y", M18:M25, 10)), 1, 0)) &gt; 1, MIN(IF(Scorecards!$D$18:$D$25="Y", M18:M25, 10)) &gt; M17), "", INDEX(Scorecards!$B$18:$B$25,MATCH(MIN(IF(Scorecards!$D$18:$D$25="Y",M18:M25,10)),IF(Scorecards!$D$18:$D$25="Y",M18:M25,10),0)))</f>
        <v>SR</v>
      </c>
      <c r="N26" s="21" t="str">
        <f t="array" ref="N26">IF(OR(SUM(IF(IF(Scorecards!$D$18:$D$25="Y", N18:N25, 10)=MIN(IF(Scorecards!$D$18:$D$25="Y", N18:N25, 10)), 1, 0)) &gt; 1, MIN(IF(Scorecards!$D$18:$D$25="Y", N18:N25, 10)) &gt; N17), "", INDEX(Scorecards!$B$18:$B$25,MATCH(MIN(IF(Scorecards!$D$18:$D$25="Y",N18:N25,10)),IF(Scorecards!$D$18:$D$25="Y",N18:N25,10),0)))</f>
        <v>SR</v>
      </c>
      <c r="O26" s="21" t="str">
        <f t="array" ref="O26">IF(OR(SUM(IF(IF(Scorecards!$D$18:$D$25="Y", O18:O25, 10)=MIN(IF(Scorecards!$D$18:$D$25="Y", O18:O25, 10)), 1, 0)) &gt; 1, MIN(IF(Scorecards!$D$18:$D$25="Y", O18:O25, 10)) &gt; O17), "", INDEX(Scorecards!$B$18:$B$25,MATCH(MIN(IF(Scorecards!$D$18:$D$25="Y",O18:O25,10)),IF(Scorecards!$D$18:$D$25="Y",O18:O25,10),0)))</f>
        <v/>
      </c>
      <c r="P26" s="21" t="str">
        <f t="array" ref="P26">IF(OR(SUM(IF(IF(Scorecards!$D$18:$D$25="Y", P18:P25, 10)=MIN(IF(Scorecards!$D$18:$D$25="Y", P18:P25, 10)), 1, 0)) &gt; 1, MIN(IF(Scorecards!$D$18:$D$25="Y", P18:P25, 10)) &gt; P17), "", INDEX(Scorecards!$B$18:$B$25,MATCH(MIN(IF(Scorecards!$D$18:$D$25="Y",P18:P25,10)),IF(Scorecards!$D$18:$D$25="Y",P18:P25,10),0)))</f>
        <v>BK</v>
      </c>
      <c r="Q26" s="21" t="str">
        <f t="array" ref="Q26">IF(OR(SUM(IF(IF(Scorecards!$D$18:$D$25="Y", Q18:Q25, 10)=MIN(IF(Scorecards!$D$18:$D$25="Y", Q18:Q25, 10)), 1, 0)) &gt; 1, MIN(IF(Scorecards!$D$18:$D$25="Y", Q18:Q25, 10)) &gt; Q17), "", INDEX(Scorecards!$B$18:$B$25,MATCH(MIN(IF(Scorecards!$D$18:$D$25="Y",Q18:Q25,10)),IF(Scorecards!$D$18:$D$25="Y",Q18:Q25,10),0)))</f>
        <v/>
      </c>
      <c r="R26" s="21" t="str">
        <f t="array" ref="R26">IF(OR(SUM(IF(IF(Scorecards!$D$18:$D$25="Y", R18:R25, 10)=MIN(IF(Scorecards!$D$18:$D$25="Y", R18:R25, 10)), 1, 0)) &gt; 1, MIN(IF(Scorecards!$D$18:$D$25="Y", R18:R25, 10)) &gt; R17), "", INDEX(Scorecards!$B$18:$B$25,MATCH(MIN(IF(Scorecards!$D$18:$D$25="Y",R18:R25,10)),IF(Scorecards!$D$18:$D$25="Y",R18:R25,10),0)))</f>
        <v>EO</v>
      </c>
      <c r="S26" s="21" t="str">
        <f t="array" ref="S26">IF(OR(SUM(IF(IF(Scorecards!$D$18:$D$25="Y", S18:S25, 10)=MIN(IF(Scorecards!$D$18:$D$25="Y", S18:S25, 10)), 1, 0)) &gt; 1, MIN(IF(Scorecards!$D$18:$D$25="Y", S18:S25, 10)) &gt; S17), "", INDEX(Scorecards!$B$18:$B$25,MATCH(MIN(IF(Scorecards!$D$18:$D$25="Y",S18:S25,10)),IF(Scorecards!$D$18:$D$25="Y",S18:S25,10),0)))</f>
        <v/>
      </c>
      <c r="T26" s="21" t="str">
        <f t="array" ref="T26">IF(OR(SUM(IF(IF(Scorecards!$D$18:$D$25="Y", T18:T25, 10)=MIN(IF(Scorecards!$D$18:$D$25="Y", T18:T25, 10)), 1, 0)) &gt; 1, MIN(IF(Scorecards!$D$18:$D$25="Y", T18:T25, 10)) &gt; T17), "", INDEX(Scorecards!$B$18:$B$25,MATCH(MIN(IF(Scorecards!$D$18:$D$25="Y",T18:T25,10)),IF(Scorecards!$D$18:$D$25="Y",T18:T25,10),0)))</f>
        <v>SR</v>
      </c>
      <c r="U26" s="21" t="str">
        <f t="array" ref="U26">IF(OR(SUM(IF(IF(Scorecards!$D$18:$D$25="Y", U18:U25, 10)=MIN(IF(Scorecards!$D$18:$D$25="Y", U18:U25, 10)), 1, 0)) &gt; 1, MIN(IF(Scorecards!$D$18:$D$25="Y", U18:U25, 10)) &gt; U17), "", INDEX(Scorecards!$B$18:$B$25,MATCH(MIN(IF(Scorecards!$D$18:$D$25="Y",U18:U25,10)),IF(Scorecards!$D$18:$D$25="Y",U18:U25,10),0)))</f>
        <v/>
      </c>
      <c r="V26" s="21" t="str">
        <f t="array" ref="V26">IF(OR(SUM(IF(IF(Scorecards!$D$18:$D$25="Y", V18:V25, 10)=MIN(IF(Scorecards!$D$18:$D$25="Y", V18:V25, 10)), 1, 0)) &gt; 1, MIN(IF(Scorecards!$D$18:$D$25="Y", V18:V25, 10)) &gt; V17), "", INDEX(Scorecards!$B$18:$B$25,MATCH(MIN(IF(Scorecards!$D$18:$D$25="Y",V18:V25,10)),IF(Scorecards!$D$18:$D$25="Y",V18:V25,10),0)))</f>
        <v>SR</v>
      </c>
      <c r="W26" s="21" t="str">
        <f t="array" ref="W26">IF(OR(SUM(IF(IF(Scorecards!$D$18:$D$25="Y", W18:W25, 10)=MIN(IF(Scorecards!$D$18:$D$25="Y", W18:W25, 10)), 1, 0)) &gt; 1, MIN(IF(Scorecards!$D$18:$D$25="Y", W18:W25, 10)) &gt; W17), "", INDEX(Scorecards!$B$18:$B$25,MATCH(MIN(IF(Scorecards!$D$18:$D$25="Y",W18:W25,10)),IF(Scorecards!$D$18:$D$25="Y",W18:W25,10),0)))</f>
        <v/>
      </c>
      <c r="X26" s="21" t="str">
        <f t="array" ref="X26">IF(OR(SUM(IF(IF(Scorecards!$D$18:$D$25="Y", X18:X25, 10)=MIN(IF(Scorecards!$D$18:$D$25="Y", X18:X25, 10)), 1, 0)) &gt; 1, MIN(IF(Scorecards!$D$18:$D$25="Y", X18:X25, 10)) &gt; X17), "", INDEX(Scorecards!$B$18:$B$25,MATCH(MIN(IF(Scorecards!$D$18:$D$25="Y",X18:X25,10)),IF(Scorecards!$D$18:$D$25="Y",X18:X25,10),0)))</f>
        <v/>
      </c>
      <c r="Y26" s="21" t="str">
        <f t="array" ref="Y26">IF(OR(SUM(IF(IF(Scorecards!$D$18:$D$25="Y", Y18:Y25, 10)=MIN(IF(Scorecards!$D$18:$D$25="Y", Y18:Y25, 10)), 1, 0)) &gt; 1, MIN(IF(Scorecards!$D$18:$D$25="Y", Y18:Y25, 10)) &gt; Y17), "", INDEX(Scorecards!$B$18:$B$25,MATCH(MIN(IF(Scorecards!$D$18:$D$25="Y",Y18:Y25,10)),IF(Scorecards!$D$18:$D$25="Y",Y18:Y25,10),0)))</f>
        <v/>
      </c>
      <c r="Z26" s="13"/>
      <c r="AA26" s="13"/>
      <c r="AB26" s="21">
        <f>18-COUNTBLANK(H26:Y26)</f>
        <v>7</v>
      </c>
      <c r="AC26" s="28">
        <f>IF(AB26 = 0, 0, D26/AB26)</f>
        <v>8.571428571</v>
      </c>
    </row>
    <row r="27" ht="12.75" customHeight="1">
      <c r="A27" s="1"/>
      <c r="B27" s="1"/>
      <c r="C27" s="1"/>
      <c r="D27" s="1"/>
      <c r="E27" s="1"/>
      <c r="F27" s="1"/>
      <c r="G27" s="16" t="s">
        <v>9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1"/>
      <c r="AA27" s="1"/>
      <c r="AB27" s="21">
        <f>COUNTA(J27,O27,S27,X27)</f>
        <v>0</v>
      </c>
      <c r="AC27" s="28">
        <f>IF(AB27 = 0, 0, E26/AB27)</f>
        <v>0</v>
      </c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1"/>
      <c r="B29" s="1"/>
      <c r="C29" s="1"/>
      <c r="D29" s="1"/>
      <c r="E29" s="1"/>
      <c r="F29" s="1"/>
      <c r="G29" s="2" t="s">
        <v>21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29">
        <v>71.1</v>
      </c>
      <c r="AC29" s="29">
        <v>133.0</v>
      </c>
    </row>
    <row r="30" ht="12.75" customHeight="1">
      <c r="A30" s="1"/>
      <c r="B30" s="1"/>
      <c r="C30" s="1"/>
      <c r="D30" s="6">
        <v>10.0</v>
      </c>
      <c r="E30" s="6">
        <v>0.0</v>
      </c>
      <c r="F30" s="6">
        <v>0.0</v>
      </c>
      <c r="G30" s="7" t="s">
        <v>1</v>
      </c>
      <c r="H30" s="8">
        <v>1.0</v>
      </c>
      <c r="I30" s="8">
        <v>2.0</v>
      </c>
      <c r="J30" s="8">
        <v>3.0</v>
      </c>
      <c r="K30" s="8">
        <v>4.0</v>
      </c>
      <c r="L30" s="8">
        <v>5.0</v>
      </c>
      <c r="M30" s="8">
        <v>6.0</v>
      </c>
      <c r="N30" s="8">
        <v>7.0</v>
      </c>
      <c r="O30" s="8">
        <v>8.0</v>
      </c>
      <c r="P30" s="8">
        <v>9.0</v>
      </c>
      <c r="Q30" s="8">
        <v>10.0</v>
      </c>
      <c r="R30" s="8">
        <v>11.0</v>
      </c>
      <c r="S30" s="8">
        <v>12.0</v>
      </c>
      <c r="T30" s="8">
        <v>13.0</v>
      </c>
      <c r="U30" s="8">
        <v>14.0</v>
      </c>
      <c r="V30" s="8">
        <v>15.0</v>
      </c>
      <c r="W30" s="8">
        <v>16.0</v>
      </c>
      <c r="X30" s="8">
        <v>17.0</v>
      </c>
      <c r="Y30" s="8">
        <v>18.0</v>
      </c>
      <c r="Z30" s="8" t="s">
        <v>2</v>
      </c>
      <c r="AA30" s="8" t="s">
        <v>3</v>
      </c>
      <c r="AB30" s="8" t="s">
        <v>4</v>
      </c>
      <c r="AC30" s="8" t="s">
        <v>5</v>
      </c>
    </row>
    <row r="31" ht="12.75" customHeight="1">
      <c r="A31" s="1"/>
      <c r="B31" s="9" t="s">
        <v>6</v>
      </c>
      <c r="C31" s="10" t="s">
        <v>7</v>
      </c>
      <c r="D31" s="11" t="s">
        <v>8</v>
      </c>
      <c r="E31" s="12" t="s">
        <v>9</v>
      </c>
      <c r="F31" s="12" t="s">
        <v>10</v>
      </c>
      <c r="G31" s="13" t="s">
        <v>11</v>
      </c>
      <c r="H31" s="14">
        <v>4.0</v>
      </c>
      <c r="I31" s="14">
        <v>5.0</v>
      </c>
      <c r="J31" s="14">
        <v>4.0</v>
      </c>
      <c r="K31" s="14">
        <v>3.0</v>
      </c>
      <c r="L31" s="14">
        <v>4.0</v>
      </c>
      <c r="M31" s="14">
        <v>5.0</v>
      </c>
      <c r="N31" s="14">
        <v>4.0</v>
      </c>
      <c r="O31" s="14">
        <v>3.0</v>
      </c>
      <c r="P31" s="14">
        <v>4.0</v>
      </c>
      <c r="Q31" s="14">
        <v>4.0</v>
      </c>
      <c r="R31" s="14">
        <v>3.0</v>
      </c>
      <c r="S31" s="14">
        <v>5.0</v>
      </c>
      <c r="T31" s="14">
        <v>4.0</v>
      </c>
      <c r="U31" s="14">
        <v>4.0</v>
      </c>
      <c r="V31" s="14">
        <v>4.0</v>
      </c>
      <c r="W31" s="14">
        <v>5.0</v>
      </c>
      <c r="X31" s="14">
        <v>3.0</v>
      </c>
      <c r="Y31" s="14">
        <v>4.0</v>
      </c>
      <c r="Z31" s="14">
        <f t="shared" ref="Z31:Z37" si="9">SUM(H31:P31)</f>
        <v>36</v>
      </c>
      <c r="AA31" s="14">
        <f t="shared" ref="AA31:AA37" si="10">SUM(Q31:Y31)</f>
        <v>36</v>
      </c>
      <c r="AB31" s="14">
        <f t="shared" ref="AB31:AB37" si="11">Z31+AA31</f>
        <v>72</v>
      </c>
      <c r="AC31" s="14"/>
    </row>
    <row r="32" ht="12.75" customHeight="1">
      <c r="A32" s="1"/>
      <c r="B32" s="15" t="s">
        <v>12</v>
      </c>
      <c r="C32" s="16">
        <v>21.0</v>
      </c>
      <c r="D32" s="17" t="s">
        <v>13</v>
      </c>
      <c r="E32" s="17" t="s">
        <v>13</v>
      </c>
      <c r="F32" s="17" t="s">
        <v>13</v>
      </c>
      <c r="G32" s="13"/>
      <c r="H32" s="16">
        <v>4.0</v>
      </c>
      <c r="I32" s="16">
        <v>4.0</v>
      </c>
      <c r="J32" s="16">
        <v>4.0</v>
      </c>
      <c r="K32" s="16">
        <v>4.0</v>
      </c>
      <c r="L32" s="16">
        <v>9.0</v>
      </c>
      <c r="M32" s="16">
        <v>7.0</v>
      </c>
      <c r="N32" s="16">
        <v>5.0</v>
      </c>
      <c r="O32" s="16">
        <v>4.0</v>
      </c>
      <c r="P32" s="16">
        <v>6.0</v>
      </c>
      <c r="Q32" s="16">
        <v>6.0</v>
      </c>
      <c r="R32" s="16">
        <v>4.0</v>
      </c>
      <c r="S32" s="16">
        <v>6.0</v>
      </c>
      <c r="T32" s="16">
        <v>12.0</v>
      </c>
      <c r="U32" s="16">
        <v>6.0</v>
      </c>
      <c r="V32" s="16">
        <v>6.0</v>
      </c>
      <c r="W32" s="16">
        <v>6.0</v>
      </c>
      <c r="X32" s="16">
        <v>4.0</v>
      </c>
      <c r="Y32" s="16">
        <v>5.0</v>
      </c>
      <c r="Z32" s="16">
        <f t="shared" si="9"/>
        <v>47</v>
      </c>
      <c r="AA32" s="16">
        <f t="shared" si="10"/>
        <v>55</v>
      </c>
      <c r="AB32" s="16">
        <f t="shared" si="11"/>
        <v>102</v>
      </c>
      <c r="AC32" s="16">
        <f t="shared" ref="AC32:AC39" si="12">IF(AB32&gt;0,AB32-C32,"")</f>
        <v>81</v>
      </c>
    </row>
    <row r="33" ht="12.75" customHeight="1">
      <c r="A33" s="1"/>
      <c r="B33" s="18" t="s">
        <v>14</v>
      </c>
      <c r="C33" s="19">
        <v>18.0</v>
      </c>
      <c r="D33" s="20" t="s">
        <v>22</v>
      </c>
      <c r="E33" s="20" t="s">
        <v>22</v>
      </c>
      <c r="F33" s="20" t="s">
        <v>13</v>
      </c>
      <c r="G33" s="13"/>
      <c r="H33" s="21">
        <v>5.0</v>
      </c>
      <c r="I33" s="21">
        <v>6.0</v>
      </c>
      <c r="J33" s="21">
        <v>4.0</v>
      </c>
      <c r="K33" s="21">
        <v>4.0</v>
      </c>
      <c r="L33" s="21">
        <v>4.0</v>
      </c>
      <c r="M33" s="21">
        <v>6.0</v>
      </c>
      <c r="N33" s="21">
        <v>5.0</v>
      </c>
      <c r="O33" s="21">
        <v>2.0</v>
      </c>
      <c r="P33" s="21">
        <v>6.0</v>
      </c>
      <c r="Q33" s="21">
        <v>7.0</v>
      </c>
      <c r="R33" s="21">
        <v>4.0</v>
      </c>
      <c r="S33" s="21">
        <v>5.0</v>
      </c>
      <c r="T33" s="21">
        <v>5.0</v>
      </c>
      <c r="U33" s="21">
        <v>4.0</v>
      </c>
      <c r="V33" s="21">
        <v>5.0</v>
      </c>
      <c r="W33" s="21">
        <v>6.0</v>
      </c>
      <c r="X33" s="21">
        <v>4.0</v>
      </c>
      <c r="Y33" s="21">
        <v>7.0</v>
      </c>
      <c r="Z33" s="21">
        <f t="shared" si="9"/>
        <v>42</v>
      </c>
      <c r="AA33" s="21">
        <f t="shared" si="10"/>
        <v>47</v>
      </c>
      <c r="AB33" s="21">
        <f t="shared" si="11"/>
        <v>89</v>
      </c>
      <c r="AC33" s="16">
        <f t="shared" si="12"/>
        <v>71</v>
      </c>
    </row>
    <row r="34" ht="12.75" customHeight="1">
      <c r="A34" s="1"/>
      <c r="B34" s="15" t="s">
        <v>15</v>
      </c>
      <c r="C34" s="16">
        <v>16.0</v>
      </c>
      <c r="D34" s="17" t="s">
        <v>13</v>
      </c>
      <c r="E34" s="17" t="s">
        <v>13</v>
      </c>
      <c r="F34" s="17" t="s">
        <v>13</v>
      </c>
      <c r="G34" s="13"/>
      <c r="H34" s="16">
        <v>7.0</v>
      </c>
      <c r="I34" s="16">
        <v>4.0</v>
      </c>
      <c r="J34" s="16">
        <v>5.0</v>
      </c>
      <c r="K34" s="16">
        <v>4.0</v>
      </c>
      <c r="L34" s="16">
        <v>5.0</v>
      </c>
      <c r="M34" s="16">
        <v>6.0</v>
      </c>
      <c r="N34" s="16">
        <v>5.0</v>
      </c>
      <c r="O34" s="16">
        <v>5.0</v>
      </c>
      <c r="P34" s="16">
        <v>8.0</v>
      </c>
      <c r="Q34" s="16">
        <v>7.0</v>
      </c>
      <c r="R34" s="16">
        <v>3.0</v>
      </c>
      <c r="S34" s="16">
        <v>6.0</v>
      </c>
      <c r="T34" s="16">
        <v>6.0</v>
      </c>
      <c r="U34" s="16">
        <v>4.0</v>
      </c>
      <c r="V34" s="16">
        <v>4.0</v>
      </c>
      <c r="W34" s="16">
        <v>5.0</v>
      </c>
      <c r="X34" s="16">
        <v>5.0</v>
      </c>
      <c r="Y34" s="16">
        <v>6.0</v>
      </c>
      <c r="Z34" s="16">
        <f t="shared" si="9"/>
        <v>49</v>
      </c>
      <c r="AA34" s="16">
        <f t="shared" si="10"/>
        <v>46</v>
      </c>
      <c r="AB34" s="16">
        <f t="shared" si="11"/>
        <v>95</v>
      </c>
      <c r="AC34" s="16">
        <f t="shared" si="12"/>
        <v>79</v>
      </c>
    </row>
    <row r="35" ht="12.75" customHeight="1">
      <c r="A35" s="1"/>
      <c r="B35" s="18" t="s">
        <v>16</v>
      </c>
      <c r="C35" s="19">
        <v>23.0</v>
      </c>
      <c r="D35" s="20" t="s">
        <v>13</v>
      </c>
      <c r="E35" s="20" t="s">
        <v>13</v>
      </c>
      <c r="F35" s="20" t="s">
        <v>13</v>
      </c>
      <c r="G35" s="13"/>
      <c r="H35" s="21">
        <v>5.0</v>
      </c>
      <c r="I35" s="21">
        <v>5.0</v>
      </c>
      <c r="J35" s="21">
        <v>5.0</v>
      </c>
      <c r="K35" s="21">
        <v>6.0</v>
      </c>
      <c r="L35" s="21">
        <v>6.0</v>
      </c>
      <c r="M35" s="21">
        <v>7.0</v>
      </c>
      <c r="N35" s="21">
        <v>5.0</v>
      </c>
      <c r="O35" s="21">
        <v>4.0</v>
      </c>
      <c r="P35" s="21">
        <v>6.0</v>
      </c>
      <c r="Q35" s="21">
        <v>5.0</v>
      </c>
      <c r="R35" s="21">
        <v>7.0</v>
      </c>
      <c r="S35" s="21">
        <v>6.0</v>
      </c>
      <c r="T35" s="21">
        <v>6.0</v>
      </c>
      <c r="U35" s="21">
        <v>6.0</v>
      </c>
      <c r="V35" s="21">
        <v>6.0</v>
      </c>
      <c r="W35" s="21">
        <v>7.0</v>
      </c>
      <c r="X35" s="21">
        <v>4.0</v>
      </c>
      <c r="Y35" s="21">
        <v>5.0</v>
      </c>
      <c r="Z35" s="21">
        <f t="shared" si="9"/>
        <v>49</v>
      </c>
      <c r="AA35" s="21">
        <f t="shared" si="10"/>
        <v>52</v>
      </c>
      <c r="AB35" s="21">
        <f t="shared" si="11"/>
        <v>101</v>
      </c>
      <c r="AC35" s="16">
        <f t="shared" si="12"/>
        <v>78</v>
      </c>
    </row>
    <row r="36" ht="12.75" customHeight="1">
      <c r="A36" s="1"/>
      <c r="B36" s="15" t="s">
        <v>17</v>
      </c>
      <c r="C36" s="16">
        <v>18.0</v>
      </c>
      <c r="D36" s="17" t="s">
        <v>13</v>
      </c>
      <c r="E36" s="17" t="s">
        <v>13</v>
      </c>
      <c r="F36" s="17" t="s">
        <v>13</v>
      </c>
      <c r="G36" s="13"/>
      <c r="H36" s="16">
        <v>6.0</v>
      </c>
      <c r="I36" s="16">
        <v>5.0</v>
      </c>
      <c r="J36" s="16">
        <v>5.0</v>
      </c>
      <c r="K36" s="16">
        <v>4.0</v>
      </c>
      <c r="L36" s="16">
        <v>6.0</v>
      </c>
      <c r="M36" s="16">
        <v>5.0</v>
      </c>
      <c r="N36" s="16">
        <v>5.0</v>
      </c>
      <c r="O36" s="16">
        <v>3.0</v>
      </c>
      <c r="P36" s="16">
        <v>5.0</v>
      </c>
      <c r="Q36" s="16">
        <v>6.0</v>
      </c>
      <c r="R36" s="16">
        <v>6.0</v>
      </c>
      <c r="S36" s="16">
        <v>10.0</v>
      </c>
      <c r="T36" s="16">
        <v>5.0</v>
      </c>
      <c r="U36" s="16">
        <v>4.0</v>
      </c>
      <c r="V36" s="16">
        <v>7.0</v>
      </c>
      <c r="W36" s="16">
        <v>5.0</v>
      </c>
      <c r="X36" s="16">
        <v>5.0</v>
      </c>
      <c r="Y36" s="16">
        <v>6.0</v>
      </c>
      <c r="Z36" s="16">
        <f t="shared" si="9"/>
        <v>44</v>
      </c>
      <c r="AA36" s="16">
        <f t="shared" si="10"/>
        <v>54</v>
      </c>
      <c r="AB36" s="16">
        <f t="shared" si="11"/>
        <v>98</v>
      </c>
      <c r="AC36" s="16">
        <f t="shared" si="12"/>
        <v>80</v>
      </c>
    </row>
    <row r="37" ht="12.75" customHeight="1">
      <c r="A37" s="1"/>
      <c r="B37" s="18" t="s">
        <v>18</v>
      </c>
      <c r="C37" s="19">
        <v>11.0</v>
      </c>
      <c r="D37" s="20" t="s">
        <v>13</v>
      </c>
      <c r="E37" s="20" t="s">
        <v>13</v>
      </c>
      <c r="F37" s="20" t="s">
        <v>13</v>
      </c>
      <c r="G37" s="13"/>
      <c r="H37" s="21">
        <v>5.0</v>
      </c>
      <c r="I37" s="21">
        <v>6.0</v>
      </c>
      <c r="J37" s="21">
        <v>4.0</v>
      </c>
      <c r="K37" s="21">
        <v>3.0</v>
      </c>
      <c r="L37" s="21">
        <v>4.0</v>
      </c>
      <c r="M37" s="21">
        <v>7.0</v>
      </c>
      <c r="N37" s="21">
        <v>8.0</v>
      </c>
      <c r="O37" s="21">
        <v>4.0</v>
      </c>
      <c r="P37" s="21">
        <v>6.0</v>
      </c>
      <c r="Q37" s="21">
        <v>6.0</v>
      </c>
      <c r="R37" s="21">
        <v>3.0</v>
      </c>
      <c r="S37" s="21">
        <v>5.0</v>
      </c>
      <c r="T37" s="21">
        <v>8.0</v>
      </c>
      <c r="U37" s="21">
        <v>5.0</v>
      </c>
      <c r="V37" s="21">
        <v>7.0</v>
      </c>
      <c r="W37" s="21">
        <v>4.0</v>
      </c>
      <c r="X37" s="21">
        <v>5.0</v>
      </c>
      <c r="Y37" s="21">
        <v>3.0</v>
      </c>
      <c r="Z37" s="21">
        <f t="shared" si="9"/>
        <v>47</v>
      </c>
      <c r="AA37" s="21">
        <f t="shared" si="10"/>
        <v>46</v>
      </c>
      <c r="AB37" s="21">
        <f t="shared" si="11"/>
        <v>93</v>
      </c>
      <c r="AC37" s="16">
        <f t="shared" si="12"/>
        <v>82</v>
      </c>
    </row>
    <row r="38" ht="12.75" customHeight="1">
      <c r="A38" s="1"/>
      <c r="B38" s="15"/>
      <c r="C38" s="16"/>
      <c r="D38" s="17"/>
      <c r="E38" s="17"/>
      <c r="F38" s="17"/>
      <c r="G38" s="1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 t="str">
        <f t="shared" si="12"/>
        <v/>
      </c>
    </row>
    <row r="39" ht="12.75" customHeight="1">
      <c r="A39" s="30" t="s">
        <v>21</v>
      </c>
      <c r="B39" s="22"/>
      <c r="C39" s="23"/>
      <c r="D39" s="24"/>
      <c r="E39" s="24"/>
      <c r="F39" s="24"/>
      <c r="G39" s="1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16" t="str">
        <f t="shared" si="12"/>
        <v/>
      </c>
    </row>
    <row r="40" ht="12.75" customHeight="1">
      <c r="A40" s="1"/>
      <c r="B40" s="25"/>
      <c r="C40" s="26"/>
      <c r="D40" s="27">
        <f>COUNTIF(Scorecards!$D$4:$D$11, "Y")*D30</f>
        <v>60</v>
      </c>
      <c r="E40" s="27">
        <f>COUNTIF(Scorecards!$E$4:$E$11, "Y")*E30</f>
        <v>0</v>
      </c>
      <c r="F40" s="27">
        <f>COUNTIF(Scorecards!$F$4:$F$11, "Y")*F30</f>
        <v>0</v>
      </c>
      <c r="G40" s="16" t="s">
        <v>19</v>
      </c>
      <c r="H40" s="21" t="str">
        <f t="array" ref="H40">IF(OR(SUM(IF(IF(Scorecards!$D$32:$D$39="Y", H32:H39, 10)=MIN(IF(Scorecards!$D$32:$D$39="Y", H32:H39, 10)), 1, 0)) &gt; 1, MIN(IF(Scorecards!$D$32:$D$39="Y", H32:H39, 10)) &gt; H31), "", INDEX(Scorecards!$B$32:$B$39,MATCH(MIN(IF(Scorecards!$D$32:$D$39="Y",H32:H39,10)),IF(Scorecards!$D$32:$D$39="Y",H32:H39,10),0)))</f>
        <v>AJ</v>
      </c>
      <c r="I40" s="21" t="str">
        <f t="array" ref="I40">IF(OR(SUM(IF(IF(Scorecards!$D$32:$D$39="Y", I32:I39, 10)=MIN(IF(Scorecards!$D$32:$D$39="Y", I32:I39, 10)), 1, 0)) &gt; 1, MIN(IF(Scorecards!$D$32:$D$39="Y", I32:I39, 10)) &gt; I31), "", INDEX(Scorecards!$B$32:$B$39,MATCH(MIN(IF(Scorecards!$D$32:$D$39="Y",I32:I39,10)),IF(Scorecards!$D$32:$D$39="Y",I32:I39,10),0)))</f>
        <v/>
      </c>
      <c r="J40" s="21" t="str">
        <f t="array" ref="J40">IF(OR(SUM(IF(IF(Scorecards!$D$32:$D$39="Y", J32:J39, 10)=MIN(IF(Scorecards!$D$32:$D$39="Y", J32:J39, 10)), 1, 0)) &gt; 1, MIN(IF(Scorecards!$D$32:$D$39="Y", J32:J39, 10)) &gt; J31), "", INDEX(Scorecards!$B$32:$B$39,MATCH(MIN(IF(Scorecards!$D$32:$D$39="Y",J32:J39,10)),IF(Scorecards!$D$32:$D$39="Y",J32:J39,10),0)))</f>
        <v/>
      </c>
      <c r="K40" s="21" t="str">
        <f t="array" ref="K40">IF(OR(SUM(IF(IF(Scorecards!$D$32:$D$39="Y", K32:K39, 10)=MIN(IF(Scorecards!$D$32:$D$39="Y", K32:K39, 10)), 1, 0)) &gt; 1, MIN(IF(Scorecards!$D$32:$D$39="Y", K32:K39, 10)) &gt; K31), "", INDEX(Scorecards!$B$32:$B$39,MATCH(MIN(IF(Scorecards!$D$32:$D$39="Y",K32:K39,10)),IF(Scorecards!$D$32:$D$39="Y",K32:K39,10),0)))</f>
        <v>SR</v>
      </c>
      <c r="L40" s="21" t="str">
        <f t="array" ref="L40">IF(OR(SUM(IF(IF(Scorecards!$D$32:$D$39="Y", L32:L39, 10)=MIN(IF(Scorecards!$D$32:$D$39="Y", L32:L39, 10)), 1, 0)) &gt; 1, MIN(IF(Scorecards!$D$32:$D$39="Y", L32:L39, 10)) &gt; L31), "", INDEX(Scorecards!$B$32:$B$39,MATCH(MIN(IF(Scorecards!$D$32:$D$39="Y",L32:L39,10)),IF(Scorecards!$D$32:$D$39="Y",L32:L39,10),0)))</f>
        <v/>
      </c>
      <c r="M40" s="21" t="str">
        <f t="array" ref="M40">IF(OR(SUM(IF(IF(Scorecards!$D$32:$D$39="Y", M32:M39, 10)=MIN(IF(Scorecards!$D$32:$D$39="Y", M32:M39, 10)), 1, 0)) &gt; 1, MIN(IF(Scorecards!$D$32:$D$39="Y", M32:M39, 10)) &gt; M31), "", INDEX(Scorecards!$B$32:$B$39,MATCH(MIN(IF(Scorecards!$D$32:$D$39="Y",M32:M39,10)),IF(Scorecards!$D$32:$D$39="Y",M32:M39,10),0)))</f>
        <v>MV</v>
      </c>
      <c r="N40" s="21" t="str">
        <f t="array" ref="N40">IF(OR(SUM(IF(IF(Scorecards!$D$32:$D$39="Y", N32:N39, 10)=MIN(IF(Scorecards!$D$32:$D$39="Y", N32:N39, 10)), 1, 0)) &gt; 1, MIN(IF(Scorecards!$D$32:$D$39="Y", N32:N39, 10)) &gt; N31), "", INDEX(Scorecards!$B$32:$B$39,MATCH(MIN(IF(Scorecards!$D$32:$D$39="Y",N32:N39,10)),IF(Scorecards!$D$32:$D$39="Y",N32:N39,10),0)))</f>
        <v/>
      </c>
      <c r="O40" s="21" t="str">
        <f t="array" ref="O40">IF(OR(SUM(IF(IF(Scorecards!$D$32:$D$39="Y", O32:O39, 10)=MIN(IF(Scorecards!$D$32:$D$39="Y", O32:O39, 10)), 1, 0)) &gt; 1, MIN(IF(Scorecards!$D$32:$D$39="Y", O32:O39, 10)) &gt; O31), "", INDEX(Scorecards!$B$32:$B$39,MATCH(MIN(IF(Scorecards!$D$32:$D$39="Y",O32:O39,10)),IF(Scorecards!$D$32:$D$39="Y",O32:O39,10),0)))</f>
        <v>BB</v>
      </c>
      <c r="P40" s="21" t="str">
        <f t="array" ref="P40">IF(OR(SUM(IF(IF(Scorecards!$D$32:$D$39="Y", P32:P39, 10)=MIN(IF(Scorecards!$D$32:$D$39="Y", P32:P39, 10)), 1, 0)) &gt; 1, MIN(IF(Scorecards!$D$32:$D$39="Y", P32:P39, 10)) &gt; P31), "", INDEX(Scorecards!$B$32:$B$39,MATCH(MIN(IF(Scorecards!$D$32:$D$39="Y",P32:P39,10)),IF(Scorecards!$D$32:$D$39="Y",P32:P39,10),0)))</f>
        <v/>
      </c>
      <c r="Q40" s="21" t="str">
        <f t="array" ref="Q40">IF(OR(SUM(IF(IF(Scorecards!$D$32:$D$39="Y", Q32:Q39, 10)=MIN(IF(Scorecards!$D$32:$D$39="Y", Q32:Q39, 10)), 1, 0)) &gt; 1, MIN(IF(Scorecards!$D$32:$D$39="Y", Q32:Q39, 10)) &gt; Q31), "", INDEX(Scorecards!$B$32:$B$39,MATCH(MIN(IF(Scorecards!$D$32:$D$39="Y",Q32:Q39,10)),IF(Scorecards!$D$32:$D$39="Y",Q32:Q39,10),0)))</f>
        <v/>
      </c>
      <c r="R40" s="21" t="str">
        <f t="array" ref="R40">IF(OR(SUM(IF(IF(Scorecards!$D$32:$D$39="Y", R32:R39, 10)=MIN(IF(Scorecards!$D$32:$D$39="Y", R32:R39, 10)), 1, 0)) &gt; 1, MIN(IF(Scorecards!$D$32:$D$39="Y", R32:R39, 10)) &gt; R31), "", INDEX(Scorecards!$B$32:$B$39,MATCH(MIN(IF(Scorecards!$D$32:$D$39="Y",R32:R39,10)),IF(Scorecards!$D$32:$D$39="Y",R32:R39,10),0)))</f>
        <v/>
      </c>
      <c r="S40" s="21" t="str">
        <f t="array" ref="S40">IF(OR(SUM(IF(IF(Scorecards!$D$32:$D$39="Y", S32:S39, 10)=MIN(IF(Scorecards!$D$32:$D$39="Y", S32:S39, 10)), 1, 0)) &gt; 1, MIN(IF(Scorecards!$D$32:$D$39="Y", S32:S39, 10)) &gt; S31), "", INDEX(Scorecards!$B$32:$B$39,MATCH(MIN(IF(Scorecards!$D$32:$D$39="Y",S32:S39,10)),IF(Scorecards!$D$32:$D$39="Y",S32:S39,10),0)))</f>
        <v/>
      </c>
      <c r="T40" s="21" t="str">
        <f t="array" ref="T40">IF(OR(SUM(IF(IF(Scorecards!$D$32:$D$39="Y", T32:T39, 10)=MIN(IF(Scorecards!$D$32:$D$39="Y", T32:T39, 10)), 1, 0)) &gt; 1, MIN(IF(Scorecards!$D$32:$D$39="Y", T32:T39, 10)) &gt; T31), "", INDEX(Scorecards!$B$32:$B$39,MATCH(MIN(IF(Scorecards!$D$32:$D$39="Y",T32:T39,10)),IF(Scorecards!$D$32:$D$39="Y",T32:T39,10),0)))</f>
        <v/>
      </c>
      <c r="U40" s="21" t="str">
        <f t="array" ref="U40">IF(OR(SUM(IF(IF(Scorecards!$D$32:$D$39="Y", U32:U39, 10)=MIN(IF(Scorecards!$D$32:$D$39="Y", U32:U39, 10)), 1, 0)) &gt; 1, MIN(IF(Scorecards!$D$32:$D$39="Y", U32:U39, 10)) &gt; U31), "", INDEX(Scorecards!$B$32:$B$39,MATCH(MIN(IF(Scorecards!$D$32:$D$39="Y",U32:U39,10)),IF(Scorecards!$D$32:$D$39="Y",U32:U39,10),0)))</f>
        <v/>
      </c>
      <c r="V40" s="21" t="str">
        <f t="array" ref="V40">IF(OR(SUM(IF(IF(Scorecards!$D$32:$D$39="Y", V32:V39, 10)=MIN(IF(Scorecards!$D$32:$D$39="Y", V32:V39, 10)), 1, 0)) &gt; 1, MIN(IF(Scorecards!$D$32:$D$39="Y", V32:V39, 10)) &gt; V31), "", INDEX(Scorecards!$B$32:$B$39,MATCH(MIN(IF(Scorecards!$D$32:$D$39="Y",V32:V39,10)),IF(Scorecards!$D$32:$D$39="Y",V32:V39,10),0)))</f>
        <v>BK</v>
      </c>
      <c r="W40" s="21" t="str">
        <f t="array" ref="W40">IF(OR(SUM(IF(IF(Scorecards!$D$32:$D$39="Y", W32:W39, 10)=MIN(IF(Scorecards!$D$32:$D$39="Y", W32:W39, 10)), 1, 0)) &gt; 1, MIN(IF(Scorecards!$D$32:$D$39="Y", W32:W39, 10)) &gt; W31), "", INDEX(Scorecards!$B$32:$B$39,MATCH(MIN(IF(Scorecards!$D$32:$D$39="Y",W32:W39,10)),IF(Scorecards!$D$32:$D$39="Y",W32:W39,10),0)))</f>
        <v>SR</v>
      </c>
      <c r="X40" s="21" t="str">
        <f t="array" ref="X40">IF(OR(SUM(IF(IF(Scorecards!$D$32:$D$39="Y", X32:X39, 10)=MIN(IF(Scorecards!$D$32:$D$39="Y", X32:X39, 10)), 1, 0)) &gt; 1, MIN(IF(Scorecards!$D$32:$D$39="Y", X32:X39, 10)) &gt; X31), "", INDEX(Scorecards!$B$32:$B$39,MATCH(MIN(IF(Scorecards!$D$32:$D$39="Y",X32:X39,10)),IF(Scorecards!$D$32:$D$39="Y",X32:X39,10),0)))</f>
        <v/>
      </c>
      <c r="Y40" s="21" t="str">
        <f t="array" ref="Y40">IF(OR(SUM(IF(IF(Scorecards!$D$32:$D$39="Y", Y32:Y39, 10)=MIN(IF(Scorecards!$D$32:$D$39="Y", Y32:Y39, 10)), 1, 0)) &gt; 1, MIN(IF(Scorecards!$D$32:$D$39="Y", Y32:Y39, 10)) &gt; Y31), "", INDEX(Scorecards!$B$32:$B$39,MATCH(MIN(IF(Scorecards!$D$32:$D$39="Y",Y32:Y39,10)),IF(Scorecards!$D$32:$D$39="Y",Y32:Y39,10),0)))</f>
        <v>SR</v>
      </c>
      <c r="Z40" s="13"/>
      <c r="AA40" s="13"/>
      <c r="AB40" s="21">
        <f>18-COUNTBLANK(H40:Y40)</f>
        <v>7</v>
      </c>
      <c r="AC40" s="28">
        <f>IF(AB40 = 0, 0, D40/AB40)</f>
        <v>8.571428571</v>
      </c>
    </row>
    <row r="41" ht="12.75" customHeight="1">
      <c r="A41" s="1"/>
      <c r="B41" s="1"/>
      <c r="C41" s="1"/>
      <c r="D41" s="1"/>
      <c r="E41" s="1"/>
      <c r="F41" s="1"/>
      <c r="G41" s="16" t="s">
        <v>9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1"/>
      <c r="AA41" s="1"/>
      <c r="AB41" s="21">
        <f>COUNTA(I41,O41,S41,V41)</f>
        <v>0</v>
      </c>
      <c r="AC41" s="28">
        <f>IF(AB41 = 0, 0, E40/AB41)</f>
        <v>0</v>
      </c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1"/>
      <c r="B43" s="1"/>
      <c r="C43" s="1"/>
      <c r="D43" s="1"/>
      <c r="E43" s="1"/>
      <c r="F43" s="1"/>
      <c r="G43" s="2" t="s">
        <v>23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31"/>
      <c r="AC43" s="32"/>
    </row>
    <row r="44" ht="12.75" customHeight="1">
      <c r="A44" s="1"/>
      <c r="B44" s="1"/>
      <c r="C44" s="1"/>
      <c r="D44" s="6">
        <v>0.0</v>
      </c>
      <c r="E44" s="6">
        <v>0.0</v>
      </c>
      <c r="F44" s="6">
        <v>0.0</v>
      </c>
      <c r="G44" s="7" t="s">
        <v>1</v>
      </c>
      <c r="H44" s="8">
        <v>1.0</v>
      </c>
      <c r="I44" s="8">
        <v>2.0</v>
      </c>
      <c r="J44" s="8">
        <v>3.0</v>
      </c>
      <c r="K44" s="8">
        <v>4.0</v>
      </c>
      <c r="L44" s="8">
        <v>5.0</v>
      </c>
      <c r="M44" s="8">
        <v>6.0</v>
      </c>
      <c r="N44" s="8">
        <v>7.0</v>
      </c>
      <c r="O44" s="8">
        <v>8.0</v>
      </c>
      <c r="P44" s="8">
        <v>9.0</v>
      </c>
      <c r="Q44" s="8">
        <v>10.0</v>
      </c>
      <c r="R44" s="8">
        <v>11.0</v>
      </c>
      <c r="S44" s="8">
        <v>12.0</v>
      </c>
      <c r="T44" s="8">
        <v>13.0</v>
      </c>
      <c r="U44" s="8">
        <v>14.0</v>
      </c>
      <c r="V44" s="8">
        <v>15.0</v>
      </c>
      <c r="W44" s="8">
        <v>16.0</v>
      </c>
      <c r="X44" s="8">
        <v>17.0</v>
      </c>
      <c r="Y44" s="8">
        <v>18.0</v>
      </c>
      <c r="Z44" s="8" t="s">
        <v>2</v>
      </c>
      <c r="AA44" s="8" t="s">
        <v>3</v>
      </c>
      <c r="AB44" s="8" t="s">
        <v>4</v>
      </c>
      <c r="AC44" s="8" t="s">
        <v>5</v>
      </c>
    </row>
    <row r="45" ht="12.75" customHeight="1">
      <c r="A45" s="1"/>
      <c r="B45" s="9" t="s">
        <v>6</v>
      </c>
      <c r="C45" s="10" t="s">
        <v>7</v>
      </c>
      <c r="D45" s="11" t="s">
        <v>8</v>
      </c>
      <c r="E45" s="12" t="s">
        <v>9</v>
      </c>
      <c r="F45" s="12" t="s">
        <v>10</v>
      </c>
      <c r="G45" s="13" t="s">
        <v>11</v>
      </c>
      <c r="H45" s="14">
        <v>3.0</v>
      </c>
      <c r="I45" s="14">
        <v>3.0</v>
      </c>
      <c r="J45" s="14">
        <v>3.0</v>
      </c>
      <c r="K45" s="14">
        <v>3.0</v>
      </c>
      <c r="L45" s="14">
        <v>3.0</v>
      </c>
      <c r="M45" s="14">
        <v>3.0</v>
      </c>
      <c r="N45" s="14">
        <v>3.0</v>
      </c>
      <c r="O45" s="14">
        <v>3.0</v>
      </c>
      <c r="P45" s="14">
        <v>3.0</v>
      </c>
      <c r="Q45" s="14" t="s">
        <v>24</v>
      </c>
      <c r="R45" s="14" t="s">
        <v>24</v>
      </c>
      <c r="S45" s="14" t="s">
        <v>24</v>
      </c>
      <c r="T45" s="14" t="s">
        <v>24</v>
      </c>
      <c r="U45" s="14" t="s">
        <v>24</v>
      </c>
      <c r="V45" s="14" t="s">
        <v>24</v>
      </c>
      <c r="W45" s="14" t="s">
        <v>24</v>
      </c>
      <c r="X45" s="14" t="s">
        <v>24</v>
      </c>
      <c r="Y45" s="14" t="s">
        <v>24</v>
      </c>
      <c r="Z45" s="14">
        <f t="shared" ref="Z45:Z51" si="13">SUM(H45:P45)</f>
        <v>27</v>
      </c>
      <c r="AA45" s="14">
        <f t="shared" ref="AA45:AA51" si="14">SUM(Q45:Y45)</f>
        <v>0</v>
      </c>
      <c r="AB45" s="14">
        <f t="shared" ref="AB45:AB51" si="15">Z45+AA45</f>
        <v>27</v>
      </c>
      <c r="AC45" s="14"/>
    </row>
    <row r="46" ht="12.75" customHeight="1">
      <c r="A46" s="1"/>
      <c r="B46" s="15" t="s">
        <v>12</v>
      </c>
      <c r="C46" s="16">
        <v>21.0</v>
      </c>
      <c r="D46" s="17" t="s">
        <v>13</v>
      </c>
      <c r="E46" s="17" t="s">
        <v>13</v>
      </c>
      <c r="F46" s="17" t="s">
        <v>13</v>
      </c>
      <c r="G46" s="1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f t="shared" si="13"/>
        <v>0</v>
      </c>
      <c r="AA46" s="16">
        <f t="shared" si="14"/>
        <v>0</v>
      </c>
      <c r="AB46" s="16">
        <f t="shared" si="15"/>
        <v>0</v>
      </c>
      <c r="AC46" s="16" t="str">
        <f t="shared" ref="AC46:AC53" si="16">IF(AB46&gt;0,AB46-C46,"")</f>
        <v/>
      </c>
    </row>
    <row r="47" ht="12.75" customHeight="1">
      <c r="A47" s="1"/>
      <c r="B47" s="18" t="s">
        <v>14</v>
      </c>
      <c r="C47" s="19">
        <v>18.0</v>
      </c>
      <c r="D47" s="20" t="s">
        <v>13</v>
      </c>
      <c r="E47" s="20" t="s">
        <v>13</v>
      </c>
      <c r="F47" s="20" t="s">
        <v>13</v>
      </c>
      <c r="G47" s="1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>
        <f t="shared" si="13"/>
        <v>0</v>
      </c>
      <c r="AA47" s="21">
        <f t="shared" si="14"/>
        <v>0</v>
      </c>
      <c r="AB47" s="21">
        <f t="shared" si="15"/>
        <v>0</v>
      </c>
      <c r="AC47" s="16" t="str">
        <f t="shared" si="16"/>
        <v/>
      </c>
    </row>
    <row r="48" ht="12.75" customHeight="1">
      <c r="A48" s="1"/>
      <c r="B48" s="15" t="s">
        <v>15</v>
      </c>
      <c r="C48" s="16">
        <v>16.0</v>
      </c>
      <c r="D48" s="17" t="s">
        <v>13</v>
      </c>
      <c r="E48" s="17" t="s">
        <v>13</v>
      </c>
      <c r="F48" s="17" t="s">
        <v>13</v>
      </c>
      <c r="G48" s="13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f t="shared" si="13"/>
        <v>0</v>
      </c>
      <c r="AA48" s="16">
        <f t="shared" si="14"/>
        <v>0</v>
      </c>
      <c r="AB48" s="16">
        <f t="shared" si="15"/>
        <v>0</v>
      </c>
      <c r="AC48" s="16" t="str">
        <f t="shared" si="16"/>
        <v/>
      </c>
    </row>
    <row r="49" ht="12.75" customHeight="1">
      <c r="A49" s="1"/>
      <c r="B49" s="18" t="s">
        <v>16</v>
      </c>
      <c r="C49" s="19">
        <v>23.0</v>
      </c>
      <c r="D49" s="20" t="s">
        <v>13</v>
      </c>
      <c r="E49" s="20" t="s">
        <v>13</v>
      </c>
      <c r="F49" s="20" t="s">
        <v>13</v>
      </c>
      <c r="G49" s="13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>
        <f t="shared" si="13"/>
        <v>0</v>
      </c>
      <c r="AA49" s="21">
        <f t="shared" si="14"/>
        <v>0</v>
      </c>
      <c r="AB49" s="21">
        <f t="shared" si="15"/>
        <v>0</v>
      </c>
      <c r="AC49" s="16" t="str">
        <f t="shared" si="16"/>
        <v/>
      </c>
    </row>
    <row r="50" ht="12.75" customHeight="1">
      <c r="A50" s="1"/>
      <c r="B50" s="15" t="s">
        <v>17</v>
      </c>
      <c r="C50" s="16">
        <v>18.0</v>
      </c>
      <c r="D50" s="17" t="s">
        <v>13</v>
      </c>
      <c r="E50" s="17" t="s">
        <v>13</v>
      </c>
      <c r="F50" s="17" t="s">
        <v>13</v>
      </c>
      <c r="G50" s="13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 t="shared" si="13"/>
        <v>0</v>
      </c>
      <c r="AA50" s="16">
        <f t="shared" si="14"/>
        <v>0</v>
      </c>
      <c r="AB50" s="16">
        <f t="shared" si="15"/>
        <v>0</v>
      </c>
      <c r="AC50" s="16" t="str">
        <f t="shared" si="16"/>
        <v/>
      </c>
    </row>
    <row r="51" ht="12.75" customHeight="1">
      <c r="A51" s="1"/>
      <c r="B51" s="18" t="s">
        <v>18</v>
      </c>
      <c r="C51" s="19">
        <v>11.0</v>
      </c>
      <c r="D51" s="20" t="s">
        <v>13</v>
      </c>
      <c r="E51" s="20" t="s">
        <v>13</v>
      </c>
      <c r="F51" s="20" t="s">
        <v>13</v>
      </c>
      <c r="G51" s="1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>
        <f t="shared" si="13"/>
        <v>0</v>
      </c>
      <c r="AA51" s="21">
        <f t="shared" si="14"/>
        <v>0</v>
      </c>
      <c r="AB51" s="21">
        <f t="shared" si="15"/>
        <v>0</v>
      </c>
      <c r="AC51" s="16" t="str">
        <f t="shared" si="16"/>
        <v/>
      </c>
    </row>
    <row r="52" ht="12.75" customHeight="1">
      <c r="A52" s="1"/>
      <c r="B52" s="15"/>
      <c r="C52" s="16"/>
      <c r="D52" s="17"/>
      <c r="E52" s="17"/>
      <c r="F52" s="17"/>
      <c r="G52" s="13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 t="str">
        <f t="shared" si="16"/>
        <v/>
      </c>
    </row>
    <row r="53" ht="12.75" customHeight="1">
      <c r="A53" s="30" t="s">
        <v>23</v>
      </c>
      <c r="B53" s="22"/>
      <c r="C53" s="23"/>
      <c r="D53" s="24"/>
      <c r="E53" s="24"/>
      <c r="F53" s="24"/>
      <c r="G53" s="13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16" t="str">
        <f t="shared" si="16"/>
        <v/>
      </c>
    </row>
    <row r="54" ht="12.75" customHeight="1">
      <c r="A54" s="1"/>
      <c r="B54" s="25"/>
      <c r="C54" s="26"/>
      <c r="D54" s="27">
        <f>COUNTIF(Scorecards!$D$4:$D$11, "Y")*D44</f>
        <v>0</v>
      </c>
      <c r="E54" s="27">
        <f>COUNTIF(Scorecards!$E$4:$E$11, "Y")*E44</f>
        <v>0</v>
      </c>
      <c r="F54" s="27">
        <f>COUNTIF(Scorecards!$F$4:$F$11, "Y")*F44</f>
        <v>0</v>
      </c>
      <c r="G54" s="16" t="s">
        <v>19</v>
      </c>
      <c r="H54" s="21" t="str">
        <f t="array" ref="H54">IF(OR(SUM(IF(IF(Scorecards!$D$46:$D$53="Y", H46:H53, 10)=MIN(IF(Scorecards!$D$46:$D$53="Y", H46:H53, 10)), 1, 0)) &gt; 1, MIN(IF(Scorecards!$D$46:$D$53="Y", H46:H53, 10)) &gt; H45), "", INDEX(Scorecards!$B$46:$B$53,MATCH(MIN(IF(Scorecards!$D$46:$D$53="Y",H46:H53,10)),IF(Scorecards!$D$46:$D$53="Y",H46:H53,10),0)))</f>
        <v/>
      </c>
      <c r="I54" s="21" t="str">
        <f t="array" ref="I54">IF(OR(SUM(IF(IF(Scorecards!$D$46:$D$53="Y", I46:I53, 10)=MIN(IF(Scorecards!$D$46:$D$53="Y", I46:I53, 10)), 1, 0)) &gt; 1, MIN(IF(Scorecards!$D$46:$D$53="Y", I46:I53, 10)) &gt; I45), "", INDEX(Scorecards!$B$46:$B$53,MATCH(MIN(IF(Scorecards!$D$46:$D$53="Y",I46:I53,10)),IF(Scorecards!$D$46:$D$53="Y",I46:I53,10),0)))</f>
        <v/>
      </c>
      <c r="J54" s="21" t="str">
        <f t="array" ref="J54">IF(OR(SUM(IF(IF(Scorecards!$D$46:$D$53="Y", J46:J53, 10)=MIN(IF(Scorecards!$D$46:$D$53="Y", J46:J53, 10)), 1, 0)) &gt; 1, MIN(IF(Scorecards!$D$46:$D$53="Y", J46:J53, 10)) &gt; J45), "", INDEX(Scorecards!$B$46:$B$53,MATCH(MIN(IF(Scorecards!$D$46:$D$53="Y",J46:J53,10)),IF(Scorecards!$D$46:$D$53="Y",J46:J53,10),0)))</f>
        <v/>
      </c>
      <c r="K54" s="21" t="str">
        <f t="array" ref="K54">IF(OR(SUM(IF(IF(Scorecards!$D$46:$D$53="Y", K46:K53, 10)=MIN(IF(Scorecards!$D$46:$D$53="Y", K46:K53, 10)), 1, 0)) &gt; 1, MIN(IF(Scorecards!$D$46:$D$53="Y", K46:K53, 10)) &gt; K45), "", INDEX(Scorecards!$B$46:$B$53,MATCH(MIN(IF(Scorecards!$D$46:$D$53="Y",K46:K53,10)),IF(Scorecards!$D$46:$D$53="Y",K46:K53,10),0)))</f>
        <v/>
      </c>
      <c r="L54" s="21" t="str">
        <f t="array" ref="L54">IF(OR(SUM(IF(IF(Scorecards!$D$46:$D$53="Y", L46:L53, 10)=MIN(IF(Scorecards!$D$46:$D$53="Y", L46:L53, 10)), 1, 0)) &gt; 1, MIN(IF(Scorecards!$D$46:$D$53="Y", L46:L53, 10)) &gt; L45), "", INDEX(Scorecards!$B$46:$B$53,MATCH(MIN(IF(Scorecards!$D$46:$D$53="Y",L46:L53,10)),IF(Scorecards!$D$46:$D$53="Y",L46:L53,10),0)))</f>
        <v/>
      </c>
      <c r="M54" s="21" t="str">
        <f t="array" ref="M54">IF(OR(SUM(IF(IF(Scorecards!$D$46:$D$53="Y", M46:M53, 10)=MIN(IF(Scorecards!$D$46:$D$53="Y", M46:M53, 10)), 1, 0)) &gt; 1, MIN(IF(Scorecards!$D$46:$D$53="Y", M46:M53, 10)) &gt; M45), "", INDEX(Scorecards!$B$46:$B$53,MATCH(MIN(IF(Scorecards!$D$46:$D$53="Y",M46:M53,10)),IF(Scorecards!$D$46:$D$53="Y",M46:M53,10),0)))</f>
        <v/>
      </c>
      <c r="N54" s="21" t="str">
        <f t="array" ref="N54">IF(OR(SUM(IF(IF(Scorecards!$D$46:$D$53="Y", N46:N53, 10)=MIN(IF(Scorecards!$D$46:$D$53="Y", N46:N53, 10)), 1, 0)) &gt; 1, MIN(IF(Scorecards!$D$46:$D$53="Y", N46:N53, 10)) &gt; N45), "", INDEX(Scorecards!$B$46:$B$53,MATCH(MIN(IF(Scorecards!$D$46:$D$53="Y",N46:N53,10)),IF(Scorecards!$D$46:$D$53="Y",N46:N53,10),0)))</f>
        <v/>
      </c>
      <c r="O54" s="21" t="str">
        <f t="array" ref="O54">IF(OR(SUM(IF(IF(Scorecards!$D$46:$D$53="Y", O46:O53, 10)=MIN(IF(Scorecards!$D$46:$D$53="Y", O46:O53, 10)), 1, 0)) &gt; 1, MIN(IF(Scorecards!$D$46:$D$53="Y", O46:O53, 10)) &gt; O45), "", INDEX(Scorecards!$B$46:$B$53,MATCH(MIN(IF(Scorecards!$D$46:$D$53="Y",O46:O53,10)),IF(Scorecards!$D$46:$D$53="Y",O46:O53,10),0)))</f>
        <v/>
      </c>
      <c r="P54" s="21" t="str">
        <f t="array" ref="P54">IF(OR(SUM(IF(IF(Scorecards!$D$46:$D$53="Y", P46:P53, 10)=MIN(IF(Scorecards!$D$46:$D$53="Y", P46:P53, 10)), 1, 0)) &gt; 1, MIN(IF(Scorecards!$D$46:$D$53="Y", P46:P53, 10)) &gt; P45), "", INDEX(Scorecards!$B$46:$B$53,MATCH(MIN(IF(Scorecards!$D$46:$D$53="Y",P46:P53,10)),IF(Scorecards!$D$46:$D$53="Y",P46:P53,10),0)))</f>
        <v/>
      </c>
      <c r="Q54" s="21" t="str">
        <f t="array" ref="Q54">IF(OR(SUM(IF(IF(Scorecards!$D$46:$D$53="Y", Q46:Q53, 10)=MIN(IF(Scorecards!$D$46:$D$53="Y", Q46:Q53, 10)), 1, 0)) &gt; 1, MIN(IF(Scorecards!$D$46:$D$53="Y", Q46:Q53, 10)) &gt; Q45), "", INDEX(Scorecards!$B$46:$B$53,MATCH(MIN(IF(Scorecards!$D$46:$D$53="Y",Q46:Q53,10)),IF(Scorecards!$D$46:$D$53="Y",Q46:Q53,10),0)))</f>
        <v/>
      </c>
      <c r="R54" s="21" t="str">
        <f t="array" ref="R54">IF(OR(SUM(IF(IF(Scorecards!$D$46:$D$53="Y", R46:R53, 10)=MIN(IF(Scorecards!$D$46:$D$53="Y", R46:R53, 10)), 1, 0)) &gt; 1, MIN(IF(Scorecards!$D$46:$D$53="Y", R46:R53, 10)) &gt; R45), "", INDEX(Scorecards!$B$46:$B$53,MATCH(MIN(IF(Scorecards!$D$46:$D$53="Y",R46:R53,10)),IF(Scorecards!$D$46:$D$53="Y",R46:R53,10),0)))</f>
        <v/>
      </c>
      <c r="S54" s="21" t="str">
        <f t="array" ref="S54">IF(OR(SUM(IF(IF(Scorecards!$D$46:$D$53="Y", S46:S53, 10)=MIN(IF(Scorecards!$D$46:$D$53="Y", S46:S53, 10)), 1, 0)) &gt; 1, MIN(IF(Scorecards!$D$46:$D$53="Y", S46:S53, 10)) &gt; S45), "", INDEX(Scorecards!$B$46:$B$53,MATCH(MIN(IF(Scorecards!$D$46:$D$53="Y",S46:S53,10)),IF(Scorecards!$D$46:$D$53="Y",S46:S53,10),0)))</f>
        <v/>
      </c>
      <c r="T54" s="21" t="str">
        <f t="array" ref="T54">IF(OR(SUM(IF(IF(Scorecards!$D$46:$D$53="Y", T46:T53, 10)=MIN(IF(Scorecards!$D$46:$D$53="Y", T46:T53, 10)), 1, 0)) &gt; 1, MIN(IF(Scorecards!$D$46:$D$53="Y", T46:T53, 10)) &gt; T45), "", INDEX(Scorecards!$B$46:$B$53,MATCH(MIN(IF(Scorecards!$D$46:$D$53="Y",T46:T53,10)),IF(Scorecards!$D$46:$D$53="Y",T46:T53,10),0)))</f>
        <v/>
      </c>
      <c r="U54" s="21" t="str">
        <f t="array" ref="U54">IF(OR(SUM(IF(IF(Scorecards!$D$46:$D$53="Y", U46:U53, 10)=MIN(IF(Scorecards!$D$46:$D$53="Y", U46:U53, 10)), 1, 0)) &gt; 1, MIN(IF(Scorecards!$D$46:$D$53="Y", U46:U53, 10)) &gt; U45), "", INDEX(Scorecards!$B$46:$B$53,MATCH(MIN(IF(Scorecards!$D$46:$D$53="Y",U46:U53,10)),IF(Scorecards!$D$46:$D$53="Y",U46:U53,10),0)))</f>
        <v/>
      </c>
      <c r="V54" s="21" t="str">
        <f t="array" ref="V54">IF(OR(SUM(IF(IF(Scorecards!$D$46:$D$53="Y", V46:V53, 10)=MIN(IF(Scorecards!$D$46:$D$53="Y", V46:V53, 10)), 1, 0)) &gt; 1, MIN(IF(Scorecards!$D$46:$D$53="Y", V46:V53, 10)) &gt; V45), "", INDEX(Scorecards!$B$46:$B$53,MATCH(MIN(IF(Scorecards!$D$46:$D$53="Y",V46:V53,10)),IF(Scorecards!$D$46:$D$53="Y",V46:V53,10),0)))</f>
        <v/>
      </c>
      <c r="W54" s="21" t="str">
        <f t="array" ref="W54">IF(OR(SUM(IF(IF(Scorecards!$D$46:$D$53="Y", W46:W53, 10)=MIN(IF(Scorecards!$D$46:$D$53="Y", W46:W53, 10)), 1, 0)) &gt; 1, MIN(IF(Scorecards!$D$46:$D$53="Y", W46:W53, 10)) &gt; W45), "", INDEX(Scorecards!$B$46:$B$53,MATCH(MIN(IF(Scorecards!$D$46:$D$53="Y",W46:W53,10)),IF(Scorecards!$D$46:$D$53="Y",W46:W53,10),0)))</f>
        <v/>
      </c>
      <c r="X54" s="21" t="str">
        <f t="array" ref="X54">IF(OR(SUM(IF(IF(Scorecards!$D$46:$D$53="Y", X46:X53, 10)=MIN(IF(Scorecards!$D$46:$D$53="Y", X46:X53, 10)), 1, 0)) &gt; 1, MIN(IF(Scorecards!$D$46:$D$53="Y", X46:X53, 10)) &gt; X45), "", INDEX(Scorecards!$B$46:$B$53,MATCH(MIN(IF(Scorecards!$D$46:$D$53="Y",X46:X53,10)),IF(Scorecards!$D$46:$D$53="Y",X46:X53,10),0)))</f>
        <v/>
      </c>
      <c r="Y54" s="21" t="str">
        <f t="array" ref="Y54">IF(OR(SUM(IF(IF(Scorecards!$D$46:$D$53="Y", Y46:Y53, 10)=MIN(IF(Scorecards!$D$46:$D$53="Y", Y46:Y53, 10)), 1, 0)) &gt; 1, MIN(IF(Scorecards!$D$46:$D$53="Y", Y46:Y53, 10)) &gt; Y45), "", INDEX(Scorecards!$B$46:$B$53,MATCH(MIN(IF(Scorecards!$D$46:$D$53="Y",Y46:Y53,10)),IF(Scorecards!$D$46:$D$53="Y",Y46:Y53,10),0)))</f>
        <v/>
      </c>
      <c r="Z54" s="13"/>
      <c r="AA54" s="13"/>
      <c r="AB54" s="21">
        <f>18-COUNTBLANK(H54:Y54)</f>
        <v>0</v>
      </c>
      <c r="AC54" s="28">
        <f>IF(AB54 = 0, 0, D54/AB54)</f>
        <v>0</v>
      </c>
    </row>
    <row r="55" ht="12.75" customHeight="1">
      <c r="A55" s="1"/>
      <c r="B55" s="1"/>
      <c r="C55" s="1"/>
      <c r="D55" s="1"/>
      <c r="E55" s="1"/>
      <c r="F55" s="1"/>
      <c r="G55" s="16" t="s">
        <v>9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1"/>
      <c r="AA55" s="1"/>
      <c r="AB55" s="21">
        <f>COUNTA(K55,N55,U55,S55)</f>
        <v>0</v>
      </c>
      <c r="AC55" s="28">
        <f>IF(AB55 = 0, 0, E54/AB55)</f>
        <v>0</v>
      </c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1"/>
      <c r="B57" s="1"/>
      <c r="C57" s="1"/>
      <c r="D57" s="1"/>
      <c r="E57" s="1"/>
      <c r="F57" s="1"/>
      <c r="G57" s="2" t="s">
        <v>25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  <c r="AB57" s="29">
        <v>71.4</v>
      </c>
      <c r="AC57" s="29">
        <v>134.0</v>
      </c>
    </row>
    <row r="58" ht="12.75" customHeight="1">
      <c r="A58" s="1"/>
      <c r="B58" s="1"/>
      <c r="C58" s="1"/>
      <c r="D58" s="6">
        <v>10.0</v>
      </c>
      <c r="E58" s="6">
        <v>0.0</v>
      </c>
      <c r="F58" s="6">
        <v>0.0</v>
      </c>
      <c r="G58" s="7" t="s">
        <v>1</v>
      </c>
      <c r="H58" s="8">
        <v>1.0</v>
      </c>
      <c r="I58" s="8">
        <v>2.0</v>
      </c>
      <c r="J58" s="8">
        <v>3.0</v>
      </c>
      <c r="K58" s="8">
        <v>4.0</v>
      </c>
      <c r="L58" s="8">
        <v>5.0</v>
      </c>
      <c r="M58" s="8">
        <v>6.0</v>
      </c>
      <c r="N58" s="8">
        <v>7.0</v>
      </c>
      <c r="O58" s="8">
        <v>8.0</v>
      </c>
      <c r="P58" s="8">
        <v>9.0</v>
      </c>
      <c r="Q58" s="8">
        <v>10.0</v>
      </c>
      <c r="R58" s="8">
        <v>11.0</v>
      </c>
      <c r="S58" s="8">
        <v>12.0</v>
      </c>
      <c r="T58" s="8">
        <v>13.0</v>
      </c>
      <c r="U58" s="8">
        <v>14.0</v>
      </c>
      <c r="V58" s="8">
        <v>15.0</v>
      </c>
      <c r="W58" s="8">
        <v>16.0</v>
      </c>
      <c r="X58" s="8">
        <v>17.0</v>
      </c>
      <c r="Y58" s="8">
        <v>18.0</v>
      </c>
      <c r="Z58" s="8" t="s">
        <v>2</v>
      </c>
      <c r="AA58" s="8" t="s">
        <v>3</v>
      </c>
      <c r="AB58" s="8" t="s">
        <v>4</v>
      </c>
      <c r="AC58" s="8" t="s">
        <v>5</v>
      </c>
    </row>
    <row r="59" ht="12.75" customHeight="1">
      <c r="A59" s="1"/>
      <c r="B59" s="9" t="s">
        <v>6</v>
      </c>
      <c r="C59" s="10" t="s">
        <v>7</v>
      </c>
      <c r="D59" s="11" t="s">
        <v>8</v>
      </c>
      <c r="E59" s="12" t="s">
        <v>9</v>
      </c>
      <c r="F59" s="12" t="s">
        <v>10</v>
      </c>
      <c r="G59" s="13" t="s">
        <v>11</v>
      </c>
      <c r="H59" s="14">
        <v>5.0</v>
      </c>
      <c r="I59" s="14">
        <v>3.0</v>
      </c>
      <c r="J59" s="14">
        <v>4.0</v>
      </c>
      <c r="K59" s="14">
        <v>3.0</v>
      </c>
      <c r="L59" s="14">
        <v>5.0</v>
      </c>
      <c r="M59" s="14">
        <v>3.0</v>
      </c>
      <c r="N59" s="14">
        <v>4.0</v>
      </c>
      <c r="O59" s="14">
        <v>4.0</v>
      </c>
      <c r="P59" s="14">
        <v>4.0</v>
      </c>
      <c r="Q59" s="14">
        <v>5.0</v>
      </c>
      <c r="R59" s="14">
        <v>4.0</v>
      </c>
      <c r="S59" s="14">
        <v>4.0</v>
      </c>
      <c r="T59" s="14">
        <v>3.0</v>
      </c>
      <c r="U59" s="14">
        <v>4.0</v>
      </c>
      <c r="V59" s="14">
        <v>4.0</v>
      </c>
      <c r="W59" s="14">
        <v>3.0</v>
      </c>
      <c r="X59" s="14">
        <v>4.0</v>
      </c>
      <c r="Y59" s="14">
        <v>5.0</v>
      </c>
      <c r="Z59" s="14">
        <f t="shared" ref="Z59:Z65" si="17">SUM(H59:P59)</f>
        <v>35</v>
      </c>
      <c r="AA59" s="14">
        <f t="shared" ref="AA59:AA65" si="18">SUM(Q59:Y59)</f>
        <v>36</v>
      </c>
      <c r="AB59" s="14">
        <f t="shared" ref="AB59:AB65" si="19">Z59+AA59</f>
        <v>71</v>
      </c>
      <c r="AC59" s="14"/>
    </row>
    <row r="60" ht="12.75" customHeight="1">
      <c r="A60" s="1"/>
      <c r="B60" s="15" t="s">
        <v>12</v>
      </c>
      <c r="C60" s="16">
        <v>21.0</v>
      </c>
      <c r="D60" s="17" t="s">
        <v>13</v>
      </c>
      <c r="E60" s="17" t="s">
        <v>13</v>
      </c>
      <c r="F60" s="17" t="s">
        <v>13</v>
      </c>
      <c r="G60" s="13"/>
      <c r="H60" s="16">
        <v>6.0</v>
      </c>
      <c r="I60" s="16">
        <v>3.0</v>
      </c>
      <c r="J60" s="16">
        <v>5.0</v>
      </c>
      <c r="K60" s="16">
        <v>3.0</v>
      </c>
      <c r="L60" s="16">
        <v>6.0</v>
      </c>
      <c r="M60" s="16">
        <v>3.0</v>
      </c>
      <c r="N60" s="16">
        <v>6.0</v>
      </c>
      <c r="O60" s="16">
        <v>4.0</v>
      </c>
      <c r="P60" s="16">
        <v>8.0</v>
      </c>
      <c r="Q60" s="16">
        <v>7.0</v>
      </c>
      <c r="R60" s="16">
        <v>5.0</v>
      </c>
      <c r="S60" s="16">
        <v>6.0</v>
      </c>
      <c r="T60" s="16">
        <v>4.0</v>
      </c>
      <c r="U60" s="16">
        <v>8.0</v>
      </c>
      <c r="V60" s="16">
        <v>5.0</v>
      </c>
      <c r="W60" s="16">
        <v>4.0</v>
      </c>
      <c r="X60" s="16">
        <v>5.0</v>
      </c>
      <c r="Y60" s="16">
        <v>6.0</v>
      </c>
      <c r="Z60" s="16">
        <f t="shared" si="17"/>
        <v>44</v>
      </c>
      <c r="AA60" s="16">
        <f t="shared" si="18"/>
        <v>50</v>
      </c>
      <c r="AB60" s="16">
        <f t="shared" si="19"/>
        <v>94</v>
      </c>
      <c r="AC60" s="16">
        <f t="shared" ref="AC60:AC67" si="20">IF(AB60&gt;0,AB60-C60,"")</f>
        <v>73</v>
      </c>
    </row>
    <row r="61" ht="12.75" customHeight="1">
      <c r="A61" s="1"/>
      <c r="B61" s="18" t="s">
        <v>14</v>
      </c>
      <c r="C61" s="19">
        <v>18.0</v>
      </c>
      <c r="D61" s="20" t="s">
        <v>13</v>
      </c>
      <c r="E61" s="20" t="s">
        <v>13</v>
      </c>
      <c r="F61" s="20" t="s">
        <v>13</v>
      </c>
      <c r="G61" s="13"/>
      <c r="H61" s="21">
        <v>8.0</v>
      </c>
      <c r="I61" s="21">
        <v>3.0</v>
      </c>
      <c r="J61" s="21">
        <v>5.0</v>
      </c>
      <c r="K61" s="21">
        <v>4.0</v>
      </c>
      <c r="L61" s="21">
        <v>6.0</v>
      </c>
      <c r="M61" s="21">
        <v>4.0</v>
      </c>
      <c r="N61" s="21">
        <v>6.0</v>
      </c>
      <c r="O61" s="21">
        <v>11.0</v>
      </c>
      <c r="P61" s="21">
        <v>7.0</v>
      </c>
      <c r="Q61" s="21">
        <v>7.0</v>
      </c>
      <c r="R61" s="21">
        <v>6.0</v>
      </c>
      <c r="S61" s="21">
        <v>5.0</v>
      </c>
      <c r="T61" s="21">
        <v>5.0</v>
      </c>
      <c r="U61" s="21">
        <v>7.0</v>
      </c>
      <c r="V61" s="21">
        <v>3.0</v>
      </c>
      <c r="W61" s="21">
        <v>5.0</v>
      </c>
      <c r="X61" s="21">
        <v>8.0</v>
      </c>
      <c r="Y61" s="21">
        <v>9.0</v>
      </c>
      <c r="Z61" s="21">
        <f t="shared" si="17"/>
        <v>54</v>
      </c>
      <c r="AA61" s="21">
        <f t="shared" si="18"/>
        <v>55</v>
      </c>
      <c r="AB61" s="21">
        <f t="shared" si="19"/>
        <v>109</v>
      </c>
      <c r="AC61" s="16">
        <f t="shared" si="20"/>
        <v>91</v>
      </c>
    </row>
    <row r="62" ht="12.75" customHeight="1">
      <c r="A62" s="1"/>
      <c r="B62" s="15" t="s">
        <v>15</v>
      </c>
      <c r="C62" s="16">
        <v>16.0</v>
      </c>
      <c r="D62" s="17" t="s">
        <v>13</v>
      </c>
      <c r="E62" s="17" t="s">
        <v>13</v>
      </c>
      <c r="F62" s="17" t="s">
        <v>13</v>
      </c>
      <c r="G62" s="13"/>
      <c r="H62" s="16">
        <v>7.0</v>
      </c>
      <c r="I62" s="16">
        <v>4.0</v>
      </c>
      <c r="J62" s="16">
        <v>5.0</v>
      </c>
      <c r="K62" s="16">
        <v>4.0</v>
      </c>
      <c r="L62" s="16">
        <v>6.0</v>
      </c>
      <c r="M62" s="16">
        <v>3.0</v>
      </c>
      <c r="N62" s="16">
        <v>6.0</v>
      </c>
      <c r="O62" s="16">
        <v>6.0</v>
      </c>
      <c r="P62" s="16">
        <v>6.0</v>
      </c>
      <c r="Q62" s="16">
        <v>6.0</v>
      </c>
      <c r="R62" s="16">
        <v>6.0</v>
      </c>
      <c r="S62" s="16">
        <v>5.0</v>
      </c>
      <c r="T62" s="16">
        <v>4.0</v>
      </c>
      <c r="U62" s="16">
        <v>6.0</v>
      </c>
      <c r="V62" s="16">
        <v>4.0</v>
      </c>
      <c r="W62" s="16">
        <v>4.0</v>
      </c>
      <c r="X62" s="16">
        <v>5.0</v>
      </c>
      <c r="Y62" s="16">
        <v>10.0</v>
      </c>
      <c r="Z62" s="16">
        <f t="shared" si="17"/>
        <v>47</v>
      </c>
      <c r="AA62" s="16">
        <f t="shared" si="18"/>
        <v>50</v>
      </c>
      <c r="AB62" s="16">
        <f t="shared" si="19"/>
        <v>97</v>
      </c>
      <c r="AC62" s="16">
        <f t="shared" si="20"/>
        <v>81</v>
      </c>
    </row>
    <row r="63" ht="12.75" customHeight="1">
      <c r="A63" s="1"/>
      <c r="B63" s="18" t="s">
        <v>16</v>
      </c>
      <c r="C63" s="19">
        <v>23.0</v>
      </c>
      <c r="D63" s="20" t="s">
        <v>13</v>
      </c>
      <c r="E63" s="20" t="s">
        <v>13</v>
      </c>
      <c r="F63" s="20" t="s">
        <v>13</v>
      </c>
      <c r="G63" s="13"/>
      <c r="H63" s="21">
        <v>6.0</v>
      </c>
      <c r="I63" s="21">
        <v>5.0</v>
      </c>
      <c r="J63" s="21">
        <v>4.0</v>
      </c>
      <c r="K63" s="21">
        <v>4.0</v>
      </c>
      <c r="L63" s="21">
        <v>7.0</v>
      </c>
      <c r="M63" s="21">
        <v>4.0</v>
      </c>
      <c r="N63" s="21">
        <v>4.0</v>
      </c>
      <c r="O63" s="21">
        <v>6.0</v>
      </c>
      <c r="P63" s="21">
        <v>9.0</v>
      </c>
      <c r="Q63" s="21">
        <v>6.0</v>
      </c>
      <c r="R63" s="21">
        <v>8.0</v>
      </c>
      <c r="S63" s="21">
        <v>6.0</v>
      </c>
      <c r="T63" s="21">
        <v>5.0</v>
      </c>
      <c r="U63" s="21">
        <v>7.0</v>
      </c>
      <c r="V63" s="21">
        <v>5.0</v>
      </c>
      <c r="W63" s="21">
        <v>3.0</v>
      </c>
      <c r="X63" s="21">
        <v>6.0</v>
      </c>
      <c r="Y63" s="21">
        <v>5.0</v>
      </c>
      <c r="Z63" s="21">
        <f t="shared" si="17"/>
        <v>49</v>
      </c>
      <c r="AA63" s="21">
        <f t="shared" si="18"/>
        <v>51</v>
      </c>
      <c r="AB63" s="21">
        <f t="shared" si="19"/>
        <v>100</v>
      </c>
      <c r="AC63" s="16">
        <f t="shared" si="20"/>
        <v>77</v>
      </c>
    </row>
    <row r="64" ht="12.75" customHeight="1">
      <c r="A64" s="1"/>
      <c r="B64" s="15" t="s">
        <v>17</v>
      </c>
      <c r="C64" s="16">
        <v>18.0</v>
      </c>
      <c r="D64" s="17" t="s">
        <v>13</v>
      </c>
      <c r="E64" s="17" t="s">
        <v>13</v>
      </c>
      <c r="F64" s="17" t="s">
        <v>13</v>
      </c>
      <c r="G64" s="13"/>
      <c r="H64" s="16">
        <v>6.0</v>
      </c>
      <c r="I64" s="16">
        <v>4.0</v>
      </c>
      <c r="J64" s="16">
        <v>8.0</v>
      </c>
      <c r="K64" s="16">
        <v>6.0</v>
      </c>
      <c r="L64" s="16">
        <v>9.0</v>
      </c>
      <c r="M64" s="16">
        <v>4.0</v>
      </c>
      <c r="N64" s="16">
        <v>6.0</v>
      </c>
      <c r="O64" s="16">
        <v>4.0</v>
      </c>
      <c r="P64" s="16">
        <v>6.0</v>
      </c>
      <c r="Q64" s="16">
        <v>5.0</v>
      </c>
      <c r="R64" s="16">
        <v>5.0</v>
      </c>
      <c r="S64" s="16">
        <v>5.0</v>
      </c>
      <c r="T64" s="16">
        <v>3.0</v>
      </c>
      <c r="U64" s="16">
        <v>7.0</v>
      </c>
      <c r="V64" s="16">
        <v>5.0</v>
      </c>
      <c r="W64" s="16">
        <v>3.0</v>
      </c>
      <c r="X64" s="16">
        <v>4.0</v>
      </c>
      <c r="Y64" s="16">
        <v>6.0</v>
      </c>
      <c r="Z64" s="16">
        <f t="shared" si="17"/>
        <v>53</v>
      </c>
      <c r="AA64" s="16">
        <f t="shared" si="18"/>
        <v>43</v>
      </c>
      <c r="AB64" s="16">
        <f t="shared" si="19"/>
        <v>96</v>
      </c>
      <c r="AC64" s="16">
        <f t="shared" si="20"/>
        <v>78</v>
      </c>
    </row>
    <row r="65" ht="12.75" customHeight="1">
      <c r="A65" s="1"/>
      <c r="B65" s="18" t="s">
        <v>18</v>
      </c>
      <c r="C65" s="19">
        <v>11.0</v>
      </c>
      <c r="D65" s="20" t="s">
        <v>13</v>
      </c>
      <c r="E65" s="20" t="s">
        <v>13</v>
      </c>
      <c r="F65" s="20" t="s">
        <v>13</v>
      </c>
      <c r="G65" s="13"/>
      <c r="H65" s="21">
        <v>5.0</v>
      </c>
      <c r="I65" s="21">
        <v>3.0</v>
      </c>
      <c r="J65" s="21">
        <v>5.0</v>
      </c>
      <c r="K65" s="21">
        <v>4.0</v>
      </c>
      <c r="L65" s="21">
        <v>7.0</v>
      </c>
      <c r="M65" s="21">
        <v>4.0</v>
      </c>
      <c r="N65" s="21">
        <v>5.0</v>
      </c>
      <c r="O65" s="21">
        <v>7.0</v>
      </c>
      <c r="P65" s="21">
        <v>5.0</v>
      </c>
      <c r="Q65" s="21">
        <v>6.0</v>
      </c>
      <c r="R65" s="21">
        <v>5.0</v>
      </c>
      <c r="S65" s="21">
        <v>4.0</v>
      </c>
      <c r="T65" s="21">
        <v>4.0</v>
      </c>
      <c r="U65" s="21">
        <v>4.0</v>
      </c>
      <c r="V65" s="21">
        <v>6.0</v>
      </c>
      <c r="W65" s="21">
        <v>4.0</v>
      </c>
      <c r="X65" s="21">
        <v>5.0</v>
      </c>
      <c r="Y65" s="21">
        <v>7.0</v>
      </c>
      <c r="Z65" s="21">
        <f t="shared" si="17"/>
        <v>45</v>
      </c>
      <c r="AA65" s="21">
        <f t="shared" si="18"/>
        <v>45</v>
      </c>
      <c r="AB65" s="21">
        <f t="shared" si="19"/>
        <v>90</v>
      </c>
      <c r="AC65" s="16">
        <f t="shared" si="20"/>
        <v>79</v>
      </c>
    </row>
    <row r="66" ht="12.75" customHeight="1">
      <c r="A66" s="1"/>
      <c r="B66" s="15"/>
      <c r="C66" s="16"/>
      <c r="D66" s="17"/>
      <c r="E66" s="17"/>
      <c r="F66" s="17"/>
      <c r="G66" s="13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 t="str">
        <f t="shared" si="20"/>
        <v/>
      </c>
    </row>
    <row r="67" ht="12.75" customHeight="1">
      <c r="A67" s="30" t="s">
        <v>26</v>
      </c>
      <c r="B67" s="22"/>
      <c r="C67" s="23"/>
      <c r="D67" s="24"/>
      <c r="E67" s="24"/>
      <c r="F67" s="24"/>
      <c r="G67" s="1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16" t="str">
        <f t="shared" si="20"/>
        <v/>
      </c>
    </row>
    <row r="68" ht="12.75" customHeight="1">
      <c r="A68" s="1"/>
      <c r="B68" s="25"/>
      <c r="C68" s="26"/>
      <c r="D68" s="27">
        <f>COUNTIF(Scorecards!$D$4:$D$11, "Y")*D58</f>
        <v>60</v>
      </c>
      <c r="E68" s="27">
        <f>COUNTIF(Scorecards!$E$4:$E$11, "Y")*E58</f>
        <v>0</v>
      </c>
      <c r="F68" s="27">
        <f>COUNTIF(Scorecards!$F$4:$F$11, "Y")*F58</f>
        <v>0</v>
      </c>
      <c r="G68" s="16" t="s">
        <v>19</v>
      </c>
      <c r="H68" s="21" t="str">
        <f t="array" ref="H68">IF(OR(SUM(IF(IF(Scorecards!$D$60:$D$67="Y", H60:H67, 10)=MIN(IF(Scorecards!$D$60:$D$67="Y", H60:H67, 10)), 1, 0)) &gt; 1, MIN(IF(Scorecards!$D$60:$D$67="Y", H60:H67, 10)) &gt; H59), "", INDEX(Scorecards!$B$60:$B$67,MATCH(MIN(IF(Scorecards!$D$60:$D$67="Y",H60:H67,10)),IF(Scorecards!$D$60:$D$67="Y",H60:H67,10),0)))</f>
        <v>SR</v>
      </c>
      <c r="I68" s="21" t="str">
        <f t="array" ref="I68">IF(OR(SUM(IF(IF(Scorecards!$D$60:$D$67="Y", I60:I67, 10)=MIN(IF(Scorecards!$D$60:$D$67="Y", I60:I67, 10)), 1, 0)) &gt; 1, MIN(IF(Scorecards!$D$60:$D$67="Y", I60:I67, 10)) &gt; I59), "", INDEX(Scorecards!$B$60:$B$67,MATCH(MIN(IF(Scorecards!$D$60:$D$67="Y",I60:I67,10)),IF(Scorecards!$D$60:$D$67="Y",I60:I67,10),0)))</f>
        <v/>
      </c>
      <c r="J68" s="21" t="str">
        <f t="array" ref="J68">IF(OR(SUM(IF(IF(Scorecards!$D$60:$D$67="Y", J60:J67, 10)=MIN(IF(Scorecards!$D$60:$D$67="Y", J60:J67, 10)), 1, 0)) &gt; 1, MIN(IF(Scorecards!$D$60:$D$67="Y", J60:J67, 10)) &gt; J59), "", INDEX(Scorecards!$B$60:$B$67,MATCH(MIN(IF(Scorecards!$D$60:$D$67="Y",J60:J67,10)),IF(Scorecards!$D$60:$D$67="Y",J60:J67,10),0)))</f>
        <v>EO</v>
      </c>
      <c r="K68" s="21" t="str">
        <f t="array" ref="K68">IF(OR(SUM(IF(IF(Scorecards!$D$60:$D$67="Y", K60:K67, 10)=MIN(IF(Scorecards!$D$60:$D$67="Y", K60:K67, 10)), 1, 0)) &gt; 1, MIN(IF(Scorecards!$D$60:$D$67="Y", K60:K67, 10)) &gt; K59), "", INDEX(Scorecards!$B$60:$B$67,MATCH(MIN(IF(Scorecards!$D$60:$D$67="Y",K60:K67,10)),IF(Scorecards!$D$60:$D$67="Y",K60:K67,10),0)))</f>
        <v>AJ</v>
      </c>
      <c r="L68" s="21" t="str">
        <f t="array" ref="L68">IF(OR(SUM(IF(IF(Scorecards!$D$60:$D$67="Y", L60:L67, 10)=MIN(IF(Scorecards!$D$60:$D$67="Y", L60:L67, 10)), 1, 0)) &gt; 1, MIN(IF(Scorecards!$D$60:$D$67="Y", L60:L67, 10)) &gt; L59), "", INDEX(Scorecards!$B$60:$B$67,MATCH(MIN(IF(Scorecards!$D$60:$D$67="Y",L60:L67,10)),IF(Scorecards!$D$60:$D$67="Y",L60:L67,10),0)))</f>
        <v/>
      </c>
      <c r="M68" s="21" t="str">
        <f t="array" ref="M68">IF(OR(SUM(IF(IF(Scorecards!$D$60:$D$67="Y", M60:M67, 10)=MIN(IF(Scorecards!$D$60:$D$67="Y", M60:M67, 10)), 1, 0)) &gt; 1, MIN(IF(Scorecards!$D$60:$D$67="Y", M60:M67, 10)) &gt; M59), "", INDEX(Scorecards!$B$60:$B$67,MATCH(MIN(IF(Scorecards!$D$60:$D$67="Y",M60:M67,10)),IF(Scorecards!$D$60:$D$67="Y",M60:M67,10),0)))</f>
        <v/>
      </c>
      <c r="N68" s="21" t="str">
        <f t="array" ref="N68">IF(OR(SUM(IF(IF(Scorecards!$D$60:$D$67="Y", N60:N67, 10)=MIN(IF(Scorecards!$D$60:$D$67="Y", N60:N67, 10)), 1, 0)) &gt; 1, MIN(IF(Scorecards!$D$60:$D$67="Y", N60:N67, 10)) &gt; N59), "", INDEX(Scorecards!$B$60:$B$67,MATCH(MIN(IF(Scorecards!$D$60:$D$67="Y",N60:N67,10)),IF(Scorecards!$D$60:$D$67="Y",N60:N67,10),0)))</f>
        <v>EO</v>
      </c>
      <c r="O68" s="21" t="str">
        <f t="array" ref="O68">IF(OR(SUM(IF(IF(Scorecards!$D$60:$D$67="Y", O60:O67, 10)=MIN(IF(Scorecards!$D$60:$D$67="Y", O60:O67, 10)), 1, 0)) &gt; 1, MIN(IF(Scorecards!$D$60:$D$67="Y", O60:O67, 10)) &gt; O59), "", INDEX(Scorecards!$B$60:$B$67,MATCH(MIN(IF(Scorecards!$D$60:$D$67="Y",O60:O67,10)),IF(Scorecards!$D$60:$D$67="Y",O60:O67,10),0)))</f>
        <v/>
      </c>
      <c r="P68" s="21" t="str">
        <f t="array" ref="P68">IF(OR(SUM(IF(IF(Scorecards!$D$60:$D$67="Y", P60:P67, 10)=MIN(IF(Scorecards!$D$60:$D$67="Y", P60:P67, 10)), 1, 0)) &gt; 1, MIN(IF(Scorecards!$D$60:$D$67="Y", P60:P67, 10)) &gt; P59), "", INDEX(Scorecards!$B$60:$B$67,MATCH(MIN(IF(Scorecards!$D$60:$D$67="Y",P60:P67,10)),IF(Scorecards!$D$60:$D$67="Y",P60:P67,10),0)))</f>
        <v/>
      </c>
      <c r="Q68" s="21" t="str">
        <f t="array" ref="Q68">IF(OR(SUM(IF(IF(Scorecards!$D$60:$D$67="Y", Q60:Q67, 10)=MIN(IF(Scorecards!$D$60:$D$67="Y", Q60:Q67, 10)), 1, 0)) &gt; 1, MIN(IF(Scorecards!$D$60:$D$67="Y", Q60:Q67, 10)) &gt; Q59), "", INDEX(Scorecards!$B$60:$B$67,MATCH(MIN(IF(Scorecards!$D$60:$D$67="Y",Q60:Q67,10)),IF(Scorecards!$D$60:$D$67="Y",Q60:Q67,10),0)))</f>
        <v>MV</v>
      </c>
      <c r="R68" s="21" t="str">
        <f t="array" ref="R68">IF(OR(SUM(IF(IF(Scorecards!$D$60:$D$67="Y", R60:R67, 10)=MIN(IF(Scorecards!$D$60:$D$67="Y", R60:R67, 10)), 1, 0)) &gt; 1, MIN(IF(Scorecards!$D$60:$D$67="Y", R60:R67, 10)) &gt; R59), "", INDEX(Scorecards!$B$60:$B$67,MATCH(MIN(IF(Scorecards!$D$60:$D$67="Y",R60:R67,10)),IF(Scorecards!$D$60:$D$67="Y",R60:R67,10),0)))</f>
        <v/>
      </c>
      <c r="S68" s="21" t="str">
        <f t="array" ref="S68">IF(OR(SUM(IF(IF(Scorecards!$D$60:$D$67="Y", S60:S67, 10)=MIN(IF(Scorecards!$D$60:$D$67="Y", S60:S67, 10)), 1, 0)) &gt; 1, MIN(IF(Scorecards!$D$60:$D$67="Y", S60:S67, 10)) &gt; S59), "", INDEX(Scorecards!$B$60:$B$67,MATCH(MIN(IF(Scorecards!$D$60:$D$67="Y",S60:S67,10)),IF(Scorecards!$D$60:$D$67="Y",S60:S67,10),0)))</f>
        <v>SR</v>
      </c>
      <c r="T68" s="21" t="str">
        <f t="array" ref="T68">IF(OR(SUM(IF(IF(Scorecards!$D$60:$D$67="Y", T60:T67, 10)=MIN(IF(Scorecards!$D$60:$D$67="Y", T60:T67, 10)), 1, 0)) &gt; 1, MIN(IF(Scorecards!$D$60:$D$67="Y", T60:T67, 10)) &gt; T59), "", INDEX(Scorecards!$B$60:$B$67,MATCH(MIN(IF(Scorecards!$D$60:$D$67="Y",T60:T67,10)),IF(Scorecards!$D$60:$D$67="Y",T60:T67,10),0)))</f>
        <v>MV</v>
      </c>
      <c r="U68" s="21" t="str">
        <f t="array" ref="U68">IF(OR(SUM(IF(IF(Scorecards!$D$60:$D$67="Y", U60:U67, 10)=MIN(IF(Scorecards!$D$60:$D$67="Y", U60:U67, 10)), 1, 0)) &gt; 1, MIN(IF(Scorecards!$D$60:$D$67="Y", U60:U67, 10)) &gt; U59), "", INDEX(Scorecards!$B$60:$B$67,MATCH(MIN(IF(Scorecards!$D$60:$D$67="Y",U60:U67,10)),IF(Scorecards!$D$60:$D$67="Y",U60:U67,10),0)))</f>
        <v>SR</v>
      </c>
      <c r="V68" s="21" t="str">
        <f t="array" ref="V68">IF(OR(SUM(IF(IF(Scorecards!$D$60:$D$67="Y", V60:V67, 10)=MIN(IF(Scorecards!$D$60:$D$67="Y", V60:V67, 10)), 1, 0)) &gt; 1, MIN(IF(Scorecards!$D$60:$D$67="Y", V60:V67, 10)) &gt; V59), "", INDEX(Scorecards!$B$60:$B$67,MATCH(MIN(IF(Scorecards!$D$60:$D$67="Y",V60:V67,10)),IF(Scorecards!$D$60:$D$67="Y",V60:V67,10),0)))</f>
        <v>BB</v>
      </c>
      <c r="W68" s="21" t="str">
        <f t="array" ref="W68">IF(OR(SUM(IF(IF(Scorecards!$D$60:$D$67="Y", W60:W67, 10)=MIN(IF(Scorecards!$D$60:$D$67="Y", W60:W67, 10)), 1, 0)) &gt; 1, MIN(IF(Scorecards!$D$60:$D$67="Y", W60:W67, 10)) &gt; W59), "", INDEX(Scorecards!$B$60:$B$67,MATCH(MIN(IF(Scorecards!$D$60:$D$67="Y",W60:W67,10)),IF(Scorecards!$D$60:$D$67="Y",W60:W67,10),0)))</f>
        <v/>
      </c>
      <c r="X68" s="21" t="str">
        <f t="array" ref="X68">IF(OR(SUM(IF(IF(Scorecards!$D$60:$D$67="Y", X60:X67, 10)=MIN(IF(Scorecards!$D$60:$D$67="Y", X60:X67, 10)), 1, 0)) &gt; 1, MIN(IF(Scorecards!$D$60:$D$67="Y", X60:X67, 10)) &gt; X59), "", INDEX(Scorecards!$B$60:$B$67,MATCH(MIN(IF(Scorecards!$D$60:$D$67="Y",X60:X67,10)),IF(Scorecards!$D$60:$D$67="Y",X60:X67,10),0)))</f>
        <v>MV</v>
      </c>
      <c r="Y68" s="21" t="str">
        <f t="array" ref="Y68">IF(OR(SUM(IF(IF(Scorecards!$D$60:$D$67="Y", Y60:Y67, 10)=MIN(IF(Scorecards!$D$60:$D$67="Y", Y60:Y67, 10)), 1, 0)) &gt; 1, MIN(IF(Scorecards!$D$60:$D$67="Y", Y60:Y67, 10)) &gt; Y59), "", INDEX(Scorecards!$B$60:$B$67,MATCH(MIN(IF(Scorecards!$D$60:$D$67="Y",Y60:Y67,10)),IF(Scorecards!$D$60:$D$67="Y",Y60:Y67,10),0)))</f>
        <v>EO</v>
      </c>
      <c r="Z68" s="13"/>
      <c r="AA68" s="13"/>
      <c r="AB68" s="21">
        <f>18-COUNTBLANK(H68:Y68)</f>
        <v>11</v>
      </c>
      <c r="AC68" s="28">
        <f>IF(AB68 = 0, 0, D68/AB68)</f>
        <v>5.454545455</v>
      </c>
    </row>
    <row r="69" ht="12.75" customHeight="1">
      <c r="A69" s="1"/>
      <c r="B69" s="1"/>
      <c r="C69" s="1"/>
      <c r="D69" s="1"/>
      <c r="E69" s="1"/>
      <c r="F69" s="1"/>
      <c r="G69" s="16" t="s">
        <v>9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1"/>
      <c r="AA69" s="1"/>
      <c r="AB69" s="21">
        <f>COUNTA(K69,I69,R69,T69)</f>
        <v>0</v>
      </c>
      <c r="AC69" s="28">
        <f>IF(AB69 = 0, 0, E68/AB69)</f>
        <v>0</v>
      </c>
    </row>
  </sheetData>
  <mergeCells count="5">
    <mergeCell ref="G1:AA1"/>
    <mergeCell ref="G15:AA15"/>
    <mergeCell ref="G29:AA29"/>
    <mergeCell ref="G43:AA43"/>
    <mergeCell ref="G57:AA57"/>
  </mergeCells>
  <conditionalFormatting sqref="H13:Y13">
    <cfRule type="expression" dxfId="0" priority="1">
      <formula>H3&lt;&gt;3</formula>
    </cfRule>
  </conditionalFormatting>
  <conditionalFormatting sqref="H27:Y27">
    <cfRule type="expression" dxfId="0" priority="2">
      <formula>H17&lt;&gt;3</formula>
    </cfRule>
  </conditionalFormatting>
  <conditionalFormatting sqref="H41:Y41">
    <cfRule type="expression" dxfId="0" priority="3">
      <formula>H31&lt;&gt;3</formula>
    </cfRule>
  </conditionalFormatting>
  <conditionalFormatting sqref="H55:Y55">
    <cfRule type="expression" dxfId="0" priority="4">
      <formula>H45&lt;&gt;3</formula>
    </cfRule>
  </conditionalFormatting>
  <conditionalFormatting sqref="H69:Y69">
    <cfRule type="expression" dxfId="0" priority="5">
      <formula>H59&lt;&gt;3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7" width="14.29"/>
    <col customWidth="1" min="8" max="10" width="16.71"/>
    <col customWidth="1" min="11" max="11" width="14.29"/>
    <col customWidth="1" min="12" max="12" width="12.86"/>
    <col customWidth="1" min="13" max="13" width="11.14"/>
    <col customWidth="1" min="14" max="14" width="10.71"/>
    <col customWidth="1" min="15" max="15" width="10.29"/>
    <col customWidth="1" min="16" max="16" width="12.0"/>
    <col customWidth="1" min="17" max="17" width="11.0"/>
    <col customWidth="1" min="18" max="26" width="8.71"/>
  </cols>
  <sheetData>
    <row r="1" ht="12.75" customHeight="1">
      <c r="A1" s="33" t="s">
        <v>6</v>
      </c>
      <c r="B1" s="33" t="str">
        <f>Scorecards!G1</f>
        <v>BLACK LAKE</v>
      </c>
      <c r="C1" s="33" t="str">
        <f>Scorecards!G15</f>
        <v>THE TRIBUTE</v>
      </c>
      <c r="D1" s="33" t="str">
        <f>Scorecards!G29</f>
        <v>THE SIGNATURE</v>
      </c>
      <c r="E1" s="33" t="str">
        <f>Scorecards!G43</f>
        <v>THREETOPS</v>
      </c>
      <c r="F1" s="33" t="str">
        <f>Scorecards!G57</f>
        <v>THE MASTERPIECE</v>
      </c>
      <c r="G1" s="33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1" t="s">
        <v>27</v>
      </c>
      <c r="B2" s="21">
        <f>Scorecards!AC4</f>
        <v>78</v>
      </c>
      <c r="C2" s="21">
        <f>Scorecards!AC18</f>
        <v>77</v>
      </c>
      <c r="D2" s="21">
        <f>Scorecards!AC32</f>
        <v>81</v>
      </c>
      <c r="E2" s="21" t="str">
        <f>Scorecards!AC46</f>
        <v/>
      </c>
      <c r="F2" s="21">
        <f>Scorecards!AC60</f>
        <v>73</v>
      </c>
      <c r="G2" s="21">
        <f t="shared" ref="G2:G7" si="1">SUM(B2:F2)</f>
        <v>309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1" t="s">
        <v>28</v>
      </c>
      <c r="B3" s="21">
        <f>Scorecards!AC5</f>
        <v>71</v>
      </c>
      <c r="C3" s="21">
        <f>Scorecards!AC19</f>
        <v>78</v>
      </c>
      <c r="D3" s="21">
        <f>Scorecards!AC33</f>
        <v>71</v>
      </c>
      <c r="E3" s="21" t="str">
        <f>Scorecards!AC47</f>
        <v/>
      </c>
      <c r="F3" s="21">
        <f>Scorecards!AC61</f>
        <v>91</v>
      </c>
      <c r="G3" s="21">
        <f t="shared" si="1"/>
        <v>311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1" t="s">
        <v>29</v>
      </c>
      <c r="B4" s="21">
        <f>Scorecards!AC6</f>
        <v>75</v>
      </c>
      <c r="C4" s="21">
        <f>Scorecards!AC20</f>
        <v>78</v>
      </c>
      <c r="D4" s="21">
        <f>Scorecards!AC34</f>
        <v>79</v>
      </c>
      <c r="E4" s="21" t="str">
        <f>Scorecards!AC48</f>
        <v/>
      </c>
      <c r="F4" s="21">
        <f>Scorecards!AC62</f>
        <v>81</v>
      </c>
      <c r="G4" s="21">
        <f t="shared" si="1"/>
        <v>313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1" t="s">
        <v>30</v>
      </c>
      <c r="B5" s="21">
        <f>Scorecards!AC7</f>
        <v>71</v>
      </c>
      <c r="C5" s="21">
        <f>Scorecards!AC21</f>
        <v>69</v>
      </c>
      <c r="D5" s="21">
        <f>Scorecards!AC35</f>
        <v>78</v>
      </c>
      <c r="E5" s="21" t="str">
        <f>Scorecards!AC49</f>
        <v/>
      </c>
      <c r="F5" s="21">
        <f>Scorecards!AC63</f>
        <v>77</v>
      </c>
      <c r="G5" s="21">
        <f t="shared" si="1"/>
        <v>295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1" t="s">
        <v>31</v>
      </c>
      <c r="B6" s="21">
        <f>Scorecards!AC8</f>
        <v>77</v>
      </c>
      <c r="C6" s="21">
        <f>Scorecards!AC22</f>
        <v>72</v>
      </c>
      <c r="D6" s="21">
        <f>Scorecards!AC36</f>
        <v>80</v>
      </c>
      <c r="E6" s="21" t="str">
        <f>Scorecards!AC50</f>
        <v/>
      </c>
      <c r="F6" s="21">
        <f>Scorecards!AC64</f>
        <v>78</v>
      </c>
      <c r="G6" s="21">
        <f t="shared" si="1"/>
        <v>307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1" t="s">
        <v>32</v>
      </c>
      <c r="B7" s="21">
        <f>Scorecards!AC9</f>
        <v>77</v>
      </c>
      <c r="C7" s="21">
        <f>Scorecards!AC23</f>
        <v>70</v>
      </c>
      <c r="D7" s="21">
        <f>Scorecards!AC37</f>
        <v>82</v>
      </c>
      <c r="E7" s="21" t="str">
        <f>Scorecards!AC51</f>
        <v/>
      </c>
      <c r="F7" s="21">
        <f>Scorecards!AC65</f>
        <v>79</v>
      </c>
      <c r="G7" s="21">
        <f t="shared" si="1"/>
        <v>308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34"/>
      <c r="D10" s="1"/>
      <c r="E10" s="3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34"/>
      <c r="D11" s="1"/>
      <c r="E11" s="3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34"/>
      <c r="D12" s="1"/>
      <c r="E12" s="3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34"/>
      <c r="D13" s="1"/>
      <c r="E13" s="3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34"/>
      <c r="D14" s="1"/>
      <c r="E14" s="3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34"/>
      <c r="D15" s="1"/>
      <c r="E15" s="3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34"/>
      <c r="D16" s="1"/>
      <c r="E16" s="3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34"/>
      <c r="D17" s="1"/>
      <c r="E17" s="3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43"/>
    <col customWidth="1" min="2" max="2" width="19.14"/>
    <col customWidth="1" min="3" max="3" width="18.43"/>
    <col customWidth="1" min="4" max="6" width="9.14"/>
    <col customWidth="1" min="7" max="26" width="8.71"/>
  </cols>
  <sheetData>
    <row r="1" ht="12.75" customHeight="1">
      <c r="A1" s="21"/>
      <c r="B1" s="6">
        <v>10.0</v>
      </c>
      <c r="C1" s="6">
        <v>0.0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6" t="s">
        <v>6</v>
      </c>
      <c r="B2" s="36" t="s">
        <v>33</v>
      </c>
      <c r="C2" s="36" t="s">
        <v>34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5" t="s">
        <v>12</v>
      </c>
      <c r="B3" s="37" t="s">
        <v>13</v>
      </c>
      <c r="C3" s="37" t="s">
        <v>13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8" t="s">
        <v>14</v>
      </c>
      <c r="B4" s="19" t="s">
        <v>13</v>
      </c>
      <c r="C4" s="19" t="s">
        <v>13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5" t="s">
        <v>15</v>
      </c>
      <c r="B5" s="37" t="s">
        <v>13</v>
      </c>
      <c r="C5" s="37" t="s">
        <v>13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8" t="s">
        <v>16</v>
      </c>
      <c r="B6" s="19" t="s">
        <v>13</v>
      </c>
      <c r="C6" s="19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5" t="s">
        <v>17</v>
      </c>
      <c r="B7" s="37" t="s">
        <v>13</v>
      </c>
      <c r="C7" s="37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8" t="s">
        <v>18</v>
      </c>
      <c r="B8" s="19" t="s">
        <v>13</v>
      </c>
      <c r="C8" s="19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37"/>
      <c r="B9" s="37"/>
      <c r="C9" s="3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9"/>
      <c r="B10" s="19"/>
      <c r="C10" s="1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8" t="s">
        <v>35</v>
      </c>
      <c r="B11" s="39">
        <f t="shared" ref="B11:C11" si="1">COUNTIF(B3:B10,"Y") *B1</f>
        <v>60</v>
      </c>
      <c r="C11" s="39">
        <f t="shared" si="1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8" width="12.14"/>
    <col customWidth="1" min="9" max="9" width="18.71"/>
    <col customWidth="1" min="10" max="10" width="12.43"/>
    <col customWidth="1" min="11" max="26" width="8.71"/>
  </cols>
  <sheetData>
    <row r="1" ht="25.5" customHeight="1">
      <c r="A1" s="40" t="s">
        <v>36</v>
      </c>
      <c r="B1" s="41" t="s">
        <v>37</v>
      </c>
      <c r="C1" s="41" t="s">
        <v>38</v>
      </c>
      <c r="D1" s="41" t="s">
        <v>39</v>
      </c>
      <c r="E1" s="41" t="s">
        <v>40</v>
      </c>
      <c r="F1" s="42" t="s">
        <v>41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2.75" customHeight="1">
      <c r="A2" s="15" t="s">
        <v>12</v>
      </c>
      <c r="B2" s="37">
        <f>IF(Scorecards!F4="Y",Scoreboard!B2, "")</f>
        <v>78</v>
      </c>
      <c r="C2" s="37">
        <f>IF(Scorecards!F18="Y",Scoreboard!C2, "")</f>
        <v>77</v>
      </c>
      <c r="D2" s="37">
        <f>IF(Scorecards!F32="Y",Scoreboard!D2, "")</f>
        <v>81</v>
      </c>
      <c r="E2" s="37" t="str">
        <f>IF(Scorecards!F46="Y",Scoreboard!E2, "")</f>
        <v/>
      </c>
      <c r="F2" s="17">
        <f>IF(Scorecards!F60="Y",Scoreboard!F2, "")</f>
        <v>73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8" t="s">
        <v>14</v>
      </c>
      <c r="B3" s="19">
        <f>IF(Scorecards!F5="Y",Scoreboard!B3, "")</f>
        <v>71</v>
      </c>
      <c r="C3" s="19">
        <f>IF(Scorecards!F19="Y",Scoreboard!C3, "")</f>
        <v>78</v>
      </c>
      <c r="D3" s="19">
        <f>IF(Scorecards!F33="Y",Scoreboard!D3, "")</f>
        <v>71</v>
      </c>
      <c r="E3" s="19" t="str">
        <f>IF(Scorecards!F47="Y",Scoreboard!E3, "")</f>
        <v/>
      </c>
      <c r="F3" s="20">
        <f>IF(Scorecards!F61="Y",Scoreboard!F3, "")</f>
        <v>91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5" t="s">
        <v>15</v>
      </c>
      <c r="B4" s="37">
        <f>IF(Scorecards!F6="Y",Scoreboard!B4, "")</f>
        <v>75</v>
      </c>
      <c r="C4" s="37">
        <f>IF(Scorecards!F20="Y",Scoreboard!C4, "")</f>
        <v>78</v>
      </c>
      <c r="D4" s="37">
        <f>IF(Scorecards!F34="Y",Scoreboard!D4, "")</f>
        <v>79</v>
      </c>
      <c r="E4" s="37" t="str">
        <f>IF(Scorecards!F48="Y",Scoreboard!E4, "")</f>
        <v/>
      </c>
      <c r="F4" s="17">
        <f>IF(Scorecards!F62="Y",Scoreboard!F4, "")</f>
        <v>81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8" t="s">
        <v>16</v>
      </c>
      <c r="B5" s="19">
        <f>IF(Scorecards!F7="Y",Scoreboard!B5, "")</f>
        <v>71</v>
      </c>
      <c r="C5" s="19">
        <f>IF(Scorecards!F21="Y",Scoreboard!C5, "")</f>
        <v>69</v>
      </c>
      <c r="D5" s="19">
        <f>IF(Scorecards!F35="Y",Scoreboard!D5, "")</f>
        <v>78</v>
      </c>
      <c r="E5" s="19" t="str">
        <f>IF(Scorecards!F49="Y",Scoreboard!E5, "")</f>
        <v/>
      </c>
      <c r="F5" s="20">
        <f>IF(Scorecards!F63="Y",Scoreboard!F5, "")</f>
        <v>77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5" t="s">
        <v>17</v>
      </c>
      <c r="B6" s="37">
        <f>IF(Scorecards!F8="Y",Scoreboard!B6, "")</f>
        <v>77</v>
      </c>
      <c r="C6" s="37">
        <f>IF(Scorecards!F22="Y",Scoreboard!C6, "")</f>
        <v>72</v>
      </c>
      <c r="D6" s="37">
        <f>IF(Scorecards!F36="Y",Scoreboard!D6, "")</f>
        <v>80</v>
      </c>
      <c r="E6" s="37" t="str">
        <f>IF(Scorecards!F50="Y",Scoreboard!E6, "")</f>
        <v/>
      </c>
      <c r="F6" s="17">
        <f>IF(Scorecards!F64="Y",Scoreboard!F6, "")</f>
        <v>78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8" t="s">
        <v>18</v>
      </c>
      <c r="B7" s="19">
        <f>IF(Scorecards!F9="Y",Scoreboard!B7, "")</f>
        <v>77</v>
      </c>
      <c r="C7" s="19">
        <f>IF(Scorecards!F23="Y",Scoreboard!C7, "")</f>
        <v>70</v>
      </c>
      <c r="D7" s="19">
        <f>IF(Scorecards!F37="Y",Scoreboard!D7, "")</f>
        <v>82</v>
      </c>
      <c r="E7" s="19" t="str">
        <f>IF(Scorecards!F51="Y",Scoreboard!E7, "")</f>
        <v/>
      </c>
      <c r="F7" s="20">
        <f>IF(Scorecards!F65="Y",Scoreboard!F7, "")</f>
        <v>79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4"/>
      <c r="B8" s="37" t="str">
        <f>IF(Scorecards!F10="Y",Scoreboard!#REF!, "")</f>
        <v>#ERROR!</v>
      </c>
      <c r="C8" s="37" t="str">
        <f>IF(Scorecards!F24="Y",Scoreboard!#REF!, "")</f>
        <v>#ERROR!</v>
      </c>
      <c r="D8" s="37" t="str">
        <f>IF(Scorecards!F38="Y",Scoreboard!#REF!, "")</f>
        <v>#ERROR!</v>
      </c>
      <c r="E8" s="37" t="str">
        <f>IF(Scorecards!F52="Y",Scoreboard!#REF!, "")</f>
        <v>#ERROR!</v>
      </c>
      <c r="F8" s="17" t="str">
        <f>IF(Scorecards!F66="Y",Scoreboard!#REF!, "")</f>
        <v>#ERROR!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8"/>
      <c r="B9" s="19" t="str">
        <f>IF(Scorecards!F11="Y",Scoreboard!#REF!, "")</f>
        <v>#ERROR!</v>
      </c>
      <c r="C9" s="19" t="str">
        <f>IF(Scorecards!F25="Y",Scoreboard!#REF!, "")</f>
        <v>#ERROR!</v>
      </c>
      <c r="D9" s="19" t="str">
        <f>IF(Scorecards!F39="Y",Scoreboard!#REF!, "")</f>
        <v>#ERROR!</v>
      </c>
      <c r="E9" s="19" t="str">
        <f>IF(Scorecards!F53="Y",Scoreboard!#REF!, "")</f>
        <v>#ERROR!</v>
      </c>
      <c r="F9" s="20" t="str">
        <f>IF(Scorecards!F67="Y",Scoreboard!#REF!, "")</f>
        <v>#ERROR!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5" t="s">
        <v>42</v>
      </c>
      <c r="B10" s="46">
        <f>COUNTIF(BettingScoreboard!$B$2:$B$9,MIN(BettingScoreboard!$B$2:$B$9))</f>
        <v>2</v>
      </c>
      <c r="C10" s="46">
        <f>COUNTIF(BettingScoreboard!$C$2:$C$9,MIN(BettingScoreboard!$C$2:$C$9))</f>
        <v>2</v>
      </c>
      <c r="D10" s="46">
        <f>COUNTIF(BettingScoreboard!$D$2:$D$9,MIN(BettingScoreboard!$D$2:$D$9))</f>
        <v>2</v>
      </c>
      <c r="E10" s="46">
        <f>COUNTIF(BettingScoreboard!$E$2:$E$9,MIN(BettingScoreboard!$E$2:$E$9))</f>
        <v>2</v>
      </c>
      <c r="F10" s="47">
        <f>COUNTIF(BettingScoreboard!$F$2:$F$9,MIN(BettingScoreboard!$F$2:$F$9))</f>
        <v>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8" t="s">
        <v>33</v>
      </c>
      <c r="B12" s="49"/>
      <c r="C12" s="43"/>
      <c r="D12" s="48" t="s">
        <v>43</v>
      </c>
      <c r="E12" s="49"/>
      <c r="F12" s="43"/>
      <c r="G12" s="43"/>
      <c r="H12" s="43"/>
      <c r="I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2.75" customHeight="1">
      <c r="A13" s="50" t="s">
        <v>6</v>
      </c>
      <c r="B13" s="51" t="s">
        <v>44</v>
      </c>
      <c r="C13" s="1"/>
      <c r="D13" s="36" t="s">
        <v>6</v>
      </c>
      <c r="E13" s="36" t="s">
        <v>44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5" t="s">
        <v>12</v>
      </c>
      <c r="B14" s="17">
        <f>IF(WeekendLongBets!B3="Y",MIN(Scoreboard!B2:F2), "")</f>
        <v>73</v>
      </c>
      <c r="C14" s="1"/>
      <c r="D14" s="16" t="s">
        <v>12</v>
      </c>
      <c r="E14" s="37">
        <f>IF(WeekendLongBets!C3="Y",SUM(Scoreboard!B2:F2),"")</f>
        <v>309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8" t="s">
        <v>14</v>
      </c>
      <c r="B15" s="20">
        <f>IF(WeekendLongBets!B4="Y",MIN(Scoreboard!B3:F3), "")</f>
        <v>71</v>
      </c>
      <c r="C15" s="1"/>
      <c r="D15" s="19" t="s">
        <v>14</v>
      </c>
      <c r="E15" s="19">
        <f>IF(WeekendLongBets!C4="Y",SUM(Scoreboard!B3:F3),"")</f>
        <v>311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5" t="s">
        <v>15</v>
      </c>
      <c r="B16" s="17">
        <f>IF(WeekendLongBets!B5="Y",MIN(Scoreboard!B4:F4), "")</f>
        <v>75</v>
      </c>
      <c r="C16" s="1"/>
      <c r="D16" s="16" t="s">
        <v>15</v>
      </c>
      <c r="E16" s="37">
        <f>IF(WeekendLongBets!C5="Y",SUM(Scoreboard!B4:F4),"")</f>
        <v>313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8" t="s">
        <v>16</v>
      </c>
      <c r="B17" s="20">
        <f>IF(WeekendLongBets!B6="Y",MIN(Scoreboard!B5:F5), "")</f>
        <v>69</v>
      </c>
      <c r="C17" s="1"/>
      <c r="D17" s="19" t="s">
        <v>16</v>
      </c>
      <c r="E17" s="19">
        <f>IF(WeekendLongBets!C6="Y",SUM(Scoreboard!B5:F5),"")</f>
        <v>295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5" t="s">
        <v>17</v>
      </c>
      <c r="B18" s="17">
        <f>IF(WeekendLongBets!B7="Y",MIN(Scoreboard!B6:F6), "")</f>
        <v>72</v>
      </c>
      <c r="C18" s="1"/>
      <c r="D18" s="16" t="s">
        <v>17</v>
      </c>
      <c r="E18" s="37">
        <f>IF(WeekendLongBets!C7="Y",SUM(Scoreboard!B6:F6),"")</f>
        <v>307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8" t="s">
        <v>18</v>
      </c>
      <c r="B19" s="20">
        <f>IF(WeekendLongBets!B8="Y",MIN(Scoreboard!B7:F7), "")</f>
        <v>70</v>
      </c>
      <c r="C19" s="1"/>
      <c r="D19" s="19" t="s">
        <v>18</v>
      </c>
      <c r="E19" s="19">
        <f>IF(WeekendLongBets!C8="Y",SUM(Scoreboard!B7:F7),"")</f>
        <v>308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4"/>
      <c r="B20" s="17" t="str">
        <f>IF(WeekendLongBets!B9="Y",MIN(Scoreboard!#REF!), "")</f>
        <v>#ERROR!</v>
      </c>
      <c r="C20" s="1"/>
      <c r="D20" s="37"/>
      <c r="E20" s="37" t="str">
        <f>IF(WeekendLongBets!C9="Y",SUM(Scoreboard!#REF!),"")</f>
        <v>#ERROR!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8"/>
      <c r="B21" s="20" t="str">
        <f>IF(WeekendLongBets!B10="Y",MIN(Scoreboard!#REF!), "")</f>
        <v>#ERROR!</v>
      </c>
      <c r="C21" s="1"/>
      <c r="D21" s="19"/>
      <c r="E21" s="19" t="str">
        <f>IF(WeekendLongBets!C10="Y",SUM(Scoreboard!#REF!),"")</f>
        <v>#ERROR!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45" t="s">
        <v>42</v>
      </c>
      <c r="B22" s="47">
        <f>COUNTIF(BettingScoreboard!$B$14:$B$21,MIN(BettingScoreboard!$B$14:$B$21))</f>
        <v>2</v>
      </c>
      <c r="C22" s="1"/>
      <c r="D22" s="36" t="s">
        <v>42</v>
      </c>
      <c r="E22" s="36">
        <f>COUNTIF(BettingScoreboard!$E$14:$E$21,MIN(BettingScoreboard!$E$14:$E$21))</f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0" t="s">
        <v>6</v>
      </c>
      <c r="B24" s="41" t="s">
        <v>45</v>
      </c>
      <c r="C24" s="41" t="s">
        <v>46</v>
      </c>
      <c r="D24" s="41" t="s">
        <v>9</v>
      </c>
      <c r="E24" s="42" t="s">
        <v>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44" t="str">
        <f>Scorecards!B32</f>
        <v>AJ</v>
      </c>
      <c r="B25" s="37">
        <f>SUM(COUNTIF(Scorecards!$H$12:$Y$12,BettingScoreboard!$A25),COUNTIF(Scorecards!$H$26:$Y$26,BettingScoreboard!$A25),COUNTIF(Scorecards!$H$40:$Y$40,BettingScoreboard!$A25),COUNTIF(Scorecards!$H$54:$Y$54,BettingScoreboard!$A25),COUNTIF(Scorecards!$H$68:$Y$68,BettingScoreboard!$A25))</f>
        <v>3</v>
      </c>
      <c r="C25" s="52">
        <f>SUM(COUNTIF(Scorecards!$H$12:$Y$12,BettingScoreboard!$A25)*Scorecards!$AC$12,COUNTIF(Scorecards!$H$26:$Y$26, BettingScoreboard!$A25)*Scorecards!$AC$26,COUNTIF(Scorecards!$H$40:$Y$40,BettingScoreboard!$A25)*Scorecards!$AC$40,COUNTIF(Scorecards!$H$54:$Y$54, BettingScoreboard!$A25)*Scorecards!$AC$54,COUNTIF(Scorecards!$H$68:$Y$68, BettingScoreboard!$A25)*Scorecards!$AC$68)</f>
        <v>22.5974026</v>
      </c>
      <c r="D25" s="37">
        <f>SUM(COUNTIF(Scorecards!$H$13:$Y$13,BettingScoreboard!$A25),COUNTIF(Scorecards!$H$27:$Y$27,BettingScoreboard!$A25),COUNTIF(Scorecards!$H$41:$Y$41,BettingScoreboard!$A25),COUNTIF(Scorecards!$H$55:$Y$55,BettingScoreboard!$A25),COUNTIF(Scorecards!$H$69:$Y$69,BettingScoreboard!$A25))</f>
        <v>0</v>
      </c>
      <c r="E25" s="53">
        <f>SUM(COUNTIF(Scorecards!$H$13:$Y$13,BettingScoreboard!$A25)*Scorecards!$AC$13,COUNTIF(Scorecards!$H$27:$Y$27, BettingScoreboard!$A25)*Scorecards!$AC$27,COUNTIF(Scorecards!$H$41:$Y$41,BettingScoreboard!$A25)*Scorecards!$AC$41,COUNTIF(Scorecards!$H$55:$Y$55, BettingScoreboard!$A25)*Scorecards!$AC$55,COUNTIF(Scorecards!$H$69:$Y$69, BettingScoreboard!$A25)*Scorecards!$AC$69)</f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8" t="str">
        <f>Scorecards!B33</f>
        <v>BB</v>
      </c>
      <c r="B26" s="19">
        <f>SUM(COUNTIF(Scorecards!$H$12:$Y$12,BettingScoreboard!$A26),COUNTIF(Scorecards!$H$26:$Y$26,BettingScoreboard!$A26),COUNTIF(Scorecards!$H$40:$Y$40,BettingScoreboard!$A26),COUNTIF(Scorecards!$H$54:$Y$54,BettingScoreboard!$A26),COUNTIF(Scorecards!$H$68:$Y$68,BettingScoreboard!$A26))</f>
        <v>4</v>
      </c>
      <c r="C26" s="54">
        <f>SUM(COUNTIF(Scorecards!$H$12:$Y$12,BettingScoreboard!$A26)*Scorecards!$AC$12,COUNTIF(Scorecards!$H$26:$Y$26, BettingScoreboard!$A26)*Scorecards!$AC$26,COUNTIF(Scorecards!$H$40:$Y$40,BettingScoreboard!$A26)*Scorecards!$AC$40,COUNTIF(Scorecards!$H$54:$Y$54, BettingScoreboard!$A26)*Scorecards!$AC$54,COUNTIF(Scorecards!$H$68:$Y$68, BettingScoreboard!$A26)*Scorecards!$AC$68)</f>
        <v>31.16883117</v>
      </c>
      <c r="D26" s="19">
        <f>SUM(COUNTIF(Scorecards!$H$13:$Y$13,BettingScoreboard!$A26),COUNTIF(Scorecards!$H$27:$Y$27,BettingScoreboard!$A26),COUNTIF(Scorecards!$H$41:$Y$41,BettingScoreboard!$A26),COUNTIF(Scorecards!$H$55:$Y$55,BettingScoreboard!$A26),COUNTIF(Scorecards!$H$69:$Y$69,BettingScoreboard!$A26))</f>
        <v>0</v>
      </c>
      <c r="E26" s="55">
        <f>SUM(COUNTIF(Scorecards!$H$13:$Y$13,BettingScoreboard!$A26)*Scorecards!$AC$13,COUNTIF(Scorecards!$H$27:$Y$27, BettingScoreboard!$A26)*Scorecards!$AC$27,COUNTIF(Scorecards!$H$41:$Y$41,BettingScoreboard!$A26)*Scorecards!$AC$41,COUNTIF(Scorecards!$H$55:$Y$55, BettingScoreboard!$A26)*Scorecards!$AC$55,COUNTIF(Scorecards!$H$69:$Y$69, BettingScoreboard!$A26)*Scorecards!$AC$69)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4" t="str">
        <f>Scorecards!B34</f>
        <v>BK</v>
      </c>
      <c r="B27" s="37">
        <f>SUM(COUNTIF(Scorecards!$H$12:$Y$12,BettingScoreboard!$A27),COUNTIF(Scorecards!$H$26:$Y$26,BettingScoreboard!$A27),COUNTIF(Scorecards!$H$40:$Y$40,BettingScoreboard!$A27),COUNTIF(Scorecards!$H$54:$Y$54,BettingScoreboard!$A27),COUNTIF(Scorecards!$H$68:$Y$68,BettingScoreboard!$A27))</f>
        <v>3</v>
      </c>
      <c r="C27" s="52">
        <f>SUM(COUNTIF(Scorecards!$H$12:$Y$12,BettingScoreboard!$A27)*Scorecards!$AC$12,COUNTIF(Scorecards!$H$26:$Y$26, BettingScoreboard!$A27)*Scorecards!$AC$26,COUNTIF(Scorecards!$H$40:$Y$40,BettingScoreboard!$A27)*Scorecards!$AC$40,COUNTIF(Scorecards!$H$54:$Y$54, BettingScoreboard!$A27)*Scorecards!$AC$54,COUNTIF(Scorecards!$H$68:$Y$68, BettingScoreboard!$A27)*Scorecards!$AC$68)</f>
        <v>25.71428571</v>
      </c>
      <c r="D27" s="37">
        <f>SUM(COUNTIF(Scorecards!$H$13:$Y$13,BettingScoreboard!$A27),COUNTIF(Scorecards!$H$27:$Y$27,BettingScoreboard!$A27),COUNTIF(Scorecards!$H$41:$Y$41,BettingScoreboard!$A27),COUNTIF(Scorecards!$H$55:$Y$55,BettingScoreboard!$A27),COUNTIF(Scorecards!$H$69:$Y$69,BettingScoreboard!$A27))</f>
        <v>0</v>
      </c>
      <c r="E27" s="53">
        <f>SUM(COUNTIF(Scorecards!$H$13:$Y$13,BettingScoreboard!$A27)*Scorecards!$AC$13,COUNTIF(Scorecards!$H$27:$Y$27, BettingScoreboard!$A27)*Scorecards!$AC$27,COUNTIF(Scorecards!$H$41:$Y$41,BettingScoreboard!$A27)*Scorecards!$AC$41,COUNTIF(Scorecards!$H$55:$Y$55, BettingScoreboard!$A27)*Scorecards!$AC$55,COUNTIF(Scorecards!$H$69:$Y$69, BettingScoreboard!$A27)*Scorecards!$AC$69)</f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8" t="str">
        <f>Scorecards!B35</f>
        <v>EO</v>
      </c>
      <c r="B28" s="19">
        <f>SUM(COUNTIF(Scorecards!$H$12:$Y$12,BettingScoreboard!$A28),COUNTIF(Scorecards!$H$26:$Y$26,BettingScoreboard!$A28),COUNTIF(Scorecards!$H$40:$Y$40,BettingScoreboard!$A28),COUNTIF(Scorecards!$H$54:$Y$54,BettingScoreboard!$A28),COUNTIF(Scorecards!$H$68:$Y$68,BettingScoreboard!$A28))</f>
        <v>6</v>
      </c>
      <c r="C28" s="54">
        <f>SUM(COUNTIF(Scorecards!$H$12:$Y$12,BettingScoreboard!$A28)*Scorecards!$AC$12,COUNTIF(Scorecards!$H$26:$Y$26, BettingScoreboard!$A28)*Scorecards!$AC$26,COUNTIF(Scorecards!$H$40:$Y$40,BettingScoreboard!$A28)*Scorecards!$AC$40,COUNTIF(Scorecards!$H$54:$Y$54, BettingScoreboard!$A28)*Scorecards!$AC$54,COUNTIF(Scorecards!$H$68:$Y$68, BettingScoreboard!$A28)*Scorecards!$AC$68)</f>
        <v>42.07792208</v>
      </c>
      <c r="D28" s="19">
        <f>SUM(COUNTIF(Scorecards!$H$13:$Y$13,BettingScoreboard!$A28),COUNTIF(Scorecards!$H$27:$Y$27,BettingScoreboard!$A28),COUNTIF(Scorecards!$H$41:$Y$41,BettingScoreboard!$A28),COUNTIF(Scorecards!$H$55:$Y$55,BettingScoreboard!$A28),COUNTIF(Scorecards!$H$69:$Y$69,BettingScoreboard!$A28))</f>
        <v>0</v>
      </c>
      <c r="E28" s="55">
        <f>SUM(COUNTIF(Scorecards!$H$13:$Y$13,BettingScoreboard!$A28)*Scorecards!$AC$13,COUNTIF(Scorecards!$H$27:$Y$27, BettingScoreboard!$A28)*Scorecards!$AC$27,COUNTIF(Scorecards!$H$41:$Y$41,BettingScoreboard!$A28)*Scorecards!$AC$41,COUNTIF(Scorecards!$H$55:$Y$55, BettingScoreboard!$A28)*Scorecards!$AC$55,COUNTIF(Scorecards!$H$69:$Y$69, BettingScoreboard!$A28)*Scorecards!$AC$69)</f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4" t="str">
        <f>Scorecards!B36</f>
        <v>MV</v>
      </c>
      <c r="B29" s="37">
        <f>SUM(COUNTIF(Scorecards!$H$12:$Y$12,BettingScoreboard!$A29),COUNTIF(Scorecards!$H$26:$Y$26,BettingScoreboard!$A29),COUNTIF(Scorecards!$H$40:$Y$40,BettingScoreboard!$A29),COUNTIF(Scorecards!$H$54:$Y$54,BettingScoreboard!$A29),COUNTIF(Scorecards!$H$68:$Y$68,BettingScoreboard!$A29))</f>
        <v>5</v>
      </c>
      <c r="C29" s="52">
        <f>SUM(COUNTIF(Scorecards!$H$12:$Y$12,BettingScoreboard!$A29)*Scorecards!$AC$12,COUNTIF(Scorecards!$H$26:$Y$26, BettingScoreboard!$A29)*Scorecards!$AC$26,COUNTIF(Scorecards!$H$40:$Y$40,BettingScoreboard!$A29)*Scorecards!$AC$40,COUNTIF(Scorecards!$H$54:$Y$54, BettingScoreboard!$A29)*Scorecards!$AC$54,COUNTIF(Scorecards!$H$68:$Y$68, BettingScoreboard!$A29)*Scorecards!$AC$68)</f>
        <v>33.50649351</v>
      </c>
      <c r="D29" s="37">
        <f>SUM(COUNTIF(Scorecards!$H$13:$Y$13,BettingScoreboard!$A29),COUNTIF(Scorecards!$H$27:$Y$27,BettingScoreboard!$A29),COUNTIF(Scorecards!$H$41:$Y$41,BettingScoreboard!$A29),COUNTIF(Scorecards!$H$55:$Y$55,BettingScoreboard!$A29),COUNTIF(Scorecards!$H$69:$Y$69,BettingScoreboard!$A29))</f>
        <v>0</v>
      </c>
      <c r="E29" s="53">
        <f>SUM(COUNTIF(Scorecards!$H$13:$Y$13,BettingScoreboard!$A29)*Scorecards!$AC$13,COUNTIF(Scorecards!$H$27:$Y$27, BettingScoreboard!$A29)*Scorecards!$AC$27,COUNTIF(Scorecards!$H$41:$Y$41,BettingScoreboard!$A29)*Scorecards!$AC$41,COUNTIF(Scorecards!$H$55:$Y$55, BettingScoreboard!$A29)*Scorecards!$AC$55,COUNTIF(Scorecards!$H$69:$Y$69, BettingScoreboard!$A29)*Scorecards!$AC$69)</f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8" t="str">
        <f>Scorecards!B37</f>
        <v>SR</v>
      </c>
      <c r="B30" s="19">
        <f>SUM(COUNTIF(Scorecards!$H$12:$Y$12,BettingScoreboard!$A30),COUNTIF(Scorecards!$H$26:$Y$26,BettingScoreboard!$A30),COUNTIF(Scorecards!$H$40:$Y$40,BettingScoreboard!$A30),COUNTIF(Scorecards!$H$54:$Y$54,BettingScoreboard!$A30),COUNTIF(Scorecards!$H$68:$Y$68,BettingScoreboard!$A30))</f>
        <v>11</v>
      </c>
      <c r="C30" s="54">
        <f>SUM(COUNTIF(Scorecards!$H$12:$Y$12,BettingScoreboard!$A30)*Scorecards!$AC$12,COUNTIF(Scorecards!$H$26:$Y$26, BettingScoreboard!$A30)*Scorecards!$AC$26,COUNTIF(Scorecards!$H$40:$Y$40,BettingScoreboard!$A30)*Scorecards!$AC$40,COUNTIF(Scorecards!$H$54:$Y$54, BettingScoreboard!$A30)*Scorecards!$AC$54,COUNTIF(Scorecards!$H$68:$Y$68, BettingScoreboard!$A30)*Scorecards!$AC$68)</f>
        <v>84.93506494</v>
      </c>
      <c r="D30" s="19">
        <f>SUM(COUNTIF(Scorecards!$H$13:$Y$13,BettingScoreboard!$A30),COUNTIF(Scorecards!$H$27:$Y$27,BettingScoreboard!$A30),COUNTIF(Scorecards!$H$41:$Y$41,BettingScoreboard!$A30),COUNTIF(Scorecards!$H$55:$Y$55,BettingScoreboard!$A30),COUNTIF(Scorecards!$H$69:$Y$69,BettingScoreboard!$A30))</f>
        <v>0</v>
      </c>
      <c r="E30" s="55">
        <f>SUM(COUNTIF(Scorecards!$H$13:$Y$13,BettingScoreboard!$A30)*Scorecards!$AC$13,COUNTIF(Scorecards!$H$27:$Y$27, BettingScoreboard!$A30)*Scorecards!$AC$27,COUNTIF(Scorecards!$H$41:$Y$41,BettingScoreboard!$A30)*Scorecards!$AC$41,COUNTIF(Scorecards!$H$55:$Y$55, BettingScoreboard!$A30)*Scorecards!$AC$55,COUNTIF(Scorecards!$H$69:$Y$69, BettingScoreboard!$A30)*Scorecards!$AC$69)</f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44"/>
      <c r="B31" s="37"/>
      <c r="C31" s="52"/>
      <c r="D31" s="37"/>
      <c r="E31" s="5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2"/>
      <c r="B32" s="23"/>
      <c r="C32" s="56"/>
      <c r="D32" s="23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2:B12"/>
    <mergeCell ref="D12:E12"/>
    <mergeCell ref="I12:J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57"/>
    <col customWidth="1" min="2" max="12" width="11.43"/>
    <col customWidth="1" min="13" max="13" width="14.57"/>
    <col customWidth="1" min="14" max="14" width="12.0"/>
    <col customWidth="1" min="15" max="26" width="8.71"/>
  </cols>
  <sheetData>
    <row r="1" ht="25.5" customHeight="1">
      <c r="A1" s="58" t="s">
        <v>48</v>
      </c>
      <c r="B1" s="59" t="s">
        <v>49</v>
      </c>
      <c r="C1" s="59" t="s">
        <v>45</v>
      </c>
      <c r="D1" s="59" t="s">
        <v>50</v>
      </c>
      <c r="E1" s="59" t="s">
        <v>9</v>
      </c>
      <c r="F1" s="59" t="s">
        <v>51</v>
      </c>
      <c r="G1" s="59" t="s">
        <v>52</v>
      </c>
      <c r="H1" s="59" t="s">
        <v>53</v>
      </c>
      <c r="I1" s="59" t="s">
        <v>33</v>
      </c>
      <c r="J1" s="59" t="s">
        <v>54</v>
      </c>
      <c r="K1" s="59" t="s">
        <v>43</v>
      </c>
      <c r="L1" s="60" t="s">
        <v>55</v>
      </c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2.75" customHeight="1">
      <c r="A2" s="62" t="s">
        <v>27</v>
      </c>
      <c r="B2" s="63">
        <f>-1*SUM(IF(Scorecards!D4="Y",Scorecards!$D$2, 0),IF(Scorecards!D18="Y",Scorecards!$D$16,0),IF(Scorecards!D32="Y",Scorecards!$D$30,0),IF(Scorecards!D46="Y",Scorecards!$D$44,0),IF(Scorecards!D60="Y",Scorecards!$D$58,0))</f>
        <v>-40</v>
      </c>
      <c r="C2" s="63">
        <f>BettingScoreboard!C25</f>
        <v>22.5974026</v>
      </c>
      <c r="D2" s="63">
        <f>-1*SUM(IF(Scorecards!E4="Y",Scorecards!$E$2, 0),IF(Scorecards!E18="Y",Scorecards!$E$16,0),IF(Scorecards!E32="Y",Scorecards!$E$30,0),IF(Scorecards!E46="Y",Scorecards!$E$44,0),IF(Scorecards!E60="Y",Scorecards!$E$58,0))</f>
        <v>0</v>
      </c>
      <c r="E2" s="63">
        <f>BettingScoreboard!E25</f>
        <v>0</v>
      </c>
      <c r="F2" s="63">
        <f>-1*SUM(IF(Scorecards!F4="Y",Scorecards!$F$2, 0),IF(Scorecards!F18="Y",Scorecards!$F$16,0),IF(Scorecards!F32="Y",Scorecards!$F$30,0),IF(Scorecards!F46="Y",Scorecards!$F$44,0),IF(Scorecards!F60="Y",Scorecards!$F$58,0))</f>
        <v>0</v>
      </c>
      <c r="G2" s="63" t="str">
        <f>SUM(IF(BettingScoreboard!$B2=MIN(BettingScoreboard!$B$2:$B$9),Scorecards!$F$12/BettingScoreboard!$B$10),IF(BettingScoreboard!$C2=MIN(BettingScoreboard!$C$2:$C$9),Scorecards!$F$26/BettingScoreboard!$C$10), IF(BettingScoreboard!$D2=MIN(BettingScoreboard!$D$2:$D$9),Scorecards!$F$40/BettingScoreboard!$D$10),IF(BettingScoreboard!$E2=MIN(BettingScoreboard!$E$2:$E$9),Scorecards!$F$54/BettingScoreboard!$E$10),IF(BettingScoreboard!$F2=MIN(BettingScoreboard!$F$2:$F$9),Scorecards!$F$68/BettingScoreboard!$F$10))</f>
        <v>#ERROR!</v>
      </c>
      <c r="H2" s="63">
        <f>-1*IF(WeekendLongBets!B3="Y",WeekendLongBets!$B$1,0)</f>
        <v>-10</v>
      </c>
      <c r="I2" s="63" t="str">
        <f>IF(BettingScoreboard!B14=MIN(BettingScoreboard!$B$14:$B$21),WeekendLongBets!$B$11/BettingScoreboard!$B$22, 0)</f>
        <v>#ERROR!</v>
      </c>
      <c r="J2" s="63">
        <f>-1*IF(WeekendLongBets!C3="Y",WeekendLongBets!$C$1,0)</f>
        <v>0</v>
      </c>
      <c r="K2" s="63" t="str">
        <f>IF(BettingScoreboard!E14=MIN(BettingScoreboard!$E$14:$E$21),WeekendLongBets!$C$11/BettingScoreboard!$E$22, 0)</f>
        <v>#ERROR!</v>
      </c>
      <c r="L2" s="64" t="str">
        <f t="shared" ref="L2:L7" si="1">SUM(B2:K2)</f>
        <v>#ERROR!</v>
      </c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2.75" customHeight="1">
      <c r="A3" s="19" t="s">
        <v>28</v>
      </c>
      <c r="B3" s="54">
        <f>-1*SUM(IF(Scorecards!D5="Y",Scorecards!$D$2, 0),IF(Scorecards!D19="Y",Scorecards!$D$16,0),IF(Scorecards!D33="Y",Scorecards!$D$30,0),IF(Scorecards!D47="Y",Scorecards!$D$44,0),IF(Scorecards!D61="Y",Scorecards!$D$58,0))</f>
        <v>-40</v>
      </c>
      <c r="C3" s="54">
        <f>BettingScoreboard!C26</f>
        <v>31.16883117</v>
      </c>
      <c r="D3" s="54">
        <f>-1*SUM(IF(Scorecards!E5="Y",Scorecards!$E$2, 0),IF(Scorecards!E19="Y",Scorecards!$E$16,0),IF(Scorecards!E33="Y",Scorecards!$E$30,0),IF(Scorecards!E47="Y",Scorecards!$E$44,0),IF(Scorecards!E61="Y",Scorecards!$E$58,0))</f>
        <v>0</v>
      </c>
      <c r="E3" s="54">
        <f>BettingScoreboard!E26</f>
        <v>0</v>
      </c>
      <c r="F3" s="54">
        <f>-1*SUM(IF(Scorecards!F5="Y",Scorecards!$F$2, 0),IF(Scorecards!F19="Y",Scorecards!$F$16,0),IF(Scorecards!F33="Y",Scorecards!$F$30,0),IF(Scorecards!F47="Y",Scorecards!$F$44,0),IF(Scorecards!F61="Y",Scorecards!$F$58,0))</f>
        <v>0</v>
      </c>
      <c r="G3" s="54" t="str">
        <f>SUM(IF(BettingScoreboard!$B3=MIN(BettingScoreboard!$B$2:$B$9),Scorecards!$F$12/BettingScoreboard!$B$10),IF(BettingScoreboard!$C3=MIN(BettingScoreboard!$C$2:$C$9),Scorecards!$F$26/BettingScoreboard!$C$10), IF(BettingScoreboard!$D3=MIN(BettingScoreboard!$D$2:$D$9),Scorecards!$F$40/BettingScoreboard!$D$10),IF(BettingScoreboard!$E3=MIN(BettingScoreboard!$E$2:$E$9),Scorecards!$F$54/BettingScoreboard!$E$10),IF(BettingScoreboard!$F3=MIN(BettingScoreboard!$F$2:$F$9),Scorecards!$F$68/BettingScoreboard!$F$10))</f>
        <v>#ERROR!</v>
      </c>
      <c r="H3" s="54">
        <f>-1*IF(WeekendLongBets!B4="Y",WeekendLongBets!$B$1,0)</f>
        <v>-10</v>
      </c>
      <c r="I3" s="54" t="str">
        <f>IF(BettingScoreboard!B15=MIN(BettingScoreboard!$B$14:$B$21),WeekendLongBets!$B$11/BettingScoreboard!$B$22, 0)</f>
        <v>#ERROR!</v>
      </c>
      <c r="J3" s="54">
        <f>-1*IF(WeekendLongBets!C4="Y",WeekendLongBets!$C$1,0)</f>
        <v>0</v>
      </c>
      <c r="K3" s="54" t="str">
        <f>IF(BettingScoreboard!E15=MIN(BettingScoreboard!$E$14:$E$21),WeekendLongBets!$C$11/BettingScoreboard!$E$22, 0)</f>
        <v>#ERROR!</v>
      </c>
      <c r="L3" s="55" t="str">
        <f t="shared" si="1"/>
        <v>#ERROR!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2.75" customHeight="1">
      <c r="A4" s="62" t="s">
        <v>29</v>
      </c>
      <c r="B4" s="63">
        <f>-1*SUM(IF(Scorecards!D6="Y",Scorecards!$D$2, 0),IF(Scorecards!D20="Y",Scorecards!$D$16,0),IF(Scorecards!D34="Y",Scorecards!$D$30,0),IF(Scorecards!D48="Y",Scorecards!$D$44,0),IF(Scorecards!D62="Y",Scorecards!$D$58,0))</f>
        <v>-40</v>
      </c>
      <c r="C4" s="63">
        <f>BettingScoreboard!C27</f>
        <v>25.71428571</v>
      </c>
      <c r="D4" s="63">
        <f>-1*SUM(IF(Scorecards!E6="Y",Scorecards!$E$2, 0),IF(Scorecards!E20="Y",Scorecards!$E$16,0),IF(Scorecards!E34="Y",Scorecards!$E$30,0),IF(Scorecards!E48="Y",Scorecards!$E$44,0),IF(Scorecards!E62="Y",Scorecards!$E$58,0))</f>
        <v>0</v>
      </c>
      <c r="E4" s="63">
        <f>BettingScoreboard!E27</f>
        <v>0</v>
      </c>
      <c r="F4" s="63">
        <f>-1*SUM(IF(Scorecards!F6="Y",Scorecards!$F$2, 0),IF(Scorecards!F20="Y",Scorecards!$F$16,0),IF(Scorecards!F34="Y",Scorecards!$F$30,0),IF(Scorecards!F48="Y",Scorecards!$F$44,0),IF(Scorecards!F62="Y",Scorecards!$F$58,0))</f>
        <v>0</v>
      </c>
      <c r="G4" s="63" t="str">
        <f>SUM(IF(BettingScoreboard!$B4=MIN(BettingScoreboard!$B$2:$B$9),Scorecards!$F$12/BettingScoreboard!$B$10),IF(BettingScoreboard!$C4=MIN(BettingScoreboard!$C$2:$C$9),Scorecards!$F$26/BettingScoreboard!$C$10), IF(BettingScoreboard!$D4=MIN(BettingScoreboard!$D$2:$D$9),Scorecards!$F$40/BettingScoreboard!$D$10),IF(BettingScoreboard!$E4=MIN(BettingScoreboard!$E$2:$E$9),Scorecards!$F$54/BettingScoreboard!$E$10),IF(BettingScoreboard!$F4=MIN(BettingScoreboard!$F$2:$F$9),Scorecards!$F$68/BettingScoreboard!$F$10))</f>
        <v>#ERROR!</v>
      </c>
      <c r="H4" s="63">
        <f>-1*IF(WeekendLongBets!B5="Y",WeekendLongBets!$B$1,0)</f>
        <v>-10</v>
      </c>
      <c r="I4" s="63" t="str">
        <f>IF(BettingScoreboard!B16=MIN(BettingScoreboard!$B$14:$B$21),WeekendLongBets!$B$11/BettingScoreboard!$B$22, 0)</f>
        <v>#ERROR!</v>
      </c>
      <c r="J4" s="63">
        <f>-1*IF(WeekendLongBets!C5="Y",WeekendLongBets!$C$1,0)</f>
        <v>0</v>
      </c>
      <c r="K4" s="63" t="str">
        <f>IF(BettingScoreboard!E16=MIN(BettingScoreboard!$E$14:$E$21),WeekendLongBets!$C$11/BettingScoreboard!$E$22, 0)</f>
        <v>#ERROR!</v>
      </c>
      <c r="L4" s="64" t="str">
        <f t="shared" si="1"/>
        <v>#ERROR!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2.75" customHeight="1">
      <c r="A5" s="19" t="s">
        <v>30</v>
      </c>
      <c r="B5" s="54">
        <f>-1*SUM(IF(Scorecards!D7="Y",Scorecards!$D$2, 0),IF(Scorecards!D21="Y",Scorecards!$D$16,0),IF(Scorecards!D35="Y",Scorecards!$D$30,0),IF(Scorecards!D49="Y",Scorecards!$D$44,0),IF(Scorecards!D63="Y",Scorecards!$D$58,0))</f>
        <v>-40</v>
      </c>
      <c r="C5" s="54">
        <f>BettingScoreboard!C28</f>
        <v>42.07792208</v>
      </c>
      <c r="D5" s="54">
        <f>-1*SUM(IF(Scorecards!E7="Y",Scorecards!$E$2, 0),IF(Scorecards!E21="Y",Scorecards!$E$16,0),IF(Scorecards!E35="Y",Scorecards!$E$30,0),IF(Scorecards!E49="Y",Scorecards!$E$44,0),IF(Scorecards!E63="Y",Scorecards!$E$58,0))</f>
        <v>0</v>
      </c>
      <c r="E5" s="54">
        <f>BettingScoreboard!E28</f>
        <v>0</v>
      </c>
      <c r="F5" s="54">
        <f>-1*SUM(IF(Scorecards!F7="Y",Scorecards!$F$2, 0),IF(Scorecards!F21="Y",Scorecards!$F$16,0),IF(Scorecards!F35="Y",Scorecards!$F$30,0),IF(Scorecards!F49="Y",Scorecards!$F$44,0),IF(Scorecards!F63="Y",Scorecards!$F$58,0))</f>
        <v>0</v>
      </c>
      <c r="G5" s="54" t="str">
        <f>SUM(IF(BettingScoreboard!$B5=MIN(BettingScoreboard!$B$2:$B$9),Scorecards!$F$12/BettingScoreboard!$B$10),IF(BettingScoreboard!$C5=MIN(BettingScoreboard!$C$2:$C$9),Scorecards!$F$26/BettingScoreboard!$C$10), IF(BettingScoreboard!$D5=MIN(BettingScoreboard!$D$2:$D$9),Scorecards!$F$40/BettingScoreboard!$D$10),IF(BettingScoreboard!$E5=MIN(BettingScoreboard!$E$2:$E$9),Scorecards!$F$54/BettingScoreboard!$E$10),IF(BettingScoreboard!$F5=MIN(BettingScoreboard!$F$2:$F$9),Scorecards!$F$68/BettingScoreboard!$F$10))</f>
        <v>#ERROR!</v>
      </c>
      <c r="H5" s="54">
        <f>-1*IF(WeekendLongBets!B6="Y",WeekendLongBets!$B$1,0)</f>
        <v>-10</v>
      </c>
      <c r="I5" s="54" t="str">
        <f>IF(BettingScoreboard!B17=MIN(BettingScoreboard!$B$14:$B$21),WeekendLongBets!$B$11/BettingScoreboard!$B$22, 0)</f>
        <v>#ERROR!</v>
      </c>
      <c r="J5" s="54">
        <f>-1*IF(WeekendLongBets!C6="Y",WeekendLongBets!$C$1,0)</f>
        <v>0</v>
      </c>
      <c r="K5" s="54" t="str">
        <f>IF(BettingScoreboard!E17=MIN(BettingScoreboard!$E$14:$E$21),WeekendLongBets!$C$11/BettingScoreboard!$E$22, 0)</f>
        <v>#ERROR!</v>
      </c>
      <c r="L5" s="55" t="str">
        <f t="shared" si="1"/>
        <v>#ERROR!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2.75" customHeight="1">
      <c r="A6" s="62" t="s">
        <v>31</v>
      </c>
      <c r="B6" s="63">
        <f>-1*SUM(IF(Scorecards!D8="Y",Scorecards!$D$2, 0),IF(Scorecards!D22="Y",Scorecards!$D$16,0),IF(Scorecards!D36="Y",Scorecards!$D$30,0),IF(Scorecards!D50="Y",Scorecards!$D$44,0),IF(Scorecards!D64="Y",Scorecards!$D$58,0))</f>
        <v>-40</v>
      </c>
      <c r="C6" s="63">
        <f>BettingScoreboard!C29</f>
        <v>33.50649351</v>
      </c>
      <c r="D6" s="63">
        <f>-1*SUM(IF(Scorecards!E8="Y",Scorecards!$E$2, 0),IF(Scorecards!E22="Y",Scorecards!$E$16,0),IF(Scorecards!E36="Y",Scorecards!$E$30,0),IF(Scorecards!E50="Y",Scorecards!$E$44,0),IF(Scorecards!E64="Y",Scorecards!$E$58,0))</f>
        <v>0</v>
      </c>
      <c r="E6" s="63">
        <f>BettingScoreboard!E29</f>
        <v>0</v>
      </c>
      <c r="F6" s="63">
        <f>-1*SUM(IF(Scorecards!F8="Y",Scorecards!$F$2, 0),IF(Scorecards!F22="Y",Scorecards!$F$16,0),IF(Scorecards!F36="Y",Scorecards!$F$30,0),IF(Scorecards!F50="Y",Scorecards!$F$44,0),IF(Scorecards!F64="Y",Scorecards!$F$58,0))</f>
        <v>0</v>
      </c>
      <c r="G6" s="63" t="str">
        <f>SUM(IF(BettingScoreboard!$B6=MIN(BettingScoreboard!$B$2:$B$9),Scorecards!$F$12/BettingScoreboard!$B$10),IF(BettingScoreboard!$C6=MIN(BettingScoreboard!$C$2:$C$9),Scorecards!$F$26/BettingScoreboard!$C$10), IF(BettingScoreboard!$D6=MIN(BettingScoreboard!$D$2:$D$9),Scorecards!$F$40/BettingScoreboard!$D$10),IF(BettingScoreboard!$E6=MIN(BettingScoreboard!$E$2:$E$9),Scorecards!$F$54/BettingScoreboard!$E$10),IF(BettingScoreboard!$F6=MIN(BettingScoreboard!$F$2:$F$9),Scorecards!$F$68/BettingScoreboard!$F$10))</f>
        <v>#ERROR!</v>
      </c>
      <c r="H6" s="63">
        <f>-1*IF(WeekendLongBets!B7="Y",WeekendLongBets!$B$1,0)</f>
        <v>-10</v>
      </c>
      <c r="I6" s="63" t="str">
        <f>IF(BettingScoreboard!B18=MIN(BettingScoreboard!$B$14:$B$21),WeekendLongBets!$B$11/BettingScoreboard!$B$22, 0)</f>
        <v>#ERROR!</v>
      </c>
      <c r="J6" s="63">
        <f>-1*IF(WeekendLongBets!C7="Y",WeekendLongBets!$C$1,0)</f>
        <v>0</v>
      </c>
      <c r="K6" s="63" t="str">
        <f>IF(BettingScoreboard!E18=MIN(BettingScoreboard!$E$14:$E$21),WeekendLongBets!$C$11/BettingScoreboard!$E$22, 0)</f>
        <v>#ERROR!</v>
      </c>
      <c r="L6" s="64" t="str">
        <f t="shared" si="1"/>
        <v>#ERROR!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2.75" customHeight="1">
      <c r="A7" s="19" t="s">
        <v>32</v>
      </c>
      <c r="B7" s="54">
        <f>-1*SUM(IF(Scorecards!D9="Y",Scorecards!$D$2, 0),IF(Scorecards!D23="Y",Scorecards!$D$16,0),IF(Scorecards!D37="Y",Scorecards!$D$30,0),IF(Scorecards!D51="Y",Scorecards!$D$44,0),IF(Scorecards!D65="Y",Scorecards!$D$58,0))</f>
        <v>-40</v>
      </c>
      <c r="C7" s="54">
        <f>BettingScoreboard!C30</f>
        <v>84.93506494</v>
      </c>
      <c r="D7" s="54">
        <f>-1*SUM(IF(Scorecards!E9="Y",Scorecards!$E$2, 0),IF(Scorecards!E23="Y",Scorecards!$E$16,0),IF(Scorecards!E37="Y",Scorecards!$E$30,0),IF(Scorecards!E51="Y",Scorecards!$E$44,0),IF(Scorecards!E65="Y",Scorecards!$E$58,0))</f>
        <v>0</v>
      </c>
      <c r="E7" s="54">
        <f>BettingScoreboard!E30</f>
        <v>0</v>
      </c>
      <c r="F7" s="54">
        <f>-1*SUM(IF(Scorecards!F9="Y",Scorecards!$F$2, 0),IF(Scorecards!F23="Y",Scorecards!$F$16,0),IF(Scorecards!F37="Y",Scorecards!$F$30,0),IF(Scorecards!F51="Y",Scorecards!$F$44,0),IF(Scorecards!F65="Y",Scorecards!$F$58,0))</f>
        <v>0</v>
      </c>
      <c r="G7" s="54" t="str">
        <f>SUM(IF(BettingScoreboard!$B7=MIN(BettingScoreboard!$B$2:$B$9),Scorecards!$F$12/BettingScoreboard!$B$10),IF(BettingScoreboard!$C7=MIN(BettingScoreboard!$C$2:$C$9),Scorecards!$F$26/BettingScoreboard!$C$10), IF(BettingScoreboard!$D7=MIN(BettingScoreboard!$D$2:$D$9),Scorecards!$F$40/BettingScoreboard!$D$10),IF(BettingScoreboard!$E7=MIN(BettingScoreboard!$E$2:$E$9),Scorecards!$F$54/BettingScoreboard!$E$10),IF(BettingScoreboard!$F7=MIN(BettingScoreboard!$F$2:$F$9),Scorecards!$F$68/BettingScoreboard!$F$10))</f>
        <v>#ERROR!</v>
      </c>
      <c r="H7" s="54">
        <f>-1*IF(WeekendLongBets!B8="Y",WeekendLongBets!$B$1,0)</f>
        <v>-10</v>
      </c>
      <c r="I7" s="54" t="str">
        <f>IF(BettingScoreboard!B19=MIN(BettingScoreboard!$B$14:$B$21),WeekendLongBets!$B$11/BettingScoreboard!$B$22, 0)</f>
        <v>#ERROR!</v>
      </c>
      <c r="J7" s="54">
        <f>-1*IF(WeekendLongBets!C8="Y",WeekendLongBets!$C$1,0)</f>
        <v>0</v>
      </c>
      <c r="K7" s="54" t="str">
        <f>IF(BettingScoreboard!E19=MIN(BettingScoreboard!$E$14:$E$21),WeekendLongBets!$C$11/BettingScoreboard!$E$22, 0)</f>
        <v>#ERROR!</v>
      </c>
      <c r="L7" s="55" t="str">
        <f t="shared" si="1"/>
        <v>#ERROR!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75" customHeight="1">
      <c r="A8" s="65"/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75" customHeight="1">
      <c r="A9" s="66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2.75" customHeight="1">
      <c r="A10" s="6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2.75" customHeight="1">
      <c r="A11" s="6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2.75" customHeight="1">
      <c r="A12" s="6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2.75" customHeight="1">
      <c r="A13" s="6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2.75" customHeight="1">
      <c r="A14" s="6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2.75" customHeight="1">
      <c r="A15" s="6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2.75" customHeight="1">
      <c r="A16" s="6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2.75" customHeight="1">
      <c r="A17" s="6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2.75" customHeight="1">
      <c r="A18" s="6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2.75" customHeight="1">
      <c r="A19" s="6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2.75" customHeight="1">
      <c r="A20" s="6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2.75" customHeight="1">
      <c r="A21" s="6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2.75" customHeight="1">
      <c r="A22" s="6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2.75" customHeight="1">
      <c r="A23" s="6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2.75" customHeight="1">
      <c r="A24" s="6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2.75" customHeight="1">
      <c r="A25" s="6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2.75" customHeight="1">
      <c r="A26" s="6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2.75" customHeight="1">
      <c r="A27" s="6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2.75" customHeight="1">
      <c r="A28" s="6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2.75" customHeight="1">
      <c r="A29" s="6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2.75" customHeight="1">
      <c r="A30" s="6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2.75" customHeight="1">
      <c r="A31" s="6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2.75" customHeight="1">
      <c r="A32" s="6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2.75" customHeight="1">
      <c r="A33" s="6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2.75" customHeight="1">
      <c r="A34" s="6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2.75" customHeight="1">
      <c r="A35" s="6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2.75" customHeight="1">
      <c r="A36" s="6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2.75" customHeight="1">
      <c r="A37" s="6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2.75" customHeight="1">
      <c r="A38" s="6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2.75" customHeight="1">
      <c r="A39" s="6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2.75" customHeight="1">
      <c r="A40" s="6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2.75" customHeight="1">
      <c r="A41" s="6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2.75" customHeight="1">
      <c r="A42" s="6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2.75" customHeight="1">
      <c r="A43" s="6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2.75" customHeight="1">
      <c r="A44" s="6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2.75" customHeight="1">
      <c r="A45" s="6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2.75" customHeight="1">
      <c r="A46" s="6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2.75" customHeight="1">
      <c r="A47" s="6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2.75" customHeight="1">
      <c r="A48" s="6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2.75" customHeight="1">
      <c r="A49" s="6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2.75" customHeight="1">
      <c r="A50" s="6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2.75" customHeight="1">
      <c r="A51" s="6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2.75" customHeight="1">
      <c r="A52" s="6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2.75" customHeight="1">
      <c r="A53" s="6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2.75" customHeight="1">
      <c r="A54" s="6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2.75" customHeight="1">
      <c r="A55" s="6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2.75" customHeight="1">
      <c r="A56" s="6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2.75" customHeight="1">
      <c r="A57" s="6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2.75" customHeight="1">
      <c r="A58" s="6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2.75" customHeight="1">
      <c r="A59" s="6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2.75" customHeight="1">
      <c r="A60" s="6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2.75" customHeight="1">
      <c r="A61" s="6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2.75" customHeight="1">
      <c r="A62" s="6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2.75" customHeight="1">
      <c r="A63" s="6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2.75" customHeight="1">
      <c r="A64" s="6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2.75" customHeight="1">
      <c r="A65" s="6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2.75" customHeight="1">
      <c r="A66" s="6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2.75" customHeight="1">
      <c r="A67" s="6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2.75" customHeight="1">
      <c r="A68" s="6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2.75" customHeight="1">
      <c r="A69" s="6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2.75" customHeight="1">
      <c r="A70" s="6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2.75" customHeight="1">
      <c r="A71" s="6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2.75" customHeight="1">
      <c r="A72" s="6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2.75" customHeight="1">
      <c r="A73" s="6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2.75" customHeight="1">
      <c r="A74" s="6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2.75" customHeight="1">
      <c r="A75" s="6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2.75" customHeight="1">
      <c r="A76" s="6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2.75" customHeight="1">
      <c r="A77" s="6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2.75" customHeight="1">
      <c r="A78" s="6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2.75" customHeight="1">
      <c r="A79" s="6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2.75" customHeight="1">
      <c r="A80" s="6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2.75" customHeight="1">
      <c r="A81" s="6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2.75" customHeight="1">
      <c r="A82" s="6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2.75" customHeight="1">
      <c r="A83" s="6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2.75" customHeight="1">
      <c r="A84" s="6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2.75" customHeight="1">
      <c r="A85" s="6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2.75" customHeight="1">
      <c r="A86" s="6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2.75" customHeight="1">
      <c r="A87" s="6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2.75" customHeight="1">
      <c r="A88" s="6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2.75" customHeight="1">
      <c r="A89" s="6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2.75" customHeight="1">
      <c r="A90" s="6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2.75" customHeight="1">
      <c r="A91" s="6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2.75" customHeight="1">
      <c r="A92" s="6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2.75" customHeight="1">
      <c r="A93" s="6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2.75" customHeight="1">
      <c r="A94" s="6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2.75" customHeight="1">
      <c r="A95" s="6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2.75" customHeight="1">
      <c r="A96" s="6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2.75" customHeight="1">
      <c r="A97" s="6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2.75" customHeight="1">
      <c r="A98" s="6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2.75" customHeight="1">
      <c r="A99" s="6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2.75" customHeight="1">
      <c r="A100" s="6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2.75" customHeight="1">
      <c r="A101" s="6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2.75" customHeight="1">
      <c r="A102" s="6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2.75" customHeight="1">
      <c r="A103" s="6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2.75" customHeight="1">
      <c r="A104" s="6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2.75" customHeight="1">
      <c r="A105" s="6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2.75" customHeight="1">
      <c r="A106" s="6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2.75" customHeight="1">
      <c r="A107" s="6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2.75" customHeight="1">
      <c r="A108" s="6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2.75" customHeight="1">
      <c r="A109" s="6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2.75" customHeight="1">
      <c r="A110" s="6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2.75" customHeight="1">
      <c r="A111" s="6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2.75" customHeight="1">
      <c r="A112" s="6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2.75" customHeight="1">
      <c r="A113" s="6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2.75" customHeight="1">
      <c r="A114" s="6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2.75" customHeight="1">
      <c r="A115" s="6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2.75" customHeight="1">
      <c r="A116" s="6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2.75" customHeight="1">
      <c r="A117" s="6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2.75" customHeight="1">
      <c r="A118" s="6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2.75" customHeight="1">
      <c r="A119" s="6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2.75" customHeight="1">
      <c r="A120" s="6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2.75" customHeight="1">
      <c r="A121" s="6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2.75" customHeight="1">
      <c r="A122" s="6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2.75" customHeight="1">
      <c r="A123" s="6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2.75" customHeight="1">
      <c r="A124" s="6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2.75" customHeight="1">
      <c r="A125" s="6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2.75" customHeight="1">
      <c r="A126" s="6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2.75" customHeight="1">
      <c r="A127" s="6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2.75" customHeight="1">
      <c r="A128" s="6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2.75" customHeight="1">
      <c r="A129" s="6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2.75" customHeight="1">
      <c r="A130" s="6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2.75" customHeight="1">
      <c r="A131" s="6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2.75" customHeight="1">
      <c r="A132" s="6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2.75" customHeight="1">
      <c r="A133" s="6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2.75" customHeight="1">
      <c r="A134" s="6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2.75" customHeight="1">
      <c r="A135" s="6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2.75" customHeight="1">
      <c r="A136" s="6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2.75" customHeight="1">
      <c r="A137" s="6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2.75" customHeight="1">
      <c r="A138" s="6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2.75" customHeight="1">
      <c r="A139" s="6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2.75" customHeight="1">
      <c r="A140" s="6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2.75" customHeight="1">
      <c r="A141" s="6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2.75" customHeight="1">
      <c r="A142" s="6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2.75" customHeight="1">
      <c r="A143" s="6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2.75" customHeight="1">
      <c r="A144" s="6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2.75" customHeight="1">
      <c r="A145" s="6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2.75" customHeight="1">
      <c r="A146" s="6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2.75" customHeight="1">
      <c r="A147" s="6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2.75" customHeight="1">
      <c r="A148" s="6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2.75" customHeight="1">
      <c r="A149" s="6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2.75" customHeight="1">
      <c r="A150" s="6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2.75" customHeight="1">
      <c r="A151" s="6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2.75" customHeight="1">
      <c r="A152" s="6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2.75" customHeight="1">
      <c r="A153" s="6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2.75" customHeight="1">
      <c r="A154" s="6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2.75" customHeight="1">
      <c r="A155" s="6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2.75" customHeight="1">
      <c r="A156" s="6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2.75" customHeight="1">
      <c r="A157" s="6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2.75" customHeight="1">
      <c r="A158" s="6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2.75" customHeight="1">
      <c r="A159" s="6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2.75" customHeight="1">
      <c r="A160" s="6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2.75" customHeight="1">
      <c r="A161" s="6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2.75" customHeight="1">
      <c r="A162" s="6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2.75" customHeight="1">
      <c r="A163" s="6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2.75" customHeight="1">
      <c r="A164" s="6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2.75" customHeight="1">
      <c r="A165" s="6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2.75" customHeight="1">
      <c r="A166" s="6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2.75" customHeight="1">
      <c r="A167" s="6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2.75" customHeight="1">
      <c r="A168" s="6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2.75" customHeight="1">
      <c r="A169" s="6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2.75" customHeight="1">
      <c r="A170" s="6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2.75" customHeight="1">
      <c r="A171" s="6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2.75" customHeight="1">
      <c r="A172" s="6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2.75" customHeight="1">
      <c r="A173" s="6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2.75" customHeight="1">
      <c r="A174" s="6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2.75" customHeight="1">
      <c r="A175" s="6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2.75" customHeight="1">
      <c r="A176" s="6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2.75" customHeight="1">
      <c r="A177" s="6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2.75" customHeight="1">
      <c r="A178" s="6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2.75" customHeight="1">
      <c r="A179" s="6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2.75" customHeight="1">
      <c r="A180" s="6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2.75" customHeight="1">
      <c r="A181" s="6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2.75" customHeight="1">
      <c r="A182" s="6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2.75" customHeight="1">
      <c r="A183" s="6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2.75" customHeight="1">
      <c r="A184" s="6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2.75" customHeight="1">
      <c r="A185" s="6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2.75" customHeight="1">
      <c r="A186" s="6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2.75" customHeight="1">
      <c r="A187" s="6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2.75" customHeight="1">
      <c r="A188" s="6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2.75" customHeight="1">
      <c r="A189" s="6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2.75" customHeight="1">
      <c r="A190" s="6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2.75" customHeight="1">
      <c r="A191" s="6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2.75" customHeight="1">
      <c r="A192" s="6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2.75" customHeight="1">
      <c r="A193" s="6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2.75" customHeight="1">
      <c r="A194" s="6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2.75" customHeight="1">
      <c r="A195" s="6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2.75" customHeight="1">
      <c r="A196" s="6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2.75" customHeight="1">
      <c r="A197" s="6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2.75" customHeight="1">
      <c r="A198" s="6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2.75" customHeight="1">
      <c r="A199" s="6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2.75" customHeight="1">
      <c r="A200" s="6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2.75" customHeight="1">
      <c r="A201" s="6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2.75" customHeight="1">
      <c r="A202" s="6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2.75" customHeight="1">
      <c r="A203" s="6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2.75" customHeight="1">
      <c r="A204" s="6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2.75" customHeight="1">
      <c r="A205" s="6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2.75" customHeight="1">
      <c r="A206" s="6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2.75" customHeight="1">
      <c r="A207" s="6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2.75" customHeight="1">
      <c r="A208" s="6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2.75" customHeight="1">
      <c r="A209" s="6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2.75" customHeight="1">
      <c r="A210" s="6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2.75" customHeight="1">
      <c r="A211" s="6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2.75" customHeight="1">
      <c r="A212" s="6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2.75" customHeight="1">
      <c r="A213" s="6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2.75" customHeight="1">
      <c r="A214" s="6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2.75" customHeight="1">
      <c r="A215" s="6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2.75" customHeight="1">
      <c r="A216" s="6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2.75" customHeight="1">
      <c r="A217" s="6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2.75" customHeight="1">
      <c r="A218" s="6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2.75" customHeight="1">
      <c r="A219" s="6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2.75" customHeight="1">
      <c r="A220" s="6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2.75" customHeight="1">
      <c r="A221" s="6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2.75" customHeight="1">
      <c r="A222" s="6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2.75" customHeight="1">
      <c r="A223" s="6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2.75" customHeight="1">
      <c r="A224" s="6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2.75" customHeight="1">
      <c r="A225" s="6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2.75" customHeight="1">
      <c r="A226" s="6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2.75" customHeight="1">
      <c r="A227" s="6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2.75" customHeight="1">
      <c r="A228" s="6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2.75" customHeight="1">
      <c r="A229" s="6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2.75" customHeight="1">
      <c r="A230" s="6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2.75" customHeight="1">
      <c r="A231" s="6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2.75" customHeight="1">
      <c r="A232" s="6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2.75" customHeight="1">
      <c r="A233" s="6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2.75" customHeight="1">
      <c r="A234" s="6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2.75" customHeight="1">
      <c r="A235" s="6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2.75" customHeight="1">
      <c r="A236" s="6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2.75" customHeight="1">
      <c r="A237" s="6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2.75" customHeight="1">
      <c r="A238" s="6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2.75" customHeight="1">
      <c r="A239" s="6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2.75" customHeight="1">
      <c r="A240" s="6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2.75" customHeight="1">
      <c r="A241" s="6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2.75" customHeight="1">
      <c r="A242" s="6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2.75" customHeight="1">
      <c r="A243" s="6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2.75" customHeight="1">
      <c r="A244" s="6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2.75" customHeight="1">
      <c r="A245" s="6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2.75" customHeight="1">
      <c r="A246" s="6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2.75" customHeight="1">
      <c r="A247" s="6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2.75" customHeight="1">
      <c r="A248" s="6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2.75" customHeight="1">
      <c r="A249" s="6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2.75" customHeight="1">
      <c r="A250" s="6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2.75" customHeight="1">
      <c r="A251" s="6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2.75" customHeight="1">
      <c r="A252" s="6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2.75" customHeight="1">
      <c r="A253" s="6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2.75" customHeight="1">
      <c r="A254" s="6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2.75" customHeight="1">
      <c r="A255" s="6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2.75" customHeight="1">
      <c r="A256" s="6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2.75" customHeight="1">
      <c r="A257" s="6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2.75" customHeight="1">
      <c r="A258" s="6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2.75" customHeight="1">
      <c r="A259" s="6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2.75" customHeight="1">
      <c r="A260" s="6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2.75" customHeight="1">
      <c r="A261" s="6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2.75" customHeight="1">
      <c r="A262" s="6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2.75" customHeight="1">
      <c r="A263" s="6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2.75" customHeight="1">
      <c r="A264" s="6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2.75" customHeight="1">
      <c r="A265" s="6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2.75" customHeight="1">
      <c r="A266" s="6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2.75" customHeight="1">
      <c r="A267" s="6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2.75" customHeight="1">
      <c r="A268" s="6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2.75" customHeight="1">
      <c r="A269" s="6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2.75" customHeight="1">
      <c r="A270" s="6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2.75" customHeight="1">
      <c r="A271" s="6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2.75" customHeight="1">
      <c r="A272" s="6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2.75" customHeight="1">
      <c r="A273" s="6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2.75" customHeight="1">
      <c r="A274" s="6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2.75" customHeight="1">
      <c r="A275" s="6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2.75" customHeight="1">
      <c r="A276" s="6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2.75" customHeight="1">
      <c r="A277" s="6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2.75" customHeight="1">
      <c r="A278" s="6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2.75" customHeight="1">
      <c r="A279" s="6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2.75" customHeight="1">
      <c r="A280" s="6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2.75" customHeight="1">
      <c r="A281" s="6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2.75" customHeight="1">
      <c r="A282" s="6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2.75" customHeight="1">
      <c r="A283" s="6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2.75" customHeight="1">
      <c r="A284" s="6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2.75" customHeight="1">
      <c r="A285" s="6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2.75" customHeight="1">
      <c r="A286" s="6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2.75" customHeight="1">
      <c r="A287" s="6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2.75" customHeight="1">
      <c r="A288" s="6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2.75" customHeight="1">
      <c r="A289" s="6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2.75" customHeight="1">
      <c r="A290" s="6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2.75" customHeight="1">
      <c r="A291" s="6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2.75" customHeight="1">
      <c r="A292" s="6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2.75" customHeight="1">
      <c r="A293" s="6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2.75" customHeight="1">
      <c r="A294" s="6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2.75" customHeight="1">
      <c r="A295" s="6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2.75" customHeight="1">
      <c r="A296" s="6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2.75" customHeight="1">
      <c r="A297" s="6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2.75" customHeight="1">
      <c r="A298" s="6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2.75" customHeight="1">
      <c r="A299" s="6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2.75" customHeight="1">
      <c r="A300" s="6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2.75" customHeight="1">
      <c r="A301" s="6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2.75" customHeight="1">
      <c r="A302" s="6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2.75" customHeight="1">
      <c r="A303" s="6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2.75" customHeight="1">
      <c r="A304" s="6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2.75" customHeight="1">
      <c r="A305" s="6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2.75" customHeight="1">
      <c r="A306" s="6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2.75" customHeight="1">
      <c r="A307" s="6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2.75" customHeight="1">
      <c r="A308" s="6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2.75" customHeight="1">
      <c r="A309" s="6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2.75" customHeight="1">
      <c r="A310" s="6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2.75" customHeight="1">
      <c r="A311" s="6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2.75" customHeight="1">
      <c r="A312" s="6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2.75" customHeight="1">
      <c r="A313" s="6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2.75" customHeight="1">
      <c r="A314" s="6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2.75" customHeight="1">
      <c r="A315" s="6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2.75" customHeight="1">
      <c r="A316" s="6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2.75" customHeight="1">
      <c r="A317" s="6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2.75" customHeight="1">
      <c r="A318" s="6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2.75" customHeight="1">
      <c r="A319" s="6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2.75" customHeight="1">
      <c r="A320" s="6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2.75" customHeight="1">
      <c r="A321" s="6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2.75" customHeight="1">
      <c r="A322" s="6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2.75" customHeight="1">
      <c r="A323" s="6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2.75" customHeight="1">
      <c r="A324" s="6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2.75" customHeight="1">
      <c r="A325" s="6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2.75" customHeight="1">
      <c r="A326" s="6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2.75" customHeight="1">
      <c r="A327" s="6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2.75" customHeight="1">
      <c r="A328" s="6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2.75" customHeight="1">
      <c r="A329" s="6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2.75" customHeight="1">
      <c r="A330" s="6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2.75" customHeight="1">
      <c r="A331" s="6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2.75" customHeight="1">
      <c r="A332" s="6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2.75" customHeight="1">
      <c r="A333" s="6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2.75" customHeight="1">
      <c r="A334" s="6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2.75" customHeight="1">
      <c r="A335" s="6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2.75" customHeight="1">
      <c r="A336" s="6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2.75" customHeight="1">
      <c r="A337" s="6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2.75" customHeight="1">
      <c r="A338" s="6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2.75" customHeight="1">
      <c r="A339" s="6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2.75" customHeight="1">
      <c r="A340" s="6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2.75" customHeight="1">
      <c r="A341" s="6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2.75" customHeight="1">
      <c r="A342" s="6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2.75" customHeight="1">
      <c r="A343" s="6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2.75" customHeight="1">
      <c r="A344" s="6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2.75" customHeight="1">
      <c r="A345" s="6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2.75" customHeight="1">
      <c r="A346" s="6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2.75" customHeight="1">
      <c r="A347" s="6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2.75" customHeight="1">
      <c r="A348" s="6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2.75" customHeight="1">
      <c r="A349" s="6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2.75" customHeight="1">
      <c r="A350" s="6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2.75" customHeight="1">
      <c r="A351" s="6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2.75" customHeight="1">
      <c r="A352" s="6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2.75" customHeight="1">
      <c r="A353" s="6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2.75" customHeight="1">
      <c r="A354" s="6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2.75" customHeight="1">
      <c r="A355" s="6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2.75" customHeight="1">
      <c r="A356" s="6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2.75" customHeight="1">
      <c r="A357" s="6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2.75" customHeight="1">
      <c r="A358" s="6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2.75" customHeight="1">
      <c r="A359" s="6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2.75" customHeight="1">
      <c r="A360" s="6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2.75" customHeight="1">
      <c r="A361" s="6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2.75" customHeight="1">
      <c r="A362" s="6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2.75" customHeight="1">
      <c r="A363" s="6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2.75" customHeight="1">
      <c r="A364" s="6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2.75" customHeight="1">
      <c r="A365" s="6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2.75" customHeight="1">
      <c r="A366" s="6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2.75" customHeight="1">
      <c r="A367" s="6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2.75" customHeight="1">
      <c r="A368" s="6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2.75" customHeight="1">
      <c r="A369" s="6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2.75" customHeight="1">
      <c r="A370" s="6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2.75" customHeight="1">
      <c r="A371" s="6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2.75" customHeight="1">
      <c r="A372" s="6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2.75" customHeight="1">
      <c r="A373" s="6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2.75" customHeight="1">
      <c r="A374" s="6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2.75" customHeight="1">
      <c r="A375" s="6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2.75" customHeight="1">
      <c r="A376" s="6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2.75" customHeight="1">
      <c r="A377" s="6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2.75" customHeight="1">
      <c r="A378" s="6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2.75" customHeight="1">
      <c r="A379" s="6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2.75" customHeight="1">
      <c r="A380" s="6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2.75" customHeight="1">
      <c r="A381" s="6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2.75" customHeight="1">
      <c r="A382" s="6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2.75" customHeight="1">
      <c r="A383" s="6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2.75" customHeight="1">
      <c r="A384" s="6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2.75" customHeight="1">
      <c r="A385" s="6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2.75" customHeight="1">
      <c r="A386" s="6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2.75" customHeight="1">
      <c r="A387" s="6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2.75" customHeight="1">
      <c r="A388" s="6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2.75" customHeight="1">
      <c r="A389" s="6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2.75" customHeight="1">
      <c r="A390" s="6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2.75" customHeight="1">
      <c r="A391" s="6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2.75" customHeight="1">
      <c r="A392" s="6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2.75" customHeight="1">
      <c r="A393" s="6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2.75" customHeight="1">
      <c r="A394" s="6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2.75" customHeight="1">
      <c r="A395" s="6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2.75" customHeight="1">
      <c r="A396" s="6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2.75" customHeight="1">
      <c r="A397" s="6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2.75" customHeight="1">
      <c r="A398" s="6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2.75" customHeight="1">
      <c r="A399" s="6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2.75" customHeight="1">
      <c r="A400" s="6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2.75" customHeight="1">
      <c r="A401" s="6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2.75" customHeight="1">
      <c r="A402" s="6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2.75" customHeight="1">
      <c r="A403" s="6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2.75" customHeight="1">
      <c r="A404" s="6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2.75" customHeight="1">
      <c r="A405" s="6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2.75" customHeight="1">
      <c r="A406" s="6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2.75" customHeight="1">
      <c r="A407" s="6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2.75" customHeight="1">
      <c r="A408" s="6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2.75" customHeight="1">
      <c r="A409" s="6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2.75" customHeight="1">
      <c r="A410" s="6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2.75" customHeight="1">
      <c r="A411" s="6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2.75" customHeight="1">
      <c r="A412" s="6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2.75" customHeight="1">
      <c r="A413" s="6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2.75" customHeight="1">
      <c r="A414" s="6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2.75" customHeight="1">
      <c r="A415" s="6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2.75" customHeight="1">
      <c r="A416" s="6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2.75" customHeight="1">
      <c r="A417" s="6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2.75" customHeight="1">
      <c r="A418" s="6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2.75" customHeight="1">
      <c r="A419" s="6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2.75" customHeight="1">
      <c r="A420" s="6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2.75" customHeight="1">
      <c r="A421" s="6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2.75" customHeight="1">
      <c r="A422" s="6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2.75" customHeight="1">
      <c r="A423" s="6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2.75" customHeight="1">
      <c r="A424" s="6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2.75" customHeight="1">
      <c r="A425" s="6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2.75" customHeight="1">
      <c r="A426" s="6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2.75" customHeight="1">
      <c r="A427" s="6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2.75" customHeight="1">
      <c r="A428" s="6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2.75" customHeight="1">
      <c r="A429" s="6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2.75" customHeight="1">
      <c r="A430" s="6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2.75" customHeight="1">
      <c r="A431" s="6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2.75" customHeight="1">
      <c r="A432" s="6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2.75" customHeight="1">
      <c r="A433" s="6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2.75" customHeight="1">
      <c r="A434" s="6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2.75" customHeight="1">
      <c r="A435" s="6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2.75" customHeight="1">
      <c r="A436" s="6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2.75" customHeight="1">
      <c r="A437" s="6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2.75" customHeight="1">
      <c r="A438" s="6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2.75" customHeight="1">
      <c r="A439" s="6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2.75" customHeight="1">
      <c r="A440" s="6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2.75" customHeight="1">
      <c r="A441" s="6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2.75" customHeight="1">
      <c r="A442" s="6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2.75" customHeight="1">
      <c r="A443" s="6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2.75" customHeight="1">
      <c r="A444" s="6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2.75" customHeight="1">
      <c r="A445" s="6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2.75" customHeight="1">
      <c r="A446" s="6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2.75" customHeight="1">
      <c r="A447" s="6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2.75" customHeight="1">
      <c r="A448" s="6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2.75" customHeight="1">
      <c r="A449" s="6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2.75" customHeight="1">
      <c r="A450" s="6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2.75" customHeight="1">
      <c r="A451" s="6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2.75" customHeight="1">
      <c r="A452" s="6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2.75" customHeight="1">
      <c r="A453" s="6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2.75" customHeight="1">
      <c r="A454" s="6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2.75" customHeight="1">
      <c r="A455" s="6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2.75" customHeight="1">
      <c r="A456" s="6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2.75" customHeight="1">
      <c r="A457" s="6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2.75" customHeight="1">
      <c r="A458" s="6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2.75" customHeight="1">
      <c r="A459" s="6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2.75" customHeight="1">
      <c r="A460" s="6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2.75" customHeight="1">
      <c r="A461" s="6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2.75" customHeight="1">
      <c r="A462" s="6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2.75" customHeight="1">
      <c r="A463" s="6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2.75" customHeight="1">
      <c r="A464" s="6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2.75" customHeight="1">
      <c r="A465" s="6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2.75" customHeight="1">
      <c r="A466" s="6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2.75" customHeight="1">
      <c r="A467" s="6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2.75" customHeight="1">
      <c r="A468" s="6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2.75" customHeight="1">
      <c r="A469" s="6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2.75" customHeight="1">
      <c r="A470" s="6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2.75" customHeight="1">
      <c r="A471" s="6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2.75" customHeight="1">
      <c r="A472" s="6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2.75" customHeight="1">
      <c r="A473" s="6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2.75" customHeight="1">
      <c r="A474" s="6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2.75" customHeight="1">
      <c r="A475" s="6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2.75" customHeight="1">
      <c r="A476" s="6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2.75" customHeight="1">
      <c r="A477" s="6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2.75" customHeight="1">
      <c r="A478" s="6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2.75" customHeight="1">
      <c r="A479" s="6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2.75" customHeight="1">
      <c r="A480" s="6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2.75" customHeight="1">
      <c r="A481" s="6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2.75" customHeight="1">
      <c r="A482" s="6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2.75" customHeight="1">
      <c r="A483" s="6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2.75" customHeight="1">
      <c r="A484" s="6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2.75" customHeight="1">
      <c r="A485" s="6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2.75" customHeight="1">
      <c r="A486" s="6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2.75" customHeight="1">
      <c r="A487" s="6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2.75" customHeight="1">
      <c r="A488" s="6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2.75" customHeight="1">
      <c r="A489" s="6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2.75" customHeight="1">
      <c r="A490" s="6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2.75" customHeight="1">
      <c r="A491" s="6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2.75" customHeight="1">
      <c r="A492" s="6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2.75" customHeight="1">
      <c r="A493" s="6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2.75" customHeight="1">
      <c r="A494" s="6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2.75" customHeight="1">
      <c r="A495" s="6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2.75" customHeight="1">
      <c r="A496" s="6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2.75" customHeight="1">
      <c r="A497" s="6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2.75" customHeight="1">
      <c r="A498" s="6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2.75" customHeight="1">
      <c r="A499" s="6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2.75" customHeight="1">
      <c r="A500" s="6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2.75" customHeight="1">
      <c r="A501" s="6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2.75" customHeight="1">
      <c r="A502" s="6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2.75" customHeight="1">
      <c r="A503" s="6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2.75" customHeight="1">
      <c r="A504" s="6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2.75" customHeight="1">
      <c r="A505" s="6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2.75" customHeight="1">
      <c r="A506" s="6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2.75" customHeight="1">
      <c r="A507" s="6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2.75" customHeight="1">
      <c r="A508" s="6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2.75" customHeight="1">
      <c r="A509" s="6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2.75" customHeight="1">
      <c r="A510" s="6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2.75" customHeight="1">
      <c r="A511" s="6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2.75" customHeight="1">
      <c r="A512" s="6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2.75" customHeight="1">
      <c r="A513" s="6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2.75" customHeight="1">
      <c r="A514" s="6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2.75" customHeight="1">
      <c r="A515" s="6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2.75" customHeight="1">
      <c r="A516" s="6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2.75" customHeight="1">
      <c r="A517" s="6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2.75" customHeight="1">
      <c r="A518" s="6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2.75" customHeight="1">
      <c r="A519" s="6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2.75" customHeight="1">
      <c r="A520" s="6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2.75" customHeight="1">
      <c r="A521" s="6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2.75" customHeight="1">
      <c r="A522" s="6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2.75" customHeight="1">
      <c r="A523" s="6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2.75" customHeight="1">
      <c r="A524" s="6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2.75" customHeight="1">
      <c r="A525" s="6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2.75" customHeight="1">
      <c r="A526" s="6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2.75" customHeight="1">
      <c r="A527" s="6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2.75" customHeight="1">
      <c r="A528" s="6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2.75" customHeight="1">
      <c r="A529" s="6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2.75" customHeight="1">
      <c r="A530" s="6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2.75" customHeight="1">
      <c r="A531" s="6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2.75" customHeight="1">
      <c r="A532" s="6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2.75" customHeight="1">
      <c r="A533" s="6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2.75" customHeight="1">
      <c r="A534" s="6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2.75" customHeight="1">
      <c r="A535" s="6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2.75" customHeight="1">
      <c r="A536" s="6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2.75" customHeight="1">
      <c r="A537" s="6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2.75" customHeight="1">
      <c r="A538" s="6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2.75" customHeight="1">
      <c r="A539" s="6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2.75" customHeight="1">
      <c r="A540" s="6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2.75" customHeight="1">
      <c r="A541" s="6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2.75" customHeight="1">
      <c r="A542" s="6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2.75" customHeight="1">
      <c r="A543" s="6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2.75" customHeight="1">
      <c r="A544" s="6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2.75" customHeight="1">
      <c r="A545" s="6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2.75" customHeight="1">
      <c r="A546" s="6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2.75" customHeight="1">
      <c r="A547" s="6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2.75" customHeight="1">
      <c r="A548" s="6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2.75" customHeight="1">
      <c r="A549" s="6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2.75" customHeight="1">
      <c r="A550" s="6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2.75" customHeight="1">
      <c r="A551" s="6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2.75" customHeight="1">
      <c r="A552" s="6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2.75" customHeight="1">
      <c r="A553" s="6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2.75" customHeight="1">
      <c r="A554" s="6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2.75" customHeight="1">
      <c r="A555" s="6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2.75" customHeight="1">
      <c r="A556" s="6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2.75" customHeight="1">
      <c r="A557" s="6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2.75" customHeight="1">
      <c r="A558" s="6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2.75" customHeight="1">
      <c r="A559" s="6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2.75" customHeight="1">
      <c r="A560" s="6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2.75" customHeight="1">
      <c r="A561" s="6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2.75" customHeight="1">
      <c r="A562" s="6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2.75" customHeight="1">
      <c r="A563" s="6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2.75" customHeight="1">
      <c r="A564" s="6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2.75" customHeight="1">
      <c r="A565" s="6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2.75" customHeight="1">
      <c r="A566" s="6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2.75" customHeight="1">
      <c r="A567" s="6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2.75" customHeight="1">
      <c r="A568" s="6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2.75" customHeight="1">
      <c r="A569" s="6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2.75" customHeight="1">
      <c r="A570" s="6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2.75" customHeight="1">
      <c r="A571" s="6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2.75" customHeight="1">
      <c r="A572" s="6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2.75" customHeight="1">
      <c r="A573" s="6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2.75" customHeight="1">
      <c r="A574" s="6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2.75" customHeight="1">
      <c r="A575" s="6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2.75" customHeight="1">
      <c r="A576" s="6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2.75" customHeight="1">
      <c r="A577" s="6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2.75" customHeight="1">
      <c r="A578" s="6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2.75" customHeight="1">
      <c r="A579" s="6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2.75" customHeight="1">
      <c r="A580" s="6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2.75" customHeight="1">
      <c r="A581" s="6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2.75" customHeight="1">
      <c r="A582" s="6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2.75" customHeight="1">
      <c r="A583" s="6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2.75" customHeight="1">
      <c r="A584" s="6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2.75" customHeight="1">
      <c r="A585" s="6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2.75" customHeight="1">
      <c r="A586" s="6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2.75" customHeight="1">
      <c r="A587" s="6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2.75" customHeight="1">
      <c r="A588" s="6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2.75" customHeight="1">
      <c r="A589" s="6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2.75" customHeight="1">
      <c r="A590" s="6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2.75" customHeight="1">
      <c r="A591" s="6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2.75" customHeight="1">
      <c r="A592" s="6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2.75" customHeight="1">
      <c r="A593" s="6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2.75" customHeight="1">
      <c r="A594" s="6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2.75" customHeight="1">
      <c r="A595" s="6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2.75" customHeight="1">
      <c r="A596" s="6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2.75" customHeight="1">
      <c r="A597" s="6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2.75" customHeight="1">
      <c r="A598" s="6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2.75" customHeight="1">
      <c r="A599" s="6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2.75" customHeight="1">
      <c r="A600" s="6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2.75" customHeight="1">
      <c r="A601" s="6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2.75" customHeight="1">
      <c r="A602" s="6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2.75" customHeight="1">
      <c r="A603" s="6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2.75" customHeight="1">
      <c r="A604" s="6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2.75" customHeight="1">
      <c r="A605" s="6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2.75" customHeight="1">
      <c r="A606" s="6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2.75" customHeight="1">
      <c r="A607" s="6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2.75" customHeight="1">
      <c r="A608" s="6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2.75" customHeight="1">
      <c r="A609" s="6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2.75" customHeight="1">
      <c r="A610" s="6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2.75" customHeight="1">
      <c r="A611" s="6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2.75" customHeight="1">
      <c r="A612" s="6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2.75" customHeight="1">
      <c r="A613" s="6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2.75" customHeight="1">
      <c r="A614" s="6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2.75" customHeight="1">
      <c r="A615" s="6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2.75" customHeight="1">
      <c r="A616" s="6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2.75" customHeight="1">
      <c r="A617" s="6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2.75" customHeight="1">
      <c r="A618" s="6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2.75" customHeight="1">
      <c r="A619" s="6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2.75" customHeight="1">
      <c r="A620" s="6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2.75" customHeight="1">
      <c r="A621" s="6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2.75" customHeight="1">
      <c r="A622" s="6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2.75" customHeight="1">
      <c r="A623" s="6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2.75" customHeight="1">
      <c r="A624" s="6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2.75" customHeight="1">
      <c r="A625" s="6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2.75" customHeight="1">
      <c r="A626" s="6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2.75" customHeight="1">
      <c r="A627" s="6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2.75" customHeight="1">
      <c r="A628" s="6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2.75" customHeight="1">
      <c r="A629" s="6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2.75" customHeight="1">
      <c r="A630" s="6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2.75" customHeight="1">
      <c r="A631" s="6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2.75" customHeight="1">
      <c r="A632" s="6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2.75" customHeight="1">
      <c r="A633" s="6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2.75" customHeight="1">
      <c r="A634" s="6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2.75" customHeight="1">
      <c r="A635" s="6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2.75" customHeight="1">
      <c r="A636" s="6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2.75" customHeight="1">
      <c r="A637" s="6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2.75" customHeight="1">
      <c r="A638" s="6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2.75" customHeight="1">
      <c r="A639" s="6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2.75" customHeight="1">
      <c r="A640" s="6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2.75" customHeight="1">
      <c r="A641" s="6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2.75" customHeight="1">
      <c r="A642" s="6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2.75" customHeight="1">
      <c r="A643" s="6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2.75" customHeight="1">
      <c r="A644" s="6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2.75" customHeight="1">
      <c r="A645" s="6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2.75" customHeight="1">
      <c r="A646" s="6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2.75" customHeight="1">
      <c r="A647" s="6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2.75" customHeight="1">
      <c r="A648" s="6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2.75" customHeight="1">
      <c r="A649" s="6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2.75" customHeight="1">
      <c r="A650" s="6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2.75" customHeight="1">
      <c r="A651" s="6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2.75" customHeight="1">
      <c r="A652" s="6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2.75" customHeight="1">
      <c r="A653" s="6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2.75" customHeight="1">
      <c r="A654" s="6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2.75" customHeight="1">
      <c r="A655" s="6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2.75" customHeight="1">
      <c r="A656" s="6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2.75" customHeight="1">
      <c r="A657" s="6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2.75" customHeight="1">
      <c r="A658" s="6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2.75" customHeight="1">
      <c r="A659" s="6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2.75" customHeight="1">
      <c r="A660" s="6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2.75" customHeight="1">
      <c r="A661" s="6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2.75" customHeight="1">
      <c r="A662" s="6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2.75" customHeight="1">
      <c r="A663" s="6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2.75" customHeight="1">
      <c r="A664" s="6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2.75" customHeight="1">
      <c r="A665" s="6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2.75" customHeight="1">
      <c r="A666" s="6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2.75" customHeight="1">
      <c r="A667" s="6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2.75" customHeight="1">
      <c r="A668" s="6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2.75" customHeight="1">
      <c r="A669" s="6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2.75" customHeight="1">
      <c r="A670" s="6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2.75" customHeight="1">
      <c r="A671" s="6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2.75" customHeight="1">
      <c r="A672" s="6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2.75" customHeight="1">
      <c r="A673" s="6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2.75" customHeight="1">
      <c r="A674" s="6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2.75" customHeight="1">
      <c r="A675" s="6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2.75" customHeight="1">
      <c r="A676" s="6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2.75" customHeight="1">
      <c r="A677" s="6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2.75" customHeight="1">
      <c r="A678" s="6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2.75" customHeight="1">
      <c r="A679" s="6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2.75" customHeight="1">
      <c r="A680" s="6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2.75" customHeight="1">
      <c r="A681" s="6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2.75" customHeight="1">
      <c r="A682" s="6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2.75" customHeight="1">
      <c r="A683" s="6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2.75" customHeight="1">
      <c r="A684" s="6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2.75" customHeight="1">
      <c r="A685" s="6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2.75" customHeight="1">
      <c r="A686" s="6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2.75" customHeight="1">
      <c r="A687" s="6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2.75" customHeight="1">
      <c r="A688" s="6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2.75" customHeight="1">
      <c r="A689" s="6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2.75" customHeight="1">
      <c r="A690" s="6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2.75" customHeight="1">
      <c r="A691" s="6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2.75" customHeight="1">
      <c r="A692" s="6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2.75" customHeight="1">
      <c r="A693" s="6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2.75" customHeight="1">
      <c r="A694" s="6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2.75" customHeight="1">
      <c r="A695" s="6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2.75" customHeight="1">
      <c r="A696" s="6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2.75" customHeight="1">
      <c r="A697" s="6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2.75" customHeight="1">
      <c r="A698" s="6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2.75" customHeight="1">
      <c r="A699" s="6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2.75" customHeight="1">
      <c r="A700" s="6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2.75" customHeight="1">
      <c r="A701" s="6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2.75" customHeight="1">
      <c r="A702" s="6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2.75" customHeight="1">
      <c r="A703" s="6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2.75" customHeight="1">
      <c r="A704" s="6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2.75" customHeight="1">
      <c r="A705" s="6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2.75" customHeight="1">
      <c r="A706" s="6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2.75" customHeight="1">
      <c r="A707" s="6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2.75" customHeight="1">
      <c r="A708" s="6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2.75" customHeight="1">
      <c r="A709" s="6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2.75" customHeight="1">
      <c r="A710" s="6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2.75" customHeight="1">
      <c r="A711" s="6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2.75" customHeight="1">
      <c r="A712" s="6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2.75" customHeight="1">
      <c r="A713" s="6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2.75" customHeight="1">
      <c r="A714" s="6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2.75" customHeight="1">
      <c r="A715" s="6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2.75" customHeight="1">
      <c r="A716" s="6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2.75" customHeight="1">
      <c r="A717" s="6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2.75" customHeight="1">
      <c r="A718" s="6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2.75" customHeight="1">
      <c r="A719" s="6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2.75" customHeight="1">
      <c r="A720" s="6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2.75" customHeight="1">
      <c r="A721" s="6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2.75" customHeight="1">
      <c r="A722" s="6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2.75" customHeight="1">
      <c r="A723" s="6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2.75" customHeight="1">
      <c r="A724" s="6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2.75" customHeight="1">
      <c r="A725" s="6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2.75" customHeight="1">
      <c r="A726" s="6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2.75" customHeight="1">
      <c r="A727" s="6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2.75" customHeight="1">
      <c r="A728" s="6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2.75" customHeight="1">
      <c r="A729" s="6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2.75" customHeight="1">
      <c r="A730" s="6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2.75" customHeight="1">
      <c r="A731" s="6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2.75" customHeight="1">
      <c r="A732" s="6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2.75" customHeight="1">
      <c r="A733" s="6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2.75" customHeight="1">
      <c r="A734" s="6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2.75" customHeight="1">
      <c r="A735" s="6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2.75" customHeight="1">
      <c r="A736" s="6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2.75" customHeight="1">
      <c r="A737" s="6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2.75" customHeight="1">
      <c r="A738" s="6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2.75" customHeight="1">
      <c r="A739" s="6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2.75" customHeight="1">
      <c r="A740" s="6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2.75" customHeight="1">
      <c r="A741" s="6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2.75" customHeight="1">
      <c r="A742" s="6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2.75" customHeight="1">
      <c r="A743" s="6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2.75" customHeight="1">
      <c r="A744" s="6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2.75" customHeight="1">
      <c r="A745" s="6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2.75" customHeight="1">
      <c r="A746" s="6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2.75" customHeight="1">
      <c r="A747" s="6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2.75" customHeight="1">
      <c r="A748" s="6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2.75" customHeight="1">
      <c r="A749" s="6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2.75" customHeight="1">
      <c r="A750" s="6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2.75" customHeight="1">
      <c r="A751" s="6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2.75" customHeight="1">
      <c r="A752" s="6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2.75" customHeight="1">
      <c r="A753" s="6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2.75" customHeight="1">
      <c r="A754" s="6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2.75" customHeight="1">
      <c r="A755" s="6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2.75" customHeight="1">
      <c r="A756" s="6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2.75" customHeight="1">
      <c r="A757" s="6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2.75" customHeight="1">
      <c r="A758" s="6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2.75" customHeight="1">
      <c r="A759" s="6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2.75" customHeight="1">
      <c r="A760" s="6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2.75" customHeight="1">
      <c r="A761" s="6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2.75" customHeight="1">
      <c r="A762" s="6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2.75" customHeight="1">
      <c r="A763" s="6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2.75" customHeight="1">
      <c r="A764" s="6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2.75" customHeight="1">
      <c r="A765" s="6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2.75" customHeight="1">
      <c r="A766" s="6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2.75" customHeight="1">
      <c r="A767" s="6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2.75" customHeight="1">
      <c r="A768" s="6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2.75" customHeight="1">
      <c r="A769" s="6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2.75" customHeight="1">
      <c r="A770" s="6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2.75" customHeight="1">
      <c r="A771" s="6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2.75" customHeight="1">
      <c r="A772" s="6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2.75" customHeight="1">
      <c r="A773" s="6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2.75" customHeight="1">
      <c r="A774" s="6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2.75" customHeight="1">
      <c r="A775" s="6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2.75" customHeight="1">
      <c r="A776" s="6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2.75" customHeight="1">
      <c r="A777" s="6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2.75" customHeight="1">
      <c r="A778" s="6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2.75" customHeight="1">
      <c r="A779" s="6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2.75" customHeight="1">
      <c r="A780" s="6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2.75" customHeight="1">
      <c r="A781" s="6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2.75" customHeight="1">
      <c r="A782" s="6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2.75" customHeight="1">
      <c r="A783" s="6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2.75" customHeight="1">
      <c r="A784" s="6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2.75" customHeight="1">
      <c r="A785" s="6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2.75" customHeight="1">
      <c r="A786" s="6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2.75" customHeight="1">
      <c r="A787" s="6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2.75" customHeight="1">
      <c r="A788" s="6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2.75" customHeight="1">
      <c r="A789" s="6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2.75" customHeight="1">
      <c r="A790" s="6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2.75" customHeight="1">
      <c r="A791" s="6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2.75" customHeight="1">
      <c r="A792" s="6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2.75" customHeight="1">
      <c r="A793" s="6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2.75" customHeight="1">
      <c r="A794" s="6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2.75" customHeight="1">
      <c r="A795" s="6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2.75" customHeight="1">
      <c r="A796" s="6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2.75" customHeight="1">
      <c r="A797" s="6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2.75" customHeight="1">
      <c r="A798" s="6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2.75" customHeight="1">
      <c r="A799" s="6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2.75" customHeight="1">
      <c r="A800" s="6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2.75" customHeight="1">
      <c r="A801" s="6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2.75" customHeight="1">
      <c r="A802" s="6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2.75" customHeight="1">
      <c r="A803" s="6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2.75" customHeight="1">
      <c r="A804" s="6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2.75" customHeight="1">
      <c r="A805" s="6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2.75" customHeight="1">
      <c r="A806" s="6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2.75" customHeight="1">
      <c r="A807" s="6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2.75" customHeight="1">
      <c r="A808" s="6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2.75" customHeight="1">
      <c r="A809" s="6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2.75" customHeight="1">
      <c r="A810" s="6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2.75" customHeight="1">
      <c r="A811" s="6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2.75" customHeight="1">
      <c r="A812" s="6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2.75" customHeight="1">
      <c r="A813" s="6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2.75" customHeight="1">
      <c r="A814" s="6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2.75" customHeight="1">
      <c r="A815" s="6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2.75" customHeight="1">
      <c r="A816" s="6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2.75" customHeight="1">
      <c r="A817" s="6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2.75" customHeight="1">
      <c r="A818" s="6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2.75" customHeight="1">
      <c r="A819" s="6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2.75" customHeight="1">
      <c r="A820" s="6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2.75" customHeight="1">
      <c r="A821" s="6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2.75" customHeight="1">
      <c r="A822" s="6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2.75" customHeight="1">
      <c r="A823" s="6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2.75" customHeight="1">
      <c r="A824" s="6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2.75" customHeight="1">
      <c r="A825" s="6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2.75" customHeight="1">
      <c r="A826" s="6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2.75" customHeight="1">
      <c r="A827" s="6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2.75" customHeight="1">
      <c r="A828" s="6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2.75" customHeight="1">
      <c r="A829" s="6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2.75" customHeight="1">
      <c r="A830" s="6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2.75" customHeight="1">
      <c r="A831" s="6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2.75" customHeight="1">
      <c r="A832" s="6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2.75" customHeight="1">
      <c r="A833" s="6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2.75" customHeight="1">
      <c r="A834" s="6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2.75" customHeight="1">
      <c r="A835" s="6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2.75" customHeight="1">
      <c r="A836" s="6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2.75" customHeight="1">
      <c r="A837" s="6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2.75" customHeight="1">
      <c r="A838" s="6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2.75" customHeight="1">
      <c r="A839" s="6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2.75" customHeight="1">
      <c r="A840" s="6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2.75" customHeight="1">
      <c r="A841" s="6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2.75" customHeight="1">
      <c r="A842" s="6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2.75" customHeight="1">
      <c r="A843" s="6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2.75" customHeight="1">
      <c r="A844" s="6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2.75" customHeight="1">
      <c r="A845" s="6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2.75" customHeight="1">
      <c r="A846" s="6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2.75" customHeight="1">
      <c r="A847" s="6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2.75" customHeight="1">
      <c r="A848" s="6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2.75" customHeight="1">
      <c r="A849" s="6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2.75" customHeight="1">
      <c r="A850" s="6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2.75" customHeight="1">
      <c r="A851" s="6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2.75" customHeight="1">
      <c r="A852" s="6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2.75" customHeight="1">
      <c r="A853" s="6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2.75" customHeight="1">
      <c r="A854" s="6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2.75" customHeight="1">
      <c r="A855" s="6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2.75" customHeight="1">
      <c r="A856" s="6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2.75" customHeight="1">
      <c r="A857" s="6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2.75" customHeight="1">
      <c r="A858" s="6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2.75" customHeight="1">
      <c r="A859" s="6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2.75" customHeight="1">
      <c r="A860" s="6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2.75" customHeight="1">
      <c r="A861" s="6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2.75" customHeight="1">
      <c r="A862" s="6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2.75" customHeight="1">
      <c r="A863" s="6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2.75" customHeight="1">
      <c r="A864" s="6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2.75" customHeight="1">
      <c r="A865" s="6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2.75" customHeight="1">
      <c r="A866" s="6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2.75" customHeight="1">
      <c r="A867" s="6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2.75" customHeight="1">
      <c r="A868" s="6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2.75" customHeight="1">
      <c r="A869" s="6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2.75" customHeight="1">
      <c r="A870" s="6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2.75" customHeight="1">
      <c r="A871" s="6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2.75" customHeight="1">
      <c r="A872" s="6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2.75" customHeight="1">
      <c r="A873" s="6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2.75" customHeight="1">
      <c r="A874" s="6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2.75" customHeight="1">
      <c r="A875" s="6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2.75" customHeight="1">
      <c r="A876" s="6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2.75" customHeight="1">
      <c r="A877" s="6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2.75" customHeight="1">
      <c r="A878" s="6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2.75" customHeight="1">
      <c r="A879" s="6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2.75" customHeight="1">
      <c r="A880" s="6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2.75" customHeight="1">
      <c r="A881" s="6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2.75" customHeight="1">
      <c r="A882" s="6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2.75" customHeight="1">
      <c r="A883" s="6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2.75" customHeight="1">
      <c r="A884" s="6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2.75" customHeight="1">
      <c r="A885" s="6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2.75" customHeight="1">
      <c r="A886" s="6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2.75" customHeight="1">
      <c r="A887" s="6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2.75" customHeight="1">
      <c r="A888" s="6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2.75" customHeight="1">
      <c r="A889" s="6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2.75" customHeight="1">
      <c r="A890" s="6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2.75" customHeight="1">
      <c r="A891" s="6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2.75" customHeight="1">
      <c r="A892" s="6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2.75" customHeight="1">
      <c r="A893" s="6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2.75" customHeight="1">
      <c r="A894" s="6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2.75" customHeight="1">
      <c r="A895" s="6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2.75" customHeight="1">
      <c r="A896" s="6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2.75" customHeight="1">
      <c r="A897" s="6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2.75" customHeight="1">
      <c r="A898" s="6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2.75" customHeight="1">
      <c r="A899" s="6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2.75" customHeight="1">
      <c r="A900" s="6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2.75" customHeight="1">
      <c r="A901" s="6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2.75" customHeight="1">
      <c r="A902" s="6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2.75" customHeight="1">
      <c r="A903" s="6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2.75" customHeight="1">
      <c r="A904" s="6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2.75" customHeight="1">
      <c r="A905" s="6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2.75" customHeight="1">
      <c r="A906" s="6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2.75" customHeight="1">
      <c r="A907" s="6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2.75" customHeight="1">
      <c r="A908" s="6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2.75" customHeight="1">
      <c r="A909" s="6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2.75" customHeight="1">
      <c r="A910" s="6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2.75" customHeight="1">
      <c r="A911" s="6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2.75" customHeight="1">
      <c r="A912" s="6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2.75" customHeight="1">
      <c r="A913" s="6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2.75" customHeight="1">
      <c r="A914" s="6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2.75" customHeight="1">
      <c r="A915" s="6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2.75" customHeight="1">
      <c r="A916" s="6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2.75" customHeight="1">
      <c r="A917" s="6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2.75" customHeight="1">
      <c r="A918" s="6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2.75" customHeight="1">
      <c r="A919" s="6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2.75" customHeight="1">
      <c r="A920" s="6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2.75" customHeight="1">
      <c r="A921" s="6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2.75" customHeight="1">
      <c r="A922" s="6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2.75" customHeight="1">
      <c r="A923" s="6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2.75" customHeight="1">
      <c r="A924" s="6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2.75" customHeight="1">
      <c r="A925" s="6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2.75" customHeight="1">
      <c r="A926" s="6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2.75" customHeight="1">
      <c r="A927" s="6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2.75" customHeight="1">
      <c r="A928" s="6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2.75" customHeight="1">
      <c r="A929" s="6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2.75" customHeight="1">
      <c r="A930" s="6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2.75" customHeight="1">
      <c r="A931" s="6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2.75" customHeight="1">
      <c r="A932" s="6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2.75" customHeight="1">
      <c r="A933" s="6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2.75" customHeight="1">
      <c r="A934" s="6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2.75" customHeight="1">
      <c r="A935" s="6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2.75" customHeight="1">
      <c r="A936" s="6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2.75" customHeight="1">
      <c r="A937" s="6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2.75" customHeight="1">
      <c r="A938" s="6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2.75" customHeight="1">
      <c r="A939" s="6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2.75" customHeight="1">
      <c r="A940" s="6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2.75" customHeight="1">
      <c r="A941" s="6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2.75" customHeight="1">
      <c r="A942" s="6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2.75" customHeight="1">
      <c r="A943" s="6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2.75" customHeight="1">
      <c r="A944" s="6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2.75" customHeight="1">
      <c r="A945" s="6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2.75" customHeight="1">
      <c r="A946" s="6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2.75" customHeight="1">
      <c r="A947" s="6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2.75" customHeight="1">
      <c r="A948" s="6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2.75" customHeight="1">
      <c r="A949" s="6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2.75" customHeight="1">
      <c r="A950" s="6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2.75" customHeight="1">
      <c r="A951" s="6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2.75" customHeight="1">
      <c r="A952" s="6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2.75" customHeight="1">
      <c r="A953" s="6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2.75" customHeight="1">
      <c r="A954" s="6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2.75" customHeight="1">
      <c r="A955" s="6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2.75" customHeight="1">
      <c r="A956" s="6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2.75" customHeight="1">
      <c r="A957" s="6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2.75" customHeight="1">
      <c r="A958" s="6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2.75" customHeight="1">
      <c r="A959" s="6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2.75" customHeight="1">
      <c r="A960" s="6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2.75" customHeight="1">
      <c r="A961" s="6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2.75" customHeight="1">
      <c r="A962" s="6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2.75" customHeight="1">
      <c r="A963" s="6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2.75" customHeight="1">
      <c r="A964" s="6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2.75" customHeight="1">
      <c r="A965" s="6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2.75" customHeight="1">
      <c r="A966" s="6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2.75" customHeight="1">
      <c r="A967" s="6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2.75" customHeight="1">
      <c r="A968" s="6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2.75" customHeight="1">
      <c r="A969" s="6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2.75" customHeight="1">
      <c r="A970" s="6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2.75" customHeight="1">
      <c r="A971" s="6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2.75" customHeight="1">
      <c r="A972" s="6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2.75" customHeight="1">
      <c r="A973" s="6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2.75" customHeight="1">
      <c r="A974" s="6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2.75" customHeight="1">
      <c r="A975" s="6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2.75" customHeight="1">
      <c r="A976" s="6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2.75" customHeight="1">
      <c r="A977" s="6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2.75" customHeight="1">
      <c r="A978" s="6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2.75" customHeight="1">
      <c r="A979" s="6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2.75" customHeight="1">
      <c r="A980" s="6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2.75" customHeight="1">
      <c r="A981" s="6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2.75" customHeight="1">
      <c r="A982" s="6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2.75" customHeight="1">
      <c r="A983" s="6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2.75" customHeight="1">
      <c r="A984" s="6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2.75" customHeight="1">
      <c r="A985" s="6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2.75" customHeight="1">
      <c r="A986" s="6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2.75" customHeight="1">
      <c r="A987" s="6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2.75" customHeight="1">
      <c r="A988" s="6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2.75" customHeight="1">
      <c r="A989" s="6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2.75" customHeight="1">
      <c r="A990" s="6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2.75" customHeight="1">
      <c r="A991" s="6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2.75" customHeight="1">
      <c r="A992" s="6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2.75" customHeight="1">
      <c r="A993" s="6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2.75" customHeight="1">
      <c r="A994" s="6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2.75" customHeight="1">
      <c r="A995" s="6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2.75" customHeight="1">
      <c r="A996" s="6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2.75" customHeight="1">
      <c r="A997" s="6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2.75" customHeight="1">
      <c r="A998" s="6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2.75" customHeight="1">
      <c r="A999" s="6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2.75" customHeight="1">
      <c r="A1000" s="6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drawing r:id="rId1"/>
</worksheet>
</file>