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cores" sheetId="3" r:id="rId6"/>
    <sheet state="visible" name="Shares" sheetId="4" r:id="rId7"/>
    <sheet state="visible" name="BettingScoreboard" sheetId="5" r:id="rId8"/>
    <sheet state="visible" name="BettingPayouts" sheetId="6" r:id="rId9"/>
  </sheets>
  <definedNames/>
  <calcPr/>
</workbook>
</file>

<file path=xl/sharedStrings.xml><?xml version="1.0" encoding="utf-8"?>
<sst xmlns="http://schemas.openxmlformats.org/spreadsheetml/2006/main" count="284" uniqueCount="63">
  <si>
    <t>2018 WANNABE CUP</t>
  </si>
  <si>
    <t>POS</t>
  </si>
  <si>
    <t>SCORE</t>
  </si>
  <si>
    <t>TO PAR</t>
  </si>
  <si>
    <t>PLAYER</t>
  </si>
  <si>
    <t>GAILES</t>
  </si>
  <si>
    <t>Hole</t>
  </si>
  <si>
    <t>OUT</t>
  </si>
  <si>
    <t>IN</t>
  </si>
  <si>
    <t>TOTAL</t>
  </si>
  <si>
    <t>NET</t>
  </si>
  <si>
    <t>Player</t>
  </si>
  <si>
    <t>Handi</t>
  </si>
  <si>
    <t>SK</t>
  </si>
  <si>
    <t>CTP</t>
  </si>
  <si>
    <t>LO</t>
  </si>
  <si>
    <t>Par</t>
  </si>
  <si>
    <t>AJ</t>
  </si>
  <si>
    <t>Y</t>
  </si>
  <si>
    <t>BB</t>
  </si>
  <si>
    <t>BK</t>
  </si>
  <si>
    <t>EO</t>
  </si>
  <si>
    <t>SR</t>
  </si>
  <si>
    <t>JB</t>
  </si>
  <si>
    <t>SKIN</t>
  </si>
  <si>
    <t>SERRADELLA</t>
  </si>
  <si>
    <t>BLACKSHIRE</t>
  </si>
  <si>
    <t>RED HAWK</t>
  </si>
  <si>
    <t>GROSS</t>
  </si>
  <si>
    <t>Aaron Jensen</t>
  </si>
  <si>
    <t>Bob Bergeron</t>
  </si>
  <si>
    <t>Brian Kelley</t>
  </si>
  <si>
    <t>Eric Olson</t>
  </si>
  <si>
    <t>Scott Rhoades</t>
  </si>
  <si>
    <t>Jeff Blanton</t>
  </si>
  <si>
    <t>$1 Shares</t>
  </si>
  <si>
    <t>$0.50 Shares</t>
  </si>
  <si>
    <t>Invested</t>
  </si>
  <si>
    <t>SV</t>
  </si>
  <si>
    <t>DK</t>
  </si>
  <si>
    <t>TOTAL $1</t>
  </si>
  <si>
    <t xml:space="preserve"> </t>
  </si>
  <si>
    <t>TOTAL $0.50</t>
  </si>
  <si>
    <t>Steve Vigo</t>
  </si>
  <si>
    <t>Dave Kelley</t>
  </si>
  <si>
    <t>WBC Winner</t>
  </si>
  <si>
    <t>Total $1 share</t>
  </si>
  <si>
    <t>Total $.50 share</t>
  </si>
  <si>
    <t>winning shares</t>
  </si>
  <si>
    <t>per</t>
  </si>
  <si>
    <t>shares</t>
  </si>
  <si>
    <t>$</t>
  </si>
  <si>
    <t>Low Per Round</t>
  </si>
  <si>
    <t># of Winners</t>
  </si>
  <si>
    <t>Skins</t>
  </si>
  <si>
    <t>Skin $</t>
  </si>
  <si>
    <t>CTP $</t>
  </si>
  <si>
    <t>Name</t>
  </si>
  <si>
    <t>Skins Buyin</t>
  </si>
  <si>
    <t>CTP Buyin</t>
  </si>
  <si>
    <t>Per Round Low Buyin</t>
  </si>
  <si>
    <t>Per Round Low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</si>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</sst>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&quot;$&quot;#,##0.00"/>
  </numFmts>
  <fonts count="14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sz val="10.0"/>
    </font>
    <font>
      <b/>
      <sz val="10.0"/>
    </font>
    <font>
      <sz val="11.0"/>
      <color rgb="FF000000"/>
      <name val="Inconsolata"/>
    </font>
  </fonts>
  <fills count="18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4" fontId="9" numFmtId="0" xfId="0" applyAlignment="1" applyBorder="1" applyFont="1">
      <alignment horizontal="center" readingOrder="0" shrinkToFit="0" wrapText="0"/>
    </xf>
    <xf borderId="4" fillId="0" fontId="7" numFmtId="164" xfId="0" applyAlignment="1" applyBorder="1" applyFont="1" applyNumberForma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7" fontId="7" numFmtId="0" xfId="0" applyAlignment="1" applyBorder="1" applyFill="1" applyFont="1">
      <alignment horizontal="center" shrinkToFit="0" wrapText="0"/>
    </xf>
    <xf borderId="4" fillId="7" fontId="10" numFmtId="0" xfId="0" applyAlignment="1" applyBorder="1" applyFont="1">
      <alignment horizontal="left" shrinkToFit="0" wrapText="0"/>
    </xf>
    <xf borderId="4" fillId="7" fontId="10" numFmtId="0" xfId="0" applyAlignment="1" applyBorder="1" applyFont="1">
      <alignment horizontal="center" shrinkToFit="0" wrapText="0"/>
    </xf>
    <xf borderId="4" fillId="6" fontId="8" numFmtId="0" xfId="0" applyAlignment="1" applyBorder="1" applyFont="1">
      <alignment horizontal="center" shrinkToFit="0" wrapText="0"/>
    </xf>
    <xf borderId="4" fillId="7" fontId="7" numFmtId="0" xfId="0" applyAlignment="1" applyBorder="1" applyFon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9" fillId="8" fontId="7" numFmtId="0" xfId="0" applyAlignment="1" applyBorder="1" applyFill="1" applyFont="1">
      <alignment horizontal="center" readingOrder="0" shrinkToFit="0" wrapText="0"/>
    </xf>
    <xf borderId="4" fillId="8" fontId="7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5" fillId="4" fontId="7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11" fillId="4" fontId="7" numFmtId="0" xfId="0" applyAlignment="1" applyBorder="1" applyFont="1">
      <alignment horizontal="center" readingOrder="0" shrinkToFit="0" wrapText="0"/>
    </xf>
    <xf borderId="12" fillId="4" fontId="7" numFmtId="0" xfId="0" applyAlignment="1" applyBorder="1" applyFont="1">
      <alignment horizontal="center" readingOrder="0" shrinkToFit="0" wrapText="0"/>
    </xf>
    <xf borderId="13" fillId="4" fontId="7" numFmtId="0" xfId="0" applyAlignment="1" applyBorder="1" applyFont="1">
      <alignment horizontal="center" readingOrder="0" shrinkToFit="0" wrapText="0"/>
    </xf>
    <xf borderId="4" fillId="7" fontId="10" numFmtId="164" xfId="0" applyAlignment="1" applyBorder="1" applyFont="1" applyNumberFormat="1">
      <alignment horizontal="center" shrinkToFit="0" wrapText="0"/>
    </xf>
    <xf borderId="4" fillId="7" fontId="7" numFmtId="165" xfId="0" applyAlignment="1" applyBorder="1" applyFont="1" applyNumberForma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0" fillId="4" fontId="7" numFmtId="0" xfId="0" applyAlignment="1" applyFont="1">
      <alignment horizontal="center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9" fontId="9" numFmtId="0" xfId="0" applyAlignment="1" applyBorder="1" applyFill="1" applyFont="1">
      <alignment horizontal="center" readingOrder="0" shrinkToFit="0" wrapText="0"/>
    </xf>
    <xf borderId="4" fillId="10" fontId="9" numFmtId="0" xfId="0" applyAlignment="1" applyBorder="1" applyFill="1" applyFont="1">
      <alignment horizontal="center" readingOrder="0" shrinkToFit="0" wrapText="0"/>
    </xf>
    <xf borderId="5" fillId="11" fontId="7" numFmtId="0" xfId="0" applyAlignment="1" applyBorder="1" applyFill="1" applyFont="1">
      <alignment horizontal="center" shrinkToFit="0" wrapText="0"/>
    </xf>
    <xf borderId="4" fillId="12" fontId="7" numFmtId="0" xfId="0" applyAlignment="1" applyBorder="1" applyFill="1" applyFont="1">
      <alignment horizontal="center" readingOrder="0" shrinkToFit="0" wrapText="0"/>
    </xf>
    <xf borderId="4" fillId="12" fontId="7" numFmtId="0" xfId="0" applyAlignment="1" applyBorder="1" applyFont="1">
      <alignment horizontal="center" shrinkToFit="0" wrapText="0"/>
    </xf>
    <xf borderId="12" fillId="12" fontId="10" numFmtId="0" xfId="0" applyAlignment="1" applyBorder="1" applyFont="1">
      <alignment horizontal="center" shrinkToFit="0" vertical="center" wrapText="0"/>
    </xf>
    <xf borderId="5" fillId="13" fontId="10" numFmtId="0" xfId="0" applyAlignment="1" applyBorder="1" applyFill="1" applyFont="1">
      <alignment horizontal="center" shrinkToFit="0" wrapText="0"/>
    </xf>
    <xf borderId="10" fillId="0" fontId="2" numFmtId="0" xfId="0" applyBorder="1" applyFont="1"/>
    <xf borderId="14" fillId="0" fontId="2" numFmtId="0" xfId="0" applyBorder="1" applyFont="1"/>
    <xf borderId="4" fillId="12" fontId="10" numFmtId="0" xfId="0" applyAlignment="1" applyBorder="1" applyFont="1">
      <alignment horizontal="center" shrinkToFit="0" wrapText="0"/>
    </xf>
    <xf borderId="4" fillId="14" fontId="10" numFmtId="0" xfId="0" applyAlignment="1" applyBorder="1" applyFill="1" applyFont="1">
      <alignment horizontal="center" shrinkToFit="0" wrapText="0"/>
    </xf>
    <xf borderId="4" fillId="15" fontId="10" numFmtId="0" xfId="0" applyAlignment="1" applyBorder="1" applyFill="1" applyFont="1">
      <alignment horizontal="center" shrinkToFit="0" wrapText="0"/>
    </xf>
    <xf borderId="4" fillId="12" fontId="10" numFmtId="0" xfId="0" applyAlignment="1" applyBorder="1" applyFont="1">
      <alignment horizontal="center" readingOrder="0" shrinkToFit="0" wrapText="0"/>
    </xf>
    <xf borderId="0" fillId="0" fontId="11" numFmtId="0" xfId="0" applyFont="1"/>
    <xf borderId="5" fillId="0" fontId="12" numFmtId="0" xfId="0" applyAlignment="1" applyBorder="1" applyFont="1">
      <alignment horizontal="center" readingOrder="0"/>
    </xf>
    <xf borderId="10" fillId="0" fontId="12" numFmtId="166" xfId="0" applyAlignment="1" applyBorder="1" applyFont="1" applyNumberFormat="1">
      <alignment horizontal="center" readingOrder="0"/>
    </xf>
    <xf borderId="6" fillId="0" fontId="12" numFmtId="166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/>
    </xf>
    <xf borderId="4" fillId="0" fontId="12" numFmtId="0" xfId="0" applyAlignment="1" applyBorder="1" applyFont="1">
      <alignment horizontal="center" readingOrder="0"/>
    </xf>
    <xf borderId="0" fillId="0" fontId="11" numFmtId="166" xfId="0" applyFont="1" applyNumberFormat="1"/>
    <xf borderId="4" fillId="4" fontId="10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/>
    </xf>
    <xf borderId="4" fillId="0" fontId="11" numFmtId="166" xfId="0" applyAlignment="1" applyBorder="1" applyFont="1" applyNumberFormat="1">
      <alignment horizontal="center" readingOrder="0"/>
    </xf>
    <xf borderId="4" fillId="0" fontId="11" numFmtId="166" xfId="0" applyAlignment="1" applyBorder="1" applyFont="1" applyNumberFormat="1">
      <alignment horizontal="center"/>
    </xf>
    <xf borderId="4" fillId="4" fontId="10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center"/>
    </xf>
    <xf borderId="4" fillId="4" fontId="10" numFmtId="0" xfId="0" applyAlignment="1" applyBorder="1" applyFont="1">
      <alignment horizontal="center" shrinkToFit="0" wrapText="0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4" fontId="12" numFmtId="0" xfId="0" applyAlignment="1" applyFont="1">
      <alignment readingOrder="0"/>
    </xf>
    <xf borderId="0" fillId="4" fontId="11" numFmtId="0" xfId="0" applyAlignment="1" applyFont="1">
      <alignment horizontal="center"/>
    </xf>
    <xf borderId="0" fillId="4" fontId="11" numFmtId="0" xfId="0" applyFont="1"/>
    <xf borderId="4" fillId="16" fontId="12" numFmtId="0" xfId="0" applyAlignment="1" applyBorder="1" applyFill="1" applyFont="1">
      <alignment readingOrder="0"/>
    </xf>
    <xf borderId="4" fillId="16" fontId="12" numFmtId="0" xfId="0" applyAlignment="1" applyBorder="1" applyFont="1">
      <alignment horizontal="center" readingOrder="0"/>
    </xf>
    <xf borderId="4" fillId="0" fontId="11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4" fillId="0" fontId="11" numFmtId="166" xfId="0" applyAlignment="1" applyBorder="1" applyFont="1" applyNumberFormat="1">
      <alignment horizontal="center" readingOrder="0"/>
    </xf>
    <xf borderId="0" fillId="4" fontId="10" numFmtId="0" xfId="0" applyAlignment="1" applyFont="1">
      <alignment horizontal="center" readingOrder="0" shrinkToFit="0" wrapText="0"/>
    </xf>
    <xf borderId="4" fillId="4" fontId="7" numFmtId="0" xfId="0" applyAlignment="1" applyBorder="1" applyFont="1">
      <alignment horizontal="center"/>
    </xf>
    <xf borderId="0" fillId="4" fontId="10" numFmtId="0" xfId="0" applyAlignment="1" applyFont="1">
      <alignment horizontal="center" shrinkToFit="0" wrapText="0"/>
    </xf>
    <xf borderId="0" fillId="4" fontId="10" numFmtId="0" xfId="0" applyAlignment="1" applyFont="1">
      <alignment horizontal="center" shrinkToFit="0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4" fontId="13" numFmtId="0" xfId="0" applyFont="1"/>
    <xf borderId="15" fillId="4" fontId="10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horizontal="center" shrinkToFit="0" vertical="center" wrapText="1"/>
    </xf>
    <xf borderId="9" fillId="12" fontId="7" numFmtId="0" xfId="0" applyAlignment="1" applyBorder="1" applyFont="1">
      <alignment horizontal="center" shrinkToFit="0" wrapText="0"/>
    </xf>
    <xf borderId="4" fillId="11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shrinkToFit="0" wrapText="0"/>
    </xf>
    <xf borderId="9" fillId="12" fontId="7" numFmtId="0" xfId="0" applyAlignment="1" applyBorder="1" applyFont="1">
      <alignment horizontal="center" shrinkToFit="0" wrapText="0"/>
    </xf>
    <xf borderId="11" fillId="4" fontId="7" numFmtId="0" xfId="0" applyAlignment="1" applyBorder="1" applyFont="1">
      <alignment horizontal="center" shrinkToFit="0" wrapText="0"/>
    </xf>
    <xf borderId="4" fillId="4" fontId="10" numFmtId="0" xfId="0" applyAlignment="1" applyBorder="1" applyFont="1">
      <alignment horizontal="center" shrinkToFit="0" vertical="center" wrapText="1"/>
    </xf>
    <xf borderId="4" fillId="11" fontId="7" numFmtId="164" xfId="0" applyAlignment="1" applyBorder="1" applyFont="1" applyNumberFormat="1">
      <alignment horizontal="center" shrinkToFit="0" wrapText="0"/>
    </xf>
    <xf borderId="4" fillId="4" fontId="7" numFmtId="164" xfId="0" applyAlignment="1" applyBorder="1" applyFont="1" applyNumberFormat="1">
      <alignment horizontal="center" shrinkToFit="0" wrapText="0"/>
    </xf>
    <xf borderId="4" fillId="12" fontId="7" numFmtId="164" xfId="0" applyAlignment="1" applyBorder="1" applyFont="1" applyNumberFormat="1">
      <alignment horizontal="center" shrinkToFit="0" wrapText="0"/>
    </xf>
    <xf borderId="0" fillId="4" fontId="7" numFmtId="0" xfId="0" applyAlignment="1" applyFont="1">
      <alignment horizontal="center" shrinkToFit="0" wrapText="0"/>
    </xf>
    <xf borderId="0" fillId="4" fontId="7" numFmtId="164" xfId="0" applyAlignment="1" applyFont="1" applyNumberForma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4" fillId="12" fontId="7" numFmtId="0" xfId="0" applyAlignment="1" applyBorder="1" applyFont="1">
      <alignment horizontal="center" shrinkToFit="0" wrapText="0"/>
    </xf>
    <xf borderId="4" fillId="17" fontId="10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wrapText="0"/>
    </xf>
    <xf borderId="4" fillId="5" fontId="7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3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Scorecards!F1</f>
        <v>GAILES</v>
      </c>
      <c r="F2" s="5" t="str">
        <f>Scorecards!F13</f>
        <v>SERRADELLA</v>
      </c>
      <c r="G2" s="5" t="str">
        <f>Scorecards!F25</f>
        <v>BLACKSHIRE</v>
      </c>
      <c r="H2" s="5" t="str">
        <f>Scorecards!F37</f>
        <v>RED HAWK</v>
      </c>
    </row>
    <row r="3" ht="26.25" customHeight="1">
      <c r="A3" s="6">
        <f>VLOOKUP(D3,Scores!$O$3:$P$8,2,FALSE)</f>
        <v>1</v>
      </c>
      <c r="B3" s="7">
        <f>VLOOKUP(D3,Scores!$B$3:$L$8,11,FALSE)</f>
        <v>303</v>
      </c>
      <c r="C3" s="8">
        <f>SUM((IF(E3="",0,Scorecards!$AA$3-E3)),(IF(F3="",0,Scorecards!$AA$15-F3)),(IF(G3="",0,Scorecards!$AA$27-G3)),(IF(H3="",0,Scorecards!$AA$39-H3)))*-1</f>
        <v>16</v>
      </c>
      <c r="D3" s="9" t="str">
        <f>VLOOKUP(1,Scores!$N$3:$O$8,2,FALSE)</f>
        <v>Jeff Blanton</v>
      </c>
      <c r="E3" s="10">
        <f>VLOOKUP(D3,Scores!$B$3:$J$8,3,FALSE)</f>
        <v>81</v>
      </c>
      <c r="F3" s="10">
        <f>VLOOKUP(D3,Scores!$B$3:$J$8,5,FALSE)</f>
        <v>77</v>
      </c>
      <c r="G3" s="10">
        <f>VLOOKUP(D3,Scores!$B$3:$J$8,7,FALSE)</f>
        <v>75</v>
      </c>
      <c r="H3" s="10">
        <f>VLOOKUP(D3,Scores!$B$3:$J$8,9,FALSE)</f>
        <v>70</v>
      </c>
    </row>
    <row r="4" ht="26.25" customHeight="1">
      <c r="A4" s="6">
        <f>VLOOKUP(D4,Scores!$O$3:$P$8,2,FALSE)</f>
        <v>2</v>
      </c>
      <c r="B4" s="7">
        <f>VLOOKUP(D4,Scores!$B$3:$L$8,11,FALSE)</f>
        <v>306</v>
      </c>
      <c r="C4" s="8">
        <f>SUM((IF(E4="",0,Scorecards!$AA$3-E4)),(IF(F4="",0,Scorecards!$AA$15-F4)),(IF(G4="",0,Scorecards!$AA$27-G4)),(IF(H4="",0,Scorecards!$AA$39-H4)))*-1</f>
        <v>19</v>
      </c>
      <c r="D4" s="9" t="str">
        <f>VLOOKUP(2,Scores!$N$3:$O$8,2,FALSE)</f>
        <v>Aaron Jensen</v>
      </c>
      <c r="E4" s="10">
        <f>VLOOKUP(D4,Scores!$B$3:$J$8,3,FALSE)</f>
        <v>81</v>
      </c>
      <c r="F4" s="10">
        <f>VLOOKUP(D4,Scores!$B$3:$J$8,5,FALSE)</f>
        <v>78</v>
      </c>
      <c r="G4" s="10">
        <f>VLOOKUP(D4,Scores!$B$3:$J$8,7,FALSE)</f>
        <v>73</v>
      </c>
      <c r="H4" s="10">
        <f>VLOOKUP(D4,Scores!$B$3:$J$8,9,FALSE)</f>
        <v>74</v>
      </c>
    </row>
    <row r="5" ht="26.25" customHeight="1">
      <c r="A5" s="6">
        <f>VLOOKUP(D5,Scores!$O$3:$P$8,2,FALSE)</f>
        <v>3</v>
      </c>
      <c r="B5" s="7">
        <f>VLOOKUP(D5,Scores!$B$3:$L$8,11,FALSE)</f>
        <v>309</v>
      </c>
      <c r="C5" s="8">
        <f>SUM((IF(E5="",0,Scorecards!$AA$3-E5)),(IF(F5="",0,Scorecards!$AA$15-F5)),(IF(G5="",0,Scorecards!$AA$27-G5)),(IF(H5="",0,Scorecards!$AA$39-H5)))*-1</f>
        <v>22</v>
      </c>
      <c r="D5" s="9" t="str">
        <f>VLOOKUP(3,Scores!$N$3:$O$8,2,FALSE)</f>
        <v>Scott Rhoades</v>
      </c>
      <c r="E5" s="10">
        <f>VLOOKUP(D5,Scores!$B$3:$J$8,3,FALSE)</f>
        <v>80</v>
      </c>
      <c r="F5" s="10">
        <f>VLOOKUP(D5,Scores!$B$3:$J$8,5,FALSE)</f>
        <v>76</v>
      </c>
      <c r="G5" s="10">
        <f>VLOOKUP(D5,Scores!$B$3:$J$8,7,FALSE)</f>
        <v>80</v>
      </c>
      <c r="H5" s="10">
        <f>VLOOKUP(D5,Scores!$B$3:$J$8,9,FALSE)</f>
        <v>73</v>
      </c>
    </row>
    <row r="6" ht="26.25" customHeight="1">
      <c r="A6" s="6">
        <f>VLOOKUP(D6,Scores!$O$3:$P$8,2,FALSE)</f>
        <v>4</v>
      </c>
      <c r="B6" s="7">
        <f>VLOOKUP(D6,Scores!$B$3:$L$8,11,FALSE)</f>
        <v>323</v>
      </c>
      <c r="C6" s="8">
        <f>SUM((IF(E6="",0,Scorecards!$AA$3-E6)),(IF(F6="",0,Scorecards!$AA$15-F6)),(IF(G6="",0,Scorecards!$AA$27-G6)),(IF(H6="",0,Scorecards!$AA$39-H6)))*-1</f>
        <v>36</v>
      </c>
      <c r="D6" s="9" t="str">
        <f>VLOOKUP(4,Scores!$N$3:$O$8,2,FALSE)</f>
        <v>Brian Kelley</v>
      </c>
      <c r="E6" s="10">
        <f>VLOOKUP(D6,Scores!$B$3:$J$8,3,FALSE)</f>
        <v>88</v>
      </c>
      <c r="F6" s="10">
        <f>VLOOKUP(D6,Scores!$B$3:$J$8,5,FALSE)</f>
        <v>77</v>
      </c>
      <c r="G6" s="10">
        <f>VLOOKUP(D6,Scores!$B$3:$J$8,7,FALSE)</f>
        <v>73</v>
      </c>
      <c r="H6" s="10">
        <f>VLOOKUP(D6,Scores!$B$3:$J$8,9,FALSE)</f>
        <v>85</v>
      </c>
    </row>
    <row r="7" ht="26.25" customHeight="1">
      <c r="A7" s="6">
        <f>VLOOKUP(D7,Scores!$O$3:$P$8,2,FALSE)</f>
        <v>5</v>
      </c>
      <c r="B7" s="7">
        <f>VLOOKUP(D7,Scores!$B$3:$L$8,11,FALSE)</f>
        <v>325</v>
      </c>
      <c r="C7" s="8">
        <f>SUM((IF(E7="",0,Scorecards!$AA$3-E7)),(IF(F7="",0,Scorecards!$AA$15-F7)),(IF(G7="",0,Scorecards!$AA$27-G7)),(IF(H7="",0,Scorecards!$AA$39-H7)))*-1</f>
        <v>38</v>
      </c>
      <c r="D7" s="9" t="str">
        <f>VLOOKUP(5,Scores!$N$3:$O$8,2,FALSE)</f>
        <v>Eric Olson</v>
      </c>
      <c r="E7" s="10">
        <f>VLOOKUP(D7,Scores!$B$3:$J$8,3,FALSE)</f>
        <v>79</v>
      </c>
      <c r="F7" s="10">
        <f>VLOOKUP(D7,Scores!$B$3:$J$8,5,FALSE)</f>
        <v>84</v>
      </c>
      <c r="G7" s="10">
        <f>VLOOKUP(D7,Scores!$B$3:$J$8,7,FALSE)</f>
        <v>85</v>
      </c>
      <c r="H7" s="10">
        <f>VLOOKUP(D7,Scores!$B$3:$J$8,9,FALSE)</f>
        <v>77</v>
      </c>
    </row>
    <row r="8" ht="26.25" customHeight="1">
      <c r="A8" s="6">
        <f>VLOOKUP(D8,Scores!$O$3:$P$8,2,FALSE)</f>
        <v>6</v>
      </c>
      <c r="B8" s="7">
        <f>VLOOKUP(D8,Scores!$B$3:$L$8,11,FALSE)</f>
        <v>330</v>
      </c>
      <c r="C8" s="8">
        <f>SUM((IF(E8="",0,Scorecards!$AA$3-E8)),(IF(F8="",0,Scorecards!$AA$15-F8)),(IF(G8="",0,Scorecards!$AA$27-G8)),(IF(H8="",0,Scorecards!$AA$39-H8)))*-1</f>
        <v>43</v>
      </c>
      <c r="D8" s="9" t="str">
        <f>VLOOKUP(6,Scores!$N$3:$O$8,2,FALSE)</f>
        <v>Bob Bergeron</v>
      </c>
      <c r="E8" s="10">
        <f>VLOOKUP(D8,Scores!$B$3:$J$8,3,FALSE)</f>
        <v>83</v>
      </c>
      <c r="F8" s="10">
        <f>VLOOKUP(D8,Scores!$B$3:$J$8,5,FALSE)</f>
        <v>76</v>
      </c>
      <c r="G8" s="10">
        <f>VLOOKUP(D8,Scores!$B$3:$J$8,7,FALSE)</f>
        <v>85</v>
      </c>
      <c r="H8" s="10">
        <f>VLOOKUP(D8,Scores!$B$3:$J$8,9,FALSE)</f>
        <v>86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4" width="5.0"/>
    <col customWidth="1" min="25" max="26" width="3.57"/>
    <col customWidth="1" min="27" max="28" width="7.43"/>
  </cols>
  <sheetData>
    <row r="1" ht="12.75" customHeight="1">
      <c r="A1" s="11"/>
      <c r="B1" s="11"/>
      <c r="C1" s="11"/>
      <c r="D1" s="11"/>
      <c r="E1" s="11"/>
      <c r="F1" s="1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  <c r="AA1" s="15">
        <v>69.7</v>
      </c>
      <c r="AB1" s="15">
        <v>122.0</v>
      </c>
    </row>
    <row r="2" ht="12.75" customHeight="1">
      <c r="A2" s="11"/>
      <c r="B2" s="11"/>
      <c r="C2" s="16">
        <v>5.0</v>
      </c>
      <c r="D2" s="16">
        <v>5.0</v>
      </c>
      <c r="E2" s="16">
        <v>5.0</v>
      </c>
      <c r="F2" s="17" t="s">
        <v>6</v>
      </c>
      <c r="G2" s="18">
        <v>1.0</v>
      </c>
      <c r="H2" s="18">
        <v>2.0</v>
      </c>
      <c r="I2" s="18">
        <v>3.0</v>
      </c>
      <c r="J2" s="18">
        <v>4.0</v>
      </c>
      <c r="K2" s="18">
        <v>5.0</v>
      </c>
      <c r="L2" s="18">
        <v>6.0</v>
      </c>
      <c r="M2" s="18">
        <v>7.0</v>
      </c>
      <c r="N2" s="18">
        <v>8.0</v>
      </c>
      <c r="O2" s="18">
        <v>9.0</v>
      </c>
      <c r="P2" s="18">
        <v>10.0</v>
      </c>
      <c r="Q2" s="18">
        <v>11.0</v>
      </c>
      <c r="R2" s="18">
        <v>12.0</v>
      </c>
      <c r="S2" s="18">
        <v>13.0</v>
      </c>
      <c r="T2" s="18">
        <v>14.0</v>
      </c>
      <c r="U2" s="18">
        <v>15.0</v>
      </c>
      <c r="V2" s="18">
        <v>16.0</v>
      </c>
      <c r="W2" s="18">
        <v>17.0</v>
      </c>
      <c r="X2" s="18">
        <v>18.0</v>
      </c>
      <c r="Y2" s="18" t="s">
        <v>7</v>
      </c>
      <c r="Z2" s="18" t="s">
        <v>8</v>
      </c>
      <c r="AA2" s="18" t="s">
        <v>9</v>
      </c>
      <c r="AB2" s="18" t="s">
        <v>10</v>
      </c>
    </row>
    <row r="3" ht="12.75" customHeight="1">
      <c r="A3" s="19" t="s">
        <v>11</v>
      </c>
      <c r="B3" s="19" t="s">
        <v>12</v>
      </c>
      <c r="C3" s="20" t="s">
        <v>13</v>
      </c>
      <c r="D3" s="20" t="s">
        <v>14</v>
      </c>
      <c r="E3" s="20" t="s">
        <v>15</v>
      </c>
      <c r="F3" s="21" t="s">
        <v>16</v>
      </c>
      <c r="G3" s="22">
        <v>4.0</v>
      </c>
      <c r="H3" s="23">
        <v>3.0</v>
      </c>
      <c r="I3" s="23">
        <v>4.0</v>
      </c>
      <c r="J3" s="23">
        <v>3.0</v>
      </c>
      <c r="K3" s="23">
        <v>4.0</v>
      </c>
      <c r="L3" s="23">
        <v>4.0</v>
      </c>
      <c r="M3" s="23">
        <v>5.0</v>
      </c>
      <c r="N3" s="23">
        <v>5.0</v>
      </c>
      <c r="O3" s="23">
        <v>4.0</v>
      </c>
      <c r="P3" s="22">
        <v>4.0</v>
      </c>
      <c r="Q3" s="23">
        <v>5.0</v>
      </c>
      <c r="R3" s="23">
        <v>3.0</v>
      </c>
      <c r="S3" s="23">
        <v>4.0</v>
      </c>
      <c r="T3" s="23">
        <v>4.0</v>
      </c>
      <c r="U3" s="23">
        <v>5.0</v>
      </c>
      <c r="V3" s="23">
        <v>3.0</v>
      </c>
      <c r="W3" s="23">
        <v>4.0</v>
      </c>
      <c r="X3" s="22">
        <v>4.0</v>
      </c>
      <c r="Y3" s="22">
        <f t="shared" ref="Y3:Y9" si="1">SUM(G3:O3)</f>
        <v>36</v>
      </c>
      <c r="Z3" s="22">
        <f t="shared" ref="Z3:Z9" si="2">SUM(P3:X3)</f>
        <v>36</v>
      </c>
      <c r="AA3" s="22">
        <f>Y3+Z3</f>
        <v>72</v>
      </c>
      <c r="AB3" s="22"/>
    </row>
    <row r="4" ht="12.75" customHeight="1">
      <c r="A4" s="24" t="s">
        <v>17</v>
      </c>
      <c r="B4" s="25">
        <v>6.0</v>
      </c>
      <c r="C4" s="26" t="s">
        <v>18</v>
      </c>
      <c r="D4" s="26" t="s">
        <v>18</v>
      </c>
      <c r="E4" s="26" t="s">
        <v>18</v>
      </c>
      <c r="F4" s="21"/>
      <c r="G4" s="25">
        <v>4.0</v>
      </c>
      <c r="H4" s="25">
        <v>3.0</v>
      </c>
      <c r="I4" s="25">
        <v>4.0</v>
      </c>
      <c r="J4" s="25">
        <v>4.0</v>
      </c>
      <c r="K4" s="25">
        <v>6.0</v>
      </c>
      <c r="L4" s="25">
        <v>5.0</v>
      </c>
      <c r="M4" s="25">
        <v>5.0</v>
      </c>
      <c r="N4" s="25">
        <v>7.0</v>
      </c>
      <c r="O4" s="25">
        <v>8.0</v>
      </c>
      <c r="P4" s="25">
        <v>6.0</v>
      </c>
      <c r="Q4" s="25">
        <v>4.0</v>
      </c>
      <c r="R4" s="25">
        <v>3.0</v>
      </c>
      <c r="S4" s="25">
        <v>6.0</v>
      </c>
      <c r="T4" s="25">
        <v>5.0</v>
      </c>
      <c r="U4" s="25">
        <v>5.0</v>
      </c>
      <c r="V4" s="25">
        <v>3.0</v>
      </c>
      <c r="W4" s="25">
        <v>5.0</v>
      </c>
      <c r="X4" s="25">
        <v>4.0</v>
      </c>
      <c r="Y4" s="27">
        <f t="shared" si="1"/>
        <v>46</v>
      </c>
      <c r="Z4" s="27">
        <f t="shared" si="2"/>
        <v>41</v>
      </c>
      <c r="AA4" s="27">
        <f t="shared" ref="AA4:AA9" si="3">IF(Z4&gt;0,Y4+Z4,"")</f>
        <v>87</v>
      </c>
      <c r="AB4" s="27">
        <f t="shared" ref="AB4:AB9" si="4">IF(Z4=0,"",AA4-B4)</f>
        <v>81</v>
      </c>
    </row>
    <row r="5" ht="12.75" customHeight="1">
      <c r="A5" s="28" t="s">
        <v>19</v>
      </c>
      <c r="B5" s="29">
        <v>13.0</v>
      </c>
      <c r="C5" s="30" t="s">
        <v>18</v>
      </c>
      <c r="D5" s="30" t="s">
        <v>18</v>
      </c>
      <c r="E5" s="30" t="s">
        <v>18</v>
      </c>
      <c r="F5" s="21"/>
      <c r="G5" s="31">
        <v>5.0</v>
      </c>
      <c r="H5" s="31">
        <v>3.0</v>
      </c>
      <c r="I5" s="31">
        <v>9.0</v>
      </c>
      <c r="J5" s="31">
        <v>5.0</v>
      </c>
      <c r="K5" s="31">
        <v>7.0</v>
      </c>
      <c r="L5" s="31">
        <v>5.0</v>
      </c>
      <c r="M5" s="31">
        <v>7.0</v>
      </c>
      <c r="N5" s="31">
        <v>6.0</v>
      </c>
      <c r="O5" s="31">
        <v>4.0</v>
      </c>
      <c r="P5" s="31">
        <v>4.0</v>
      </c>
      <c r="Q5" s="31">
        <v>5.0</v>
      </c>
      <c r="R5" s="31">
        <v>3.0</v>
      </c>
      <c r="S5" s="31">
        <v>8.0</v>
      </c>
      <c r="T5" s="31">
        <v>4.0</v>
      </c>
      <c r="U5" s="31">
        <v>6.0</v>
      </c>
      <c r="V5" s="31">
        <v>3.0</v>
      </c>
      <c r="W5" s="31">
        <v>6.0</v>
      </c>
      <c r="X5" s="31">
        <v>6.0</v>
      </c>
      <c r="Y5" s="32">
        <f t="shared" si="1"/>
        <v>51</v>
      </c>
      <c r="Z5" s="32">
        <f t="shared" si="2"/>
        <v>45</v>
      </c>
      <c r="AA5" s="32">
        <f t="shared" si="3"/>
        <v>96</v>
      </c>
      <c r="AB5" s="32">
        <f t="shared" si="4"/>
        <v>83</v>
      </c>
    </row>
    <row r="6" ht="12.75" customHeight="1">
      <c r="A6" s="24" t="s">
        <v>20</v>
      </c>
      <c r="B6" s="25">
        <v>13.0</v>
      </c>
      <c r="C6" s="26" t="s">
        <v>18</v>
      </c>
      <c r="D6" s="26" t="s">
        <v>18</v>
      </c>
      <c r="E6" s="26" t="s">
        <v>18</v>
      </c>
      <c r="F6" s="21"/>
      <c r="G6" s="25">
        <v>5.0</v>
      </c>
      <c r="H6" s="25">
        <v>4.0</v>
      </c>
      <c r="I6" s="25">
        <v>6.0</v>
      </c>
      <c r="J6" s="25">
        <v>4.0</v>
      </c>
      <c r="K6" s="25">
        <v>5.0</v>
      </c>
      <c r="L6" s="25">
        <v>5.0</v>
      </c>
      <c r="M6" s="25">
        <v>6.0</v>
      </c>
      <c r="N6" s="25">
        <v>5.0</v>
      </c>
      <c r="O6" s="25">
        <v>7.0</v>
      </c>
      <c r="P6" s="25">
        <v>6.0</v>
      </c>
      <c r="Q6" s="25">
        <v>5.0</v>
      </c>
      <c r="R6" s="25">
        <v>5.0</v>
      </c>
      <c r="S6" s="25">
        <v>5.0</v>
      </c>
      <c r="T6" s="25">
        <v>13.0</v>
      </c>
      <c r="U6" s="25">
        <v>6.0</v>
      </c>
      <c r="V6" s="25">
        <v>5.0</v>
      </c>
      <c r="W6" s="25">
        <v>4.0</v>
      </c>
      <c r="X6" s="25">
        <v>5.0</v>
      </c>
      <c r="Y6" s="27">
        <f t="shared" si="1"/>
        <v>47</v>
      </c>
      <c r="Z6" s="27">
        <f t="shared" si="2"/>
        <v>54</v>
      </c>
      <c r="AA6" s="27">
        <f t="shared" si="3"/>
        <v>101</v>
      </c>
      <c r="AB6" s="27">
        <f t="shared" si="4"/>
        <v>88</v>
      </c>
    </row>
    <row r="7" ht="12.75" customHeight="1">
      <c r="A7" s="28" t="s">
        <v>21</v>
      </c>
      <c r="B7" s="29">
        <v>16.0</v>
      </c>
      <c r="C7" s="30" t="s">
        <v>18</v>
      </c>
      <c r="D7" s="30" t="s">
        <v>18</v>
      </c>
      <c r="E7" s="30" t="s">
        <v>18</v>
      </c>
      <c r="F7" s="21"/>
      <c r="G7" s="31">
        <v>4.0</v>
      </c>
      <c r="H7" s="31">
        <v>3.0</v>
      </c>
      <c r="I7" s="31">
        <v>7.0</v>
      </c>
      <c r="J7" s="31">
        <v>4.0</v>
      </c>
      <c r="K7" s="31">
        <v>6.0</v>
      </c>
      <c r="L7" s="31">
        <v>5.0</v>
      </c>
      <c r="M7" s="31">
        <v>7.0</v>
      </c>
      <c r="N7" s="31">
        <v>5.0</v>
      </c>
      <c r="O7" s="31">
        <v>4.0</v>
      </c>
      <c r="P7" s="31">
        <v>6.0</v>
      </c>
      <c r="Q7" s="31">
        <v>7.0</v>
      </c>
      <c r="R7" s="31">
        <v>3.0</v>
      </c>
      <c r="S7" s="31">
        <v>6.0</v>
      </c>
      <c r="T7" s="31">
        <v>6.0</v>
      </c>
      <c r="U7" s="31">
        <v>6.0</v>
      </c>
      <c r="V7" s="31">
        <v>5.0</v>
      </c>
      <c r="W7" s="31">
        <v>5.0</v>
      </c>
      <c r="X7" s="31">
        <v>6.0</v>
      </c>
      <c r="Y7" s="32">
        <f t="shared" si="1"/>
        <v>45</v>
      </c>
      <c r="Z7" s="32">
        <f t="shared" si="2"/>
        <v>50</v>
      </c>
      <c r="AA7" s="32">
        <f t="shared" si="3"/>
        <v>95</v>
      </c>
      <c r="AB7" s="32">
        <f t="shared" si="4"/>
        <v>79</v>
      </c>
    </row>
    <row r="8" ht="12.75" customHeight="1">
      <c r="A8" s="24" t="s">
        <v>22</v>
      </c>
      <c r="B8" s="25">
        <v>6.0</v>
      </c>
      <c r="C8" s="26" t="s">
        <v>18</v>
      </c>
      <c r="D8" s="26" t="s">
        <v>18</v>
      </c>
      <c r="E8" s="26" t="s">
        <v>18</v>
      </c>
      <c r="F8" s="21"/>
      <c r="G8" s="25">
        <v>4.0</v>
      </c>
      <c r="H8" s="25">
        <v>4.0</v>
      </c>
      <c r="I8" s="25">
        <v>5.0</v>
      </c>
      <c r="J8" s="25">
        <v>4.0</v>
      </c>
      <c r="K8" s="25">
        <v>4.0</v>
      </c>
      <c r="L8" s="25">
        <v>5.0</v>
      </c>
      <c r="M8" s="25">
        <v>5.0</v>
      </c>
      <c r="N8" s="25">
        <v>8.0</v>
      </c>
      <c r="O8" s="25">
        <v>8.0</v>
      </c>
      <c r="P8" s="25">
        <v>5.0</v>
      </c>
      <c r="Q8" s="25">
        <v>7.0</v>
      </c>
      <c r="R8" s="25">
        <v>3.0</v>
      </c>
      <c r="S8" s="25">
        <v>4.0</v>
      </c>
      <c r="T8" s="25">
        <v>5.0</v>
      </c>
      <c r="U8" s="25">
        <v>5.0</v>
      </c>
      <c r="V8" s="25">
        <v>2.0</v>
      </c>
      <c r="W8" s="25">
        <v>4.0</v>
      </c>
      <c r="X8" s="25">
        <v>4.0</v>
      </c>
      <c r="Y8" s="27">
        <f t="shared" si="1"/>
        <v>47</v>
      </c>
      <c r="Z8" s="27">
        <f t="shared" si="2"/>
        <v>39</v>
      </c>
      <c r="AA8" s="27">
        <f t="shared" si="3"/>
        <v>86</v>
      </c>
      <c r="AB8" s="27">
        <f t="shared" si="4"/>
        <v>80</v>
      </c>
    </row>
    <row r="9" ht="12.75" customHeight="1">
      <c r="A9" s="33" t="s">
        <v>23</v>
      </c>
      <c r="B9" s="34">
        <v>23.0</v>
      </c>
      <c r="C9" s="35" t="s">
        <v>18</v>
      </c>
      <c r="D9" s="35" t="s">
        <v>18</v>
      </c>
      <c r="E9" s="35" t="s">
        <v>18</v>
      </c>
      <c r="F9" s="21"/>
      <c r="G9" s="31">
        <v>5.0</v>
      </c>
      <c r="H9" s="31">
        <v>4.0</v>
      </c>
      <c r="I9" s="31">
        <v>7.0</v>
      </c>
      <c r="J9" s="31">
        <v>4.0</v>
      </c>
      <c r="K9" s="31">
        <v>7.0</v>
      </c>
      <c r="L9" s="31">
        <v>7.0</v>
      </c>
      <c r="M9" s="31">
        <v>8.0</v>
      </c>
      <c r="N9" s="31">
        <v>6.0</v>
      </c>
      <c r="O9" s="31">
        <v>6.0</v>
      </c>
      <c r="P9" s="31">
        <v>4.0</v>
      </c>
      <c r="Q9" s="31">
        <v>8.0</v>
      </c>
      <c r="R9" s="31">
        <v>4.0</v>
      </c>
      <c r="S9" s="31">
        <v>6.0</v>
      </c>
      <c r="T9" s="31">
        <v>7.0</v>
      </c>
      <c r="U9" s="31">
        <v>7.0</v>
      </c>
      <c r="V9" s="31">
        <v>4.0</v>
      </c>
      <c r="W9" s="31">
        <v>5.0</v>
      </c>
      <c r="X9" s="31">
        <v>5.0</v>
      </c>
      <c r="Y9" s="32">
        <f t="shared" si="1"/>
        <v>54</v>
      </c>
      <c r="Z9" s="32">
        <f t="shared" si="2"/>
        <v>50</v>
      </c>
      <c r="AA9" s="32">
        <f t="shared" si="3"/>
        <v>104</v>
      </c>
      <c r="AB9" s="32">
        <f t="shared" si="4"/>
        <v>81</v>
      </c>
    </row>
    <row r="10" ht="12.75" customHeight="1">
      <c r="A10" s="20"/>
      <c r="B10" s="20"/>
      <c r="C10" s="36">
        <f>COUNTIF(Scorecards!$C$4:$C$9, "Y")*C2</f>
        <v>30</v>
      </c>
      <c r="D10" s="36">
        <f>COUNTIF(Scorecards!$D$4:$D$9, "Y")*D2</f>
        <v>30</v>
      </c>
      <c r="E10" s="36">
        <f>COUNTIF(Scorecards!$E$4:$E$9, "Y")*E2</f>
        <v>30</v>
      </c>
      <c r="F10" s="21" t="s">
        <v>24</v>
      </c>
      <c r="G10" s="22" t="str">
        <f t="array" ref="G10">IF(OR(SUM(IF(IF(Scorecards!$C$4:$C$9="Y", G4:G9, 10)=MIN(IF(Scorecards!$C$4:$C$9="Y", G4:G9, 10)), 1, 0)) &gt; 1, MIN(IF(Scorecards!$C$4:$C$9="Y", G4:G9, 10)) &gt; G3), "", INDEX(Scorecards!$A$4:$A$9,MATCH(MIN(IF(Scorecards!$C$4:$C$9="Y",G4:G9,10)),IF(Scorecards!$C$4:$C$9="Y",G4:G9,10),0)))</f>
        <v/>
      </c>
      <c r="H10" s="22" t="str">
        <f t="array" ref="H10">IF(OR(SUM(IF(IF(Scorecards!$C$4:$C$9="Y", H4:H9, 10)=MIN(IF(Scorecards!$C$4:$C$9="Y", H4:H9, 10)), 1, 0)) &gt; 1, MIN(IF(Scorecards!$C$4:$C$9="Y", H4:H9, 10)) &gt; H3), "", INDEX(Scorecards!$A$4:$A$9,MATCH(MIN(IF(Scorecards!$C$4:$C$9="Y",H4:H9,10)),IF(Scorecards!$C$4:$C$9="Y",H4:H9,10),0)))</f>
        <v/>
      </c>
      <c r="I10" s="22" t="str">
        <f t="array" ref="I10">IF(OR(SUM(IF(IF(Scorecards!$C$4:$C$9="Y", I4:I9, 10)=MIN(IF(Scorecards!$C$4:$C$9="Y", I4:I9, 10)), 1, 0)) &gt; 1, MIN(IF(Scorecards!$C$4:$C$9="Y", I4:I9, 10)) &gt; I3), "", INDEX(Scorecards!$A$4:$A$9,MATCH(MIN(IF(Scorecards!$C$4:$C$9="Y",I4:I9,10)),IF(Scorecards!$C$4:$C$9="Y",I4:I9,10),0)))</f>
        <v>AJ</v>
      </c>
      <c r="J10" s="22" t="str">
        <f t="array" ref="J10">IF(OR(SUM(IF(IF(Scorecards!$C$4:$C$9="Y", J4:J9, 10)=MIN(IF(Scorecards!$C$4:$C$9="Y", J4:J9, 10)), 1, 0)) &gt; 1, MIN(IF(Scorecards!$C$4:$C$9="Y", J4:J9, 10)) &gt; J3), "", INDEX(Scorecards!$A$4:$A$9,MATCH(MIN(IF(Scorecards!$C$4:$C$9="Y",J4:J9,10)),IF(Scorecards!$C$4:$C$9="Y",J4:J9,10),0)))</f>
        <v/>
      </c>
      <c r="K10" s="22" t="str">
        <f t="array" ref="K10">IF(OR(SUM(IF(IF(Scorecards!$C$4:$C$9="Y", K4:K9, 10)=MIN(IF(Scorecards!$C$4:$C$9="Y", K4:K9, 10)), 1, 0)) &gt; 1, MIN(IF(Scorecards!$C$4:$C$9="Y", K4:K9, 10)) &gt; K3), "", INDEX(Scorecards!$A$4:$A$9,MATCH(MIN(IF(Scorecards!$C$4:$C$9="Y",K4:K9,10)),IF(Scorecards!$C$4:$C$9="Y",K4:K9,10),0)))</f>
        <v>SR</v>
      </c>
      <c r="L10" s="22" t="str">
        <f t="array" ref="L10">IF(OR(SUM(IF(IF(Scorecards!$C$4:$C$9="Y", L4:L9, 10)=MIN(IF(Scorecards!$C$4:$C$9="Y", L4:L9, 10)), 1, 0)) &gt; 1, MIN(IF(Scorecards!$C$4:$C$9="Y", L4:L9, 10)) &gt; L3), "", INDEX(Scorecards!$A$4:$A$9,MATCH(MIN(IF(Scorecards!$C$4:$C$9="Y",L4:L9,10)),IF(Scorecards!$C$4:$C$9="Y",L4:L9,10),0)))</f>
        <v/>
      </c>
      <c r="M10" s="22" t="str">
        <f t="array" ref="M10">IF(OR(SUM(IF(IF(Scorecards!$C$4:$C$9="Y", M4:M9, 10)=MIN(IF(Scorecards!$C$4:$C$9="Y", M4:M9, 10)), 1, 0)) &gt; 1, MIN(IF(Scorecards!$C$4:$C$9="Y", M4:M9, 10)) &gt; M3), "", INDEX(Scorecards!$A$4:$A$9,MATCH(MIN(IF(Scorecards!$C$4:$C$9="Y",M4:M9,10)),IF(Scorecards!$C$4:$C$9="Y",M4:M9,10),0)))</f>
        <v/>
      </c>
      <c r="N10" s="22" t="str">
        <f t="array" ref="N10">IF(OR(SUM(IF(IF(Scorecards!$C$4:$C$9="Y", N4:N9, 10)=MIN(IF(Scorecards!$C$4:$C$9="Y", N4:N9, 10)), 1, 0)) &gt; 1, MIN(IF(Scorecards!$C$4:$C$9="Y", N4:N9, 10)) &gt; N3), "", INDEX(Scorecards!$A$4:$A$9,MATCH(MIN(IF(Scorecards!$C$4:$C$9="Y",N4:N9,10)),IF(Scorecards!$C$4:$C$9="Y",N4:N9,10),0)))</f>
        <v/>
      </c>
      <c r="O10" s="22" t="str">
        <f t="array" ref="O10">IF(OR(SUM(IF(IF(Scorecards!$C$4:$C$9="Y", O4:O9, 10)=MIN(IF(Scorecards!$C$4:$C$9="Y", O4:O9, 10)), 1, 0)) &gt; 1, MIN(IF(Scorecards!$C$4:$C$9="Y", O4:O9, 10)) &gt; O3), "", INDEX(Scorecards!$A$4:$A$9,MATCH(MIN(IF(Scorecards!$C$4:$C$9="Y",O4:O9,10)),IF(Scorecards!$C$4:$C$9="Y",O4:O9,10),0)))</f>
        <v/>
      </c>
      <c r="P10" s="22" t="str">
        <f t="array" ref="P10">IF(OR(SUM(IF(IF(Scorecards!$C$4:$C$9="Y", P4:P9, 10)=MIN(IF(Scorecards!$C$4:$C$9="Y", P4:P9, 10)), 1, 0)) &gt; 1, MIN(IF(Scorecards!$C$4:$C$9="Y", P4:P9, 10)) &gt; P3), "", INDEX(Scorecards!$A$4:$A$9,MATCH(MIN(IF(Scorecards!$C$4:$C$9="Y",P4:P9,10)),IF(Scorecards!$C$4:$C$9="Y",P4:P9,10),0)))</f>
        <v/>
      </c>
      <c r="Q10" s="22" t="str">
        <f t="array" ref="Q10">IF(OR(SUM(IF(IF(Scorecards!$C$4:$C$9="Y", Q4:Q9, 10)=MIN(IF(Scorecards!$C$4:$C$9="Y", Q4:Q9, 10)), 1, 0)) &gt; 1, MIN(IF(Scorecards!$C$4:$C$9="Y", Q4:Q9, 10)) &gt; Q3), "", INDEX(Scorecards!$A$4:$A$9,MATCH(MIN(IF(Scorecards!$C$4:$C$9="Y",Q4:Q9,10)),IF(Scorecards!$C$4:$C$9="Y",Q4:Q9,10),0)))</f>
        <v>AJ</v>
      </c>
      <c r="R10" s="22" t="str">
        <f t="array" ref="R10">IF(OR(SUM(IF(IF(Scorecards!$C$4:$C$9="Y", R4:R9, 10)=MIN(IF(Scorecards!$C$4:$C$9="Y", R4:R9, 10)), 1, 0)) &gt; 1, MIN(IF(Scorecards!$C$4:$C$9="Y", R4:R9, 10)) &gt; R3), "", INDEX(Scorecards!$A$4:$A$9,MATCH(MIN(IF(Scorecards!$C$4:$C$9="Y",R4:R9,10)),IF(Scorecards!$C$4:$C$9="Y",R4:R9,10),0)))</f>
        <v/>
      </c>
      <c r="S10" s="22" t="str">
        <f t="array" ref="S10">IF(OR(SUM(IF(IF(Scorecards!$C$4:$C$9="Y", S4:S9, 10)=MIN(IF(Scorecards!$C$4:$C$9="Y", S4:S9, 10)), 1, 0)) &gt; 1, MIN(IF(Scorecards!$C$4:$C$9="Y", S4:S9, 10)) &gt; S3), "", INDEX(Scorecards!$A$4:$A$9,MATCH(MIN(IF(Scorecards!$C$4:$C$9="Y",S4:S9,10)),IF(Scorecards!$C$4:$C$9="Y",S4:S9,10),0)))</f>
        <v>SR</v>
      </c>
      <c r="T10" s="22" t="str">
        <f t="array" ref="T10">IF(OR(SUM(IF(IF(Scorecards!$C$4:$C$9="Y", T4:T9, 10)=MIN(IF(Scorecards!$C$4:$C$9="Y", T4:T9, 10)), 1, 0)) &gt; 1, MIN(IF(Scorecards!$C$4:$C$9="Y", T4:T9, 10)) &gt; T3), "", INDEX(Scorecards!$A$4:$A$9,MATCH(MIN(IF(Scorecards!$C$4:$C$9="Y",T4:T9,10)),IF(Scorecards!$C$4:$C$9="Y",T4:T9,10),0)))</f>
        <v>BB</v>
      </c>
      <c r="U10" s="22" t="str">
        <f t="array" ref="U10">IF(OR(SUM(IF(IF(Scorecards!$C$4:$C$9="Y", U4:U9, 10)=MIN(IF(Scorecards!$C$4:$C$9="Y", U4:U9, 10)), 1, 0)) &gt; 1, MIN(IF(Scorecards!$C$4:$C$9="Y", U4:U9, 10)) &gt; U3), "", INDEX(Scorecards!$A$4:$A$9,MATCH(MIN(IF(Scorecards!$C$4:$C$9="Y",U4:U9,10)),IF(Scorecards!$C$4:$C$9="Y",U4:U9,10),0)))</f>
        <v/>
      </c>
      <c r="V10" s="22" t="str">
        <f t="array" ref="V10">IF(OR(SUM(IF(IF(Scorecards!$C$4:$C$9="Y", V4:V9, 10)=MIN(IF(Scorecards!$C$4:$C$9="Y", V4:V9, 10)), 1, 0)) &gt; 1, MIN(IF(Scorecards!$C$4:$C$9="Y", V4:V9, 10)) &gt; V3), "", INDEX(Scorecards!$A$4:$A$9,MATCH(MIN(IF(Scorecards!$C$4:$C$9="Y",V4:V9,10)),IF(Scorecards!$C$4:$C$9="Y",V4:V9,10),0)))</f>
        <v>SR</v>
      </c>
      <c r="W10" s="22" t="str">
        <f t="array" ref="W10">IF(OR(SUM(IF(IF(Scorecards!$C$4:$C$9="Y", W4:W9, 10)=MIN(IF(Scorecards!$C$4:$C$9="Y", W4:W9, 10)), 1, 0)) &gt; 1, MIN(IF(Scorecards!$C$4:$C$9="Y", W4:W9, 10)) &gt; W3), "", INDEX(Scorecards!$A$4:$A$9,MATCH(MIN(IF(Scorecards!$C$4:$C$9="Y",W4:W9,10)),IF(Scorecards!$C$4:$C$9="Y",W4:W9,10),0)))</f>
        <v/>
      </c>
      <c r="X10" s="22" t="str">
        <f t="array" ref="X10">IF(OR(SUM(IF(IF(Scorecards!$C$4:$C$9="Y", X4:X9, 10)=MIN(IF(Scorecards!$C$4:$C$9="Y", X4:X9, 10)), 1, 0)) &gt; 1, MIN(IF(Scorecards!$C$4:$C$9="Y", X4:X9, 10)) &gt; X3), "", INDEX(Scorecards!$A$4:$A$9,MATCH(MIN(IF(Scorecards!$C$4:$C$9="Y",X4:X9,10)),IF(Scorecards!$C$4:$C$9="Y",X4:X9,10),0)))</f>
        <v/>
      </c>
      <c r="Y10" s="22"/>
      <c r="Z10" s="22"/>
      <c r="AA10" s="22">
        <f>18-COUNTBLANK(G10:X10)</f>
        <v>6</v>
      </c>
      <c r="AB10" s="37">
        <f>IF(AA10 = 0, 0, C10/AA10)</f>
        <v>5</v>
      </c>
    </row>
    <row r="11" ht="12.75" customHeight="1">
      <c r="A11" s="11"/>
      <c r="B11" s="11"/>
      <c r="C11" s="11"/>
      <c r="D11" s="11"/>
      <c r="E11" s="11"/>
      <c r="F11" s="21" t="s">
        <v>14</v>
      </c>
      <c r="G11" s="22"/>
      <c r="H11" s="23" t="s">
        <v>17</v>
      </c>
      <c r="I11" s="38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9"/>
      <c r="Z11" s="39"/>
      <c r="AA11" s="22">
        <f>COUNTA(G11:Z11)</f>
        <v>1</v>
      </c>
      <c r="AB11" s="37">
        <f>IF(AA11 = 0, 0, D10/AA11)</f>
        <v>30</v>
      </c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2.75" customHeight="1">
      <c r="A13" s="11"/>
      <c r="B13" s="11"/>
      <c r="C13" s="11"/>
      <c r="D13" s="11"/>
      <c r="E13" s="11"/>
      <c r="F13" s="12" t="s">
        <v>25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  <c r="AA13" s="40">
        <v>71.5</v>
      </c>
      <c r="AB13" s="40">
        <v>123.0</v>
      </c>
    </row>
    <row r="14" ht="12.75" customHeight="1">
      <c r="A14" s="11"/>
      <c r="B14" s="11"/>
      <c r="C14" s="16">
        <v>5.0</v>
      </c>
      <c r="D14" s="16">
        <v>5.0</v>
      </c>
      <c r="E14" s="16">
        <v>5.0</v>
      </c>
      <c r="F14" s="17" t="s">
        <v>6</v>
      </c>
      <c r="G14" s="18">
        <v>1.0</v>
      </c>
      <c r="H14" s="18">
        <v>2.0</v>
      </c>
      <c r="I14" s="18">
        <v>3.0</v>
      </c>
      <c r="J14" s="18">
        <v>4.0</v>
      </c>
      <c r="K14" s="18">
        <v>5.0</v>
      </c>
      <c r="L14" s="18">
        <v>6.0</v>
      </c>
      <c r="M14" s="18">
        <v>7.0</v>
      </c>
      <c r="N14" s="18">
        <v>8.0</v>
      </c>
      <c r="O14" s="18">
        <v>9.0</v>
      </c>
      <c r="P14" s="18">
        <v>10.0</v>
      </c>
      <c r="Q14" s="18">
        <v>11.0</v>
      </c>
      <c r="R14" s="18">
        <v>12.0</v>
      </c>
      <c r="S14" s="18">
        <v>13.0</v>
      </c>
      <c r="T14" s="18">
        <v>14.0</v>
      </c>
      <c r="U14" s="18">
        <v>15.0</v>
      </c>
      <c r="V14" s="18">
        <v>16.0</v>
      </c>
      <c r="W14" s="18">
        <v>17.0</v>
      </c>
      <c r="X14" s="18">
        <v>18.0</v>
      </c>
      <c r="Y14" s="18" t="s">
        <v>7</v>
      </c>
      <c r="Z14" s="18" t="s">
        <v>8</v>
      </c>
      <c r="AA14" s="18" t="s">
        <v>9</v>
      </c>
      <c r="AB14" s="18" t="s">
        <v>10</v>
      </c>
    </row>
    <row r="15" ht="12.75" customHeight="1">
      <c r="A15" s="19" t="s">
        <v>11</v>
      </c>
      <c r="B15" s="19" t="s">
        <v>12</v>
      </c>
      <c r="C15" s="20" t="s">
        <v>13</v>
      </c>
      <c r="D15" s="20" t="s">
        <v>14</v>
      </c>
      <c r="E15" s="20" t="s">
        <v>15</v>
      </c>
      <c r="F15" s="21" t="s">
        <v>16</v>
      </c>
      <c r="G15" s="23">
        <v>4.0</v>
      </c>
      <c r="H15" s="23">
        <v>4.0</v>
      </c>
      <c r="I15" s="23">
        <v>3.0</v>
      </c>
      <c r="J15" s="23">
        <v>5.0</v>
      </c>
      <c r="K15" s="23">
        <v>4.0</v>
      </c>
      <c r="L15" s="23">
        <v>4.0</v>
      </c>
      <c r="M15" s="23">
        <v>3.0</v>
      </c>
      <c r="N15" s="23">
        <v>5.0</v>
      </c>
      <c r="O15" s="23">
        <v>4.0</v>
      </c>
      <c r="P15" s="23">
        <v>4.0</v>
      </c>
      <c r="Q15" s="23">
        <v>5.0</v>
      </c>
      <c r="R15" s="23">
        <v>3.0</v>
      </c>
      <c r="S15" s="23">
        <v>4.0</v>
      </c>
      <c r="T15" s="22">
        <v>4.0</v>
      </c>
      <c r="U15" s="23">
        <v>5.0</v>
      </c>
      <c r="V15" s="23">
        <v>3.0</v>
      </c>
      <c r="W15" s="23">
        <v>4.0</v>
      </c>
      <c r="X15" s="22">
        <v>4.0</v>
      </c>
      <c r="Y15" s="22">
        <f t="shared" ref="Y15:Y21" si="5">SUM(G15:O15)</f>
        <v>36</v>
      </c>
      <c r="Z15" s="22">
        <f t="shared" ref="Z15:Z21" si="6">SUM(P15:X15)</f>
        <v>36</v>
      </c>
      <c r="AA15" s="22">
        <f>Y15+Z15</f>
        <v>72</v>
      </c>
      <c r="AB15" s="22"/>
    </row>
    <row r="16" ht="12.75" customHeight="1">
      <c r="A16" s="24" t="s">
        <v>17</v>
      </c>
      <c r="B16" s="25">
        <v>6.0</v>
      </c>
      <c r="C16" s="26" t="s">
        <v>18</v>
      </c>
      <c r="D16" s="26" t="s">
        <v>18</v>
      </c>
      <c r="E16" s="26" t="s">
        <v>18</v>
      </c>
      <c r="F16" s="21"/>
      <c r="G16" s="25">
        <v>4.0</v>
      </c>
      <c r="H16" s="25">
        <v>5.0</v>
      </c>
      <c r="I16" s="25">
        <v>4.0</v>
      </c>
      <c r="J16" s="25">
        <v>7.0</v>
      </c>
      <c r="K16" s="25">
        <v>4.0</v>
      </c>
      <c r="L16" s="25">
        <v>4.0</v>
      </c>
      <c r="M16" s="25">
        <v>4.0</v>
      </c>
      <c r="N16" s="25">
        <v>4.0</v>
      </c>
      <c r="O16" s="25">
        <v>6.0</v>
      </c>
      <c r="P16" s="25">
        <v>6.0</v>
      </c>
      <c r="Q16" s="25">
        <v>6.0</v>
      </c>
      <c r="R16" s="25">
        <v>4.0</v>
      </c>
      <c r="S16" s="25">
        <v>3.0</v>
      </c>
      <c r="T16" s="25">
        <v>6.0</v>
      </c>
      <c r="U16" s="25">
        <v>4.0</v>
      </c>
      <c r="V16" s="25">
        <v>4.0</v>
      </c>
      <c r="W16" s="25">
        <v>4.0</v>
      </c>
      <c r="X16" s="25">
        <v>5.0</v>
      </c>
      <c r="Y16" s="27">
        <f t="shared" si="5"/>
        <v>42</v>
      </c>
      <c r="Z16" s="27">
        <f t="shared" si="6"/>
        <v>42</v>
      </c>
      <c r="AA16" s="27">
        <f t="shared" ref="AA16:AA21" si="7">IF(Z16&gt;0,Y16+Z16,"")</f>
        <v>84</v>
      </c>
      <c r="AB16" s="27">
        <f t="shared" ref="AB16:AB21" si="8">IF(Z16=0,"",AA16-B16)</f>
        <v>78</v>
      </c>
    </row>
    <row r="17" ht="12.75" customHeight="1">
      <c r="A17" s="28" t="s">
        <v>19</v>
      </c>
      <c r="B17" s="29">
        <v>12.0</v>
      </c>
      <c r="C17" s="30" t="s">
        <v>18</v>
      </c>
      <c r="D17" s="30" t="s">
        <v>18</v>
      </c>
      <c r="E17" s="30" t="s">
        <v>18</v>
      </c>
      <c r="F17" s="21"/>
      <c r="G17" s="31">
        <v>6.0</v>
      </c>
      <c r="H17" s="31">
        <v>4.0</v>
      </c>
      <c r="I17" s="31">
        <v>4.0</v>
      </c>
      <c r="J17" s="31">
        <v>6.0</v>
      </c>
      <c r="K17" s="31">
        <v>5.0</v>
      </c>
      <c r="L17" s="31">
        <v>5.0</v>
      </c>
      <c r="M17" s="31">
        <v>4.0</v>
      </c>
      <c r="N17" s="31">
        <v>6.0</v>
      </c>
      <c r="O17" s="31">
        <v>6.0</v>
      </c>
      <c r="P17" s="31">
        <v>5.0</v>
      </c>
      <c r="Q17" s="31">
        <v>6.0</v>
      </c>
      <c r="R17" s="31">
        <v>3.0</v>
      </c>
      <c r="S17" s="31">
        <v>3.0</v>
      </c>
      <c r="T17" s="31">
        <v>4.0</v>
      </c>
      <c r="U17" s="31">
        <v>5.0</v>
      </c>
      <c r="V17" s="31">
        <v>4.0</v>
      </c>
      <c r="W17" s="31">
        <v>4.0</v>
      </c>
      <c r="X17" s="31">
        <v>8.0</v>
      </c>
      <c r="Y17" s="32">
        <f t="shared" si="5"/>
        <v>46</v>
      </c>
      <c r="Z17" s="32">
        <f t="shared" si="6"/>
        <v>42</v>
      </c>
      <c r="AA17" s="32">
        <f t="shared" si="7"/>
        <v>88</v>
      </c>
      <c r="AB17" s="32">
        <f t="shared" si="8"/>
        <v>76</v>
      </c>
    </row>
    <row r="18" ht="12.75" customHeight="1">
      <c r="A18" s="24" t="s">
        <v>20</v>
      </c>
      <c r="B18" s="25">
        <v>13.0</v>
      </c>
      <c r="C18" s="26" t="s">
        <v>18</v>
      </c>
      <c r="D18" s="26" t="s">
        <v>18</v>
      </c>
      <c r="E18" s="26" t="s">
        <v>18</v>
      </c>
      <c r="F18" s="21"/>
      <c r="G18" s="25">
        <v>5.0</v>
      </c>
      <c r="H18" s="25">
        <v>5.0</v>
      </c>
      <c r="I18" s="25">
        <v>4.0</v>
      </c>
      <c r="J18" s="25">
        <v>6.0</v>
      </c>
      <c r="K18" s="25">
        <v>7.0</v>
      </c>
      <c r="L18" s="25">
        <v>6.0</v>
      </c>
      <c r="M18" s="25">
        <v>4.0</v>
      </c>
      <c r="N18" s="25">
        <v>7.0</v>
      </c>
      <c r="O18" s="25">
        <v>6.0</v>
      </c>
      <c r="P18" s="25">
        <v>5.0</v>
      </c>
      <c r="Q18" s="25">
        <v>5.0</v>
      </c>
      <c r="R18" s="25">
        <v>3.0</v>
      </c>
      <c r="S18" s="25">
        <v>5.0</v>
      </c>
      <c r="T18" s="25">
        <v>5.0</v>
      </c>
      <c r="U18" s="25">
        <v>5.0</v>
      </c>
      <c r="V18" s="25">
        <v>3.0</v>
      </c>
      <c r="W18" s="25">
        <v>4.0</v>
      </c>
      <c r="X18" s="25">
        <v>5.0</v>
      </c>
      <c r="Y18" s="27">
        <f t="shared" si="5"/>
        <v>50</v>
      </c>
      <c r="Z18" s="27">
        <f t="shared" si="6"/>
        <v>40</v>
      </c>
      <c r="AA18" s="27">
        <f t="shared" si="7"/>
        <v>90</v>
      </c>
      <c r="AB18" s="27">
        <f t="shared" si="8"/>
        <v>77</v>
      </c>
    </row>
    <row r="19" ht="12.75" customHeight="1">
      <c r="A19" s="28" t="s">
        <v>21</v>
      </c>
      <c r="B19" s="29">
        <v>16.0</v>
      </c>
      <c r="C19" s="30" t="s">
        <v>18</v>
      </c>
      <c r="D19" s="30" t="s">
        <v>18</v>
      </c>
      <c r="E19" s="30" t="s">
        <v>18</v>
      </c>
      <c r="F19" s="21"/>
      <c r="G19" s="31">
        <v>6.0</v>
      </c>
      <c r="H19" s="31">
        <v>4.0</v>
      </c>
      <c r="I19" s="31">
        <v>5.0</v>
      </c>
      <c r="J19" s="31">
        <v>7.0</v>
      </c>
      <c r="K19" s="31">
        <v>5.0</v>
      </c>
      <c r="L19" s="31">
        <v>7.0</v>
      </c>
      <c r="M19" s="31">
        <v>4.0</v>
      </c>
      <c r="N19" s="31">
        <v>5.0</v>
      </c>
      <c r="O19" s="31">
        <v>6.0</v>
      </c>
      <c r="P19" s="31">
        <v>5.0</v>
      </c>
      <c r="Q19" s="31">
        <v>8.0</v>
      </c>
      <c r="R19" s="31">
        <v>5.0</v>
      </c>
      <c r="S19" s="31">
        <v>5.0</v>
      </c>
      <c r="T19" s="31">
        <v>6.0</v>
      </c>
      <c r="U19" s="31">
        <v>7.0</v>
      </c>
      <c r="V19" s="31">
        <v>3.0</v>
      </c>
      <c r="W19" s="31">
        <v>6.0</v>
      </c>
      <c r="X19" s="31">
        <v>6.0</v>
      </c>
      <c r="Y19" s="32">
        <f t="shared" si="5"/>
        <v>49</v>
      </c>
      <c r="Z19" s="32">
        <f t="shared" si="6"/>
        <v>51</v>
      </c>
      <c r="AA19" s="32">
        <f t="shared" si="7"/>
        <v>100</v>
      </c>
      <c r="AB19" s="32">
        <f t="shared" si="8"/>
        <v>84</v>
      </c>
    </row>
    <row r="20" ht="12.75" customHeight="1">
      <c r="A20" s="24" t="s">
        <v>22</v>
      </c>
      <c r="B20" s="25">
        <v>6.0</v>
      </c>
      <c r="C20" s="26" t="s">
        <v>18</v>
      </c>
      <c r="D20" s="26" t="s">
        <v>18</v>
      </c>
      <c r="E20" s="26" t="s">
        <v>18</v>
      </c>
      <c r="F20" s="21"/>
      <c r="G20" s="25">
        <v>3.0</v>
      </c>
      <c r="H20" s="25">
        <v>4.0</v>
      </c>
      <c r="I20" s="25">
        <v>5.0</v>
      </c>
      <c r="J20" s="25">
        <v>6.0</v>
      </c>
      <c r="K20" s="25">
        <v>4.0</v>
      </c>
      <c r="L20" s="25">
        <v>4.0</v>
      </c>
      <c r="M20" s="25">
        <v>3.0</v>
      </c>
      <c r="N20" s="25">
        <v>6.0</v>
      </c>
      <c r="O20" s="25">
        <v>5.0</v>
      </c>
      <c r="P20" s="25">
        <v>4.0</v>
      </c>
      <c r="Q20" s="25">
        <v>6.0</v>
      </c>
      <c r="R20" s="25">
        <v>3.0</v>
      </c>
      <c r="S20" s="25">
        <v>5.0</v>
      </c>
      <c r="T20" s="25">
        <v>5.0</v>
      </c>
      <c r="U20" s="25">
        <v>7.0</v>
      </c>
      <c r="V20" s="25">
        <v>4.0</v>
      </c>
      <c r="W20" s="25">
        <v>4.0</v>
      </c>
      <c r="X20" s="25">
        <v>4.0</v>
      </c>
      <c r="Y20" s="27">
        <f t="shared" si="5"/>
        <v>40</v>
      </c>
      <c r="Z20" s="27">
        <f t="shared" si="6"/>
        <v>42</v>
      </c>
      <c r="AA20" s="27">
        <f t="shared" si="7"/>
        <v>82</v>
      </c>
      <c r="AB20" s="27">
        <f t="shared" si="8"/>
        <v>76</v>
      </c>
    </row>
    <row r="21" ht="12.75" customHeight="1">
      <c r="A21" s="33" t="s">
        <v>23</v>
      </c>
      <c r="B21" s="34">
        <v>22.0</v>
      </c>
      <c r="C21" s="35" t="s">
        <v>18</v>
      </c>
      <c r="D21" s="35" t="s">
        <v>18</v>
      </c>
      <c r="E21" s="35" t="s">
        <v>18</v>
      </c>
      <c r="F21" s="21"/>
      <c r="G21" s="31">
        <v>5.0</v>
      </c>
      <c r="H21" s="31">
        <v>5.0</v>
      </c>
      <c r="I21" s="31">
        <v>5.0</v>
      </c>
      <c r="J21" s="31">
        <v>8.0</v>
      </c>
      <c r="K21" s="31">
        <v>7.0</v>
      </c>
      <c r="L21" s="31">
        <v>5.0</v>
      </c>
      <c r="M21" s="31">
        <v>4.0</v>
      </c>
      <c r="N21" s="31">
        <v>6.0</v>
      </c>
      <c r="O21" s="31">
        <v>6.0</v>
      </c>
      <c r="P21" s="31">
        <v>6.0</v>
      </c>
      <c r="Q21" s="31">
        <v>7.0</v>
      </c>
      <c r="R21" s="31">
        <v>6.0</v>
      </c>
      <c r="S21" s="31">
        <v>4.0</v>
      </c>
      <c r="T21" s="31">
        <v>5.0</v>
      </c>
      <c r="U21" s="31">
        <v>6.0</v>
      </c>
      <c r="V21" s="31">
        <v>3.0</v>
      </c>
      <c r="W21" s="31">
        <v>6.0</v>
      </c>
      <c r="X21" s="31">
        <v>5.0</v>
      </c>
      <c r="Y21" s="32">
        <f t="shared" si="5"/>
        <v>51</v>
      </c>
      <c r="Z21" s="32">
        <f t="shared" si="6"/>
        <v>48</v>
      </c>
      <c r="AA21" s="32">
        <f t="shared" si="7"/>
        <v>99</v>
      </c>
      <c r="AB21" s="32">
        <f t="shared" si="8"/>
        <v>77</v>
      </c>
    </row>
    <row r="22" ht="12.75" customHeight="1">
      <c r="A22" s="20"/>
      <c r="B22" s="20"/>
      <c r="C22" s="36">
        <f>COUNTIF(Scorecards!$C$4:$C$9, "Y")*C14</f>
        <v>30</v>
      </c>
      <c r="D22" s="36">
        <f>COUNTIF(Scorecards!$D$4:$D$9, "Y")*D14</f>
        <v>30</v>
      </c>
      <c r="E22" s="36">
        <f>COUNTIF(Scorecards!$E$16:$E$21, "Y")*E14</f>
        <v>30</v>
      </c>
      <c r="F22" s="21" t="s">
        <v>24</v>
      </c>
      <c r="G22" s="22" t="str">
        <f t="array" ref="G22">IF(OR(SUM(IF(IF(Scorecards!$C$16:$C$21="Y", G16:G21, 10)=MIN(IF(Scorecards!$C$16:$C$21="Y", G16:G21, 10)), 1, 0)) &gt; 1, MIN(IF(Scorecards!$C$16:$C$21="Y", G16:G21, 10)) &gt; G15), "", INDEX(Scorecards!$A$16:$A$21,MATCH(MIN(IF(Scorecards!$C$16:$C$21="Y",G16:G21,10)),IF(Scorecards!$C$16:$C$21="Y",G16:G21,10),0)))</f>
        <v>SR</v>
      </c>
      <c r="H22" s="22" t="str">
        <f t="array" ref="H22">IF(OR(SUM(IF(IF(Scorecards!$C$16:$C$21="Y", H16:H21, 10)=MIN(IF(Scorecards!$C$16:$C$21="Y", H16:H21, 10)), 1, 0)) &gt; 1, MIN(IF(Scorecards!$C$16:$C$21="Y", H16:H21, 10)) &gt; H15), "", INDEX(Scorecards!$A$16:$A$21,MATCH(MIN(IF(Scorecards!$C$16:$C$21="Y",H16:H21,10)),IF(Scorecards!$C$16:$C$21="Y",H16:H21,10),0)))</f>
        <v/>
      </c>
      <c r="I22" s="22" t="str">
        <f t="array" ref="I22">IF(OR(SUM(IF(IF(Scorecards!$C$16:$C$21="Y", I16:I21, 10)=MIN(IF(Scorecards!$C$16:$C$21="Y", I16:I21, 10)), 1, 0)) &gt; 1, MIN(IF(Scorecards!$C$16:$C$21="Y", I16:I21, 10)) &gt; I15), "", INDEX(Scorecards!$A$16:$A$21,MATCH(MIN(IF(Scorecards!$C$16:$C$21="Y",I16:I21,10)),IF(Scorecards!$C$16:$C$21="Y",I16:I21,10),0)))</f>
        <v/>
      </c>
      <c r="J22" s="22" t="str">
        <f t="array" ref="J22">IF(OR(SUM(IF(IF(Scorecards!$C$16:$C$21="Y", J16:J21, 10)=MIN(IF(Scorecards!$C$16:$C$21="Y", J16:J21, 10)), 1, 0)) &gt; 1, MIN(IF(Scorecards!$C$16:$C$21="Y", J16:J21, 10)) &gt; J15), "", INDEX(Scorecards!$A$16:$A$21,MATCH(MIN(IF(Scorecards!$C$16:$C$21="Y",J16:J21,10)),IF(Scorecards!$C$16:$C$21="Y",J16:J21,10),0)))</f>
        <v/>
      </c>
      <c r="K22" s="22" t="str">
        <f t="array" ref="K22">IF(OR(SUM(IF(IF(Scorecards!$C$16:$C$21="Y", K16:K21, 10)=MIN(IF(Scorecards!$C$16:$C$21="Y", K16:K21, 10)), 1, 0)) &gt; 1, MIN(IF(Scorecards!$C$16:$C$21="Y", K16:K21, 10)) &gt; K15), "", INDEX(Scorecards!$A$16:$A$21,MATCH(MIN(IF(Scorecards!$C$16:$C$21="Y",K16:K21,10)),IF(Scorecards!$C$16:$C$21="Y",K16:K21,10),0)))</f>
        <v/>
      </c>
      <c r="L22" s="22" t="str">
        <f t="array" ref="L22">IF(OR(SUM(IF(IF(Scorecards!$C$16:$C$21="Y", L16:L21, 10)=MIN(IF(Scorecards!$C$16:$C$21="Y", L16:L21, 10)), 1, 0)) &gt; 1, MIN(IF(Scorecards!$C$16:$C$21="Y", L16:L21, 10)) &gt; L15), "", INDEX(Scorecards!$A$16:$A$21,MATCH(MIN(IF(Scorecards!$C$16:$C$21="Y",L16:L21,10)),IF(Scorecards!$C$16:$C$21="Y",L16:L21,10),0)))</f>
        <v/>
      </c>
      <c r="M22" s="22" t="str">
        <f t="array" ref="M22">IF(OR(SUM(IF(IF(Scorecards!$C$16:$C$21="Y", M16:M21, 10)=MIN(IF(Scorecards!$C$16:$C$21="Y", M16:M21, 10)), 1, 0)) &gt; 1, MIN(IF(Scorecards!$C$16:$C$21="Y", M16:M21, 10)) &gt; M15), "", INDEX(Scorecards!$A$16:$A$21,MATCH(MIN(IF(Scorecards!$C$16:$C$21="Y",M16:M21,10)),IF(Scorecards!$C$16:$C$21="Y",M16:M21,10),0)))</f>
        <v>SR</v>
      </c>
      <c r="N22" s="22" t="str">
        <f t="array" ref="N22">IF(OR(SUM(IF(IF(Scorecards!$C$16:$C$21="Y", N16:N21, 10)=MIN(IF(Scorecards!$C$16:$C$21="Y", N16:N21, 10)), 1, 0)) &gt; 1, MIN(IF(Scorecards!$C$16:$C$21="Y", N16:N21, 10)) &gt; N15), "", INDEX(Scorecards!$A$16:$A$21,MATCH(MIN(IF(Scorecards!$C$16:$C$21="Y",N16:N21,10)),IF(Scorecards!$C$16:$C$21="Y",N16:N21,10),0)))</f>
        <v>AJ</v>
      </c>
      <c r="O22" s="22" t="str">
        <f t="array" ref="O22">IF(OR(SUM(IF(IF(Scorecards!$C$16:$C$21="Y", O16:O21, 10)=MIN(IF(Scorecards!$C$16:$C$21="Y", O16:O21, 10)), 1, 0)) &gt; 1, MIN(IF(Scorecards!$C$16:$C$21="Y", O16:O21, 10)) &gt; O15), "", INDEX(Scorecards!$A$16:$A$21,MATCH(MIN(IF(Scorecards!$C$16:$C$21="Y",O16:O21,10)),IF(Scorecards!$C$16:$C$21="Y",O16:O21,10),0)))</f>
        <v/>
      </c>
      <c r="P22" s="22" t="str">
        <f t="array" ref="P22">IF(OR(SUM(IF(IF(Scorecards!$C$16:$C$21="Y", P16:P21, 10)=MIN(IF(Scorecards!$C$16:$C$21="Y", P16:P21, 10)), 1, 0)) &gt; 1, MIN(IF(Scorecards!$C$16:$C$21="Y", P16:P21, 10)) &gt; P15), "", INDEX(Scorecards!$A$16:$A$21,MATCH(MIN(IF(Scorecards!$C$16:$C$21="Y",P16:P21,10)),IF(Scorecards!$C$16:$C$21="Y",P16:P21,10),0)))</f>
        <v>SR</v>
      </c>
      <c r="Q22" s="22" t="str">
        <f t="array" ref="Q22">IF(OR(SUM(IF(IF(Scorecards!$C$16:$C$21="Y", Q16:Q21, 10)=MIN(IF(Scorecards!$C$16:$C$21="Y", Q16:Q21, 10)), 1, 0)) &gt; 1, MIN(IF(Scorecards!$C$16:$C$21="Y", Q16:Q21, 10)) &gt; Q15), "", INDEX(Scorecards!$A$16:$A$21,MATCH(MIN(IF(Scorecards!$C$16:$C$21="Y",Q16:Q21,10)),IF(Scorecards!$C$16:$C$21="Y",Q16:Q21,10),0)))</f>
        <v>BK</v>
      </c>
      <c r="R22" s="22" t="str">
        <f t="array" ref="R22">IF(OR(SUM(IF(IF(Scorecards!$C$16:$C$21="Y", R16:R21, 10)=MIN(IF(Scorecards!$C$16:$C$21="Y", R16:R21, 10)), 1, 0)) &gt; 1, MIN(IF(Scorecards!$C$16:$C$21="Y", R16:R21, 10)) &gt; R15), "", INDEX(Scorecards!$A$16:$A$21,MATCH(MIN(IF(Scorecards!$C$16:$C$21="Y",R16:R21,10)),IF(Scorecards!$C$16:$C$21="Y",R16:R21,10),0)))</f>
        <v/>
      </c>
      <c r="S22" s="22" t="str">
        <f t="array" ref="S22">IF(OR(SUM(IF(IF(Scorecards!$C$16:$C$21="Y", S16:S21, 10)=MIN(IF(Scorecards!$C$16:$C$21="Y", S16:S21, 10)), 1, 0)) &gt; 1, MIN(IF(Scorecards!$C$16:$C$21="Y", S16:S21, 10)) &gt; S15), "", INDEX(Scorecards!$A$16:$A$21,MATCH(MIN(IF(Scorecards!$C$16:$C$21="Y",S16:S21,10)),IF(Scorecards!$C$16:$C$21="Y",S16:S21,10),0)))</f>
        <v/>
      </c>
      <c r="T22" s="22" t="str">
        <f t="array" ref="T22">IF(OR(SUM(IF(IF(Scorecards!$C$16:$C$21="Y", T16:T21, 10)=MIN(IF(Scorecards!$C$16:$C$21="Y", T16:T21, 10)), 1, 0)) &gt; 1, MIN(IF(Scorecards!$C$16:$C$21="Y", T16:T21, 10)) &gt; T15), "", INDEX(Scorecards!$A$16:$A$21,MATCH(MIN(IF(Scorecards!$C$16:$C$21="Y",T16:T21,10)),IF(Scorecards!$C$16:$C$21="Y",T16:T21,10),0)))</f>
        <v>BB</v>
      </c>
      <c r="U22" s="22" t="str">
        <f t="array" ref="U22">IF(OR(SUM(IF(IF(Scorecards!$C$16:$C$21="Y", U16:U21, 10)=MIN(IF(Scorecards!$C$16:$C$21="Y", U16:U21, 10)), 1, 0)) &gt; 1, MIN(IF(Scorecards!$C$16:$C$21="Y", U16:U21, 10)) &gt; U15), "", INDEX(Scorecards!$A$16:$A$21,MATCH(MIN(IF(Scorecards!$C$16:$C$21="Y",U16:U21,10)),IF(Scorecards!$C$16:$C$21="Y",U16:U21,10),0)))</f>
        <v>AJ</v>
      </c>
      <c r="V22" s="22" t="str">
        <f t="array" ref="V22">IF(OR(SUM(IF(IF(Scorecards!$C$16:$C$21="Y", V16:V21, 10)=MIN(IF(Scorecards!$C$16:$C$21="Y", V16:V21, 10)), 1, 0)) &gt; 1, MIN(IF(Scorecards!$C$16:$C$21="Y", V16:V21, 10)) &gt; V15), "", INDEX(Scorecards!$A$16:$A$21,MATCH(MIN(IF(Scorecards!$C$16:$C$21="Y",V16:V21,10)),IF(Scorecards!$C$16:$C$21="Y",V16:V21,10),0)))</f>
        <v/>
      </c>
      <c r="W22" s="22" t="str">
        <f t="array" ref="W22">IF(OR(SUM(IF(IF(Scorecards!$C$16:$C$21="Y", W16:W21, 10)=MIN(IF(Scorecards!$C$16:$C$21="Y", W16:W21, 10)), 1, 0)) &gt; 1, MIN(IF(Scorecards!$C$16:$C$21="Y", W16:W21, 10)) &gt; W15), "", INDEX(Scorecards!$A$16:$A$21,MATCH(MIN(IF(Scorecards!$C$16:$C$21="Y",W16:W21,10)),IF(Scorecards!$C$16:$C$21="Y",W16:W21,10),0)))</f>
        <v/>
      </c>
      <c r="X22" s="22" t="str">
        <f t="array" ref="X22">IF(OR(SUM(IF(IF(Scorecards!$C$16:$C$21="Y", X16:X21, 10)=MIN(IF(Scorecards!$C$16:$C$21="Y", X16:X21, 10)), 1, 0)) &gt; 1, MIN(IF(Scorecards!$C$16:$C$21="Y", X16:X21, 10)) &gt; X15), "", INDEX(Scorecards!$A$16:$A$21,MATCH(MIN(IF(Scorecards!$C$16:$C$21="Y",X16:X21,10)),IF(Scorecards!$C$16:$C$21="Y",X16:X21,10),0)))</f>
        <v>SR</v>
      </c>
      <c r="Y22" s="22"/>
      <c r="Z22" s="22"/>
      <c r="AA22" s="22">
        <f>18-COUNTBLANK(G22:X22)</f>
        <v>8</v>
      </c>
      <c r="AB22" s="37">
        <f>IF(AA22 = 0, 0, C22/AA22)</f>
        <v>3.75</v>
      </c>
    </row>
    <row r="23" ht="12.75" customHeight="1">
      <c r="A23" s="11"/>
      <c r="B23" s="11"/>
      <c r="C23" s="11"/>
      <c r="D23" s="11"/>
      <c r="E23" s="11"/>
      <c r="F23" s="21" t="s">
        <v>14</v>
      </c>
      <c r="G23" s="22"/>
      <c r="H23" s="22"/>
      <c r="I23" s="23" t="s">
        <v>20</v>
      </c>
      <c r="J23" s="22"/>
      <c r="K23" s="38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11"/>
      <c r="Z23" s="11"/>
      <c r="AA23" s="22">
        <f>COUNTA(G23:Z23)</f>
        <v>1</v>
      </c>
      <c r="AB23" s="37">
        <f>IF(AA23 = 0, 0, D22/AA23)</f>
        <v>30</v>
      </c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2.75" customHeight="1">
      <c r="A25" s="11"/>
      <c r="B25" s="11"/>
      <c r="C25" s="11"/>
      <c r="D25" s="11"/>
      <c r="E25" s="11"/>
      <c r="F25" s="12" t="s">
        <v>26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  <c r="AA25" s="41">
        <v>69.7</v>
      </c>
      <c r="AB25" s="41">
        <v>126.0</v>
      </c>
    </row>
    <row r="26" ht="12.75" customHeight="1">
      <c r="A26" s="11"/>
      <c r="B26" s="11"/>
      <c r="C26" s="16">
        <v>5.0</v>
      </c>
      <c r="D26" s="16">
        <v>5.0</v>
      </c>
      <c r="E26" s="16">
        <v>5.0</v>
      </c>
      <c r="F26" s="17" t="s">
        <v>6</v>
      </c>
      <c r="G26" s="18">
        <v>1.0</v>
      </c>
      <c r="H26" s="18">
        <v>2.0</v>
      </c>
      <c r="I26" s="18">
        <v>3.0</v>
      </c>
      <c r="J26" s="18">
        <v>4.0</v>
      </c>
      <c r="K26" s="18">
        <v>5.0</v>
      </c>
      <c r="L26" s="18">
        <v>6.0</v>
      </c>
      <c r="M26" s="18">
        <v>7.0</v>
      </c>
      <c r="N26" s="18">
        <v>8.0</v>
      </c>
      <c r="O26" s="18">
        <v>9.0</v>
      </c>
      <c r="P26" s="18">
        <v>10.0</v>
      </c>
      <c r="Q26" s="18">
        <v>11.0</v>
      </c>
      <c r="R26" s="18">
        <v>12.0</v>
      </c>
      <c r="S26" s="18">
        <v>13.0</v>
      </c>
      <c r="T26" s="18">
        <v>14.0</v>
      </c>
      <c r="U26" s="18">
        <v>15.0</v>
      </c>
      <c r="V26" s="18">
        <v>16.0</v>
      </c>
      <c r="W26" s="18">
        <v>17.0</v>
      </c>
      <c r="X26" s="18">
        <v>18.0</v>
      </c>
      <c r="Y26" s="18" t="s">
        <v>7</v>
      </c>
      <c r="Z26" s="18" t="s">
        <v>8</v>
      </c>
      <c r="AA26" s="18" t="s">
        <v>9</v>
      </c>
      <c r="AB26" s="18" t="s">
        <v>10</v>
      </c>
    </row>
    <row r="27" ht="12.75" customHeight="1">
      <c r="A27" s="19" t="s">
        <v>11</v>
      </c>
      <c r="B27" s="19" t="s">
        <v>12</v>
      </c>
      <c r="C27" s="20" t="s">
        <v>13</v>
      </c>
      <c r="D27" s="20" t="s">
        <v>14</v>
      </c>
      <c r="E27" s="20" t="s">
        <v>15</v>
      </c>
      <c r="F27" s="21" t="s">
        <v>16</v>
      </c>
      <c r="G27" s="23">
        <v>4.0</v>
      </c>
      <c r="H27" s="23">
        <v>5.0</v>
      </c>
      <c r="I27" s="23">
        <v>4.0</v>
      </c>
      <c r="J27" s="23">
        <v>3.0</v>
      </c>
      <c r="K27" s="23">
        <v>4.0</v>
      </c>
      <c r="L27" s="23">
        <v>4.0</v>
      </c>
      <c r="M27" s="23">
        <v>3.0</v>
      </c>
      <c r="N27" s="23">
        <v>4.0</v>
      </c>
      <c r="O27" s="23">
        <v>5.0</v>
      </c>
      <c r="P27" s="23">
        <v>4.0</v>
      </c>
      <c r="Q27" s="23">
        <v>3.0</v>
      </c>
      <c r="R27" s="23">
        <v>5.0</v>
      </c>
      <c r="S27" s="23">
        <v>4.0</v>
      </c>
      <c r="T27" s="22">
        <v>4.0</v>
      </c>
      <c r="U27" s="23">
        <v>4.0</v>
      </c>
      <c r="V27" s="23">
        <v>4.0</v>
      </c>
      <c r="W27" s="23">
        <v>3.0</v>
      </c>
      <c r="X27" s="23">
        <v>5.0</v>
      </c>
      <c r="Y27" s="22">
        <f t="shared" ref="Y27:Y33" si="9">SUM(G27:O27)</f>
        <v>36</v>
      </c>
      <c r="Z27" s="22">
        <f t="shared" ref="Z27:Z33" si="10">SUM(P27:X27)</f>
        <v>36</v>
      </c>
      <c r="AA27" s="22">
        <f>Y27+Z27</f>
        <v>72</v>
      </c>
      <c r="AB27" s="22"/>
    </row>
    <row r="28" ht="12.75" customHeight="1">
      <c r="A28" s="24" t="s">
        <v>17</v>
      </c>
      <c r="B28" s="25">
        <v>6.0</v>
      </c>
      <c r="C28" s="26" t="s">
        <v>18</v>
      </c>
      <c r="D28" s="26" t="s">
        <v>18</v>
      </c>
      <c r="E28" s="26" t="s">
        <v>18</v>
      </c>
      <c r="F28" s="21"/>
      <c r="G28" s="25">
        <v>5.0</v>
      </c>
      <c r="H28" s="25">
        <v>4.0</v>
      </c>
      <c r="I28" s="25">
        <v>3.0</v>
      </c>
      <c r="J28" s="25">
        <v>3.0</v>
      </c>
      <c r="K28" s="25">
        <v>5.0</v>
      </c>
      <c r="L28" s="25">
        <v>4.0</v>
      </c>
      <c r="M28" s="25">
        <v>4.0</v>
      </c>
      <c r="N28" s="25">
        <v>4.0</v>
      </c>
      <c r="O28" s="25">
        <v>5.0</v>
      </c>
      <c r="P28" s="25">
        <v>5.0</v>
      </c>
      <c r="Q28" s="25">
        <v>3.0</v>
      </c>
      <c r="R28" s="25">
        <v>5.0</v>
      </c>
      <c r="S28" s="25">
        <v>3.0</v>
      </c>
      <c r="T28" s="25">
        <v>6.0</v>
      </c>
      <c r="U28" s="25">
        <v>5.0</v>
      </c>
      <c r="V28" s="25">
        <v>5.0</v>
      </c>
      <c r="W28" s="25">
        <v>3.0</v>
      </c>
      <c r="X28" s="25">
        <v>7.0</v>
      </c>
      <c r="Y28" s="27">
        <f t="shared" si="9"/>
        <v>37</v>
      </c>
      <c r="Z28" s="27">
        <f t="shared" si="10"/>
        <v>42</v>
      </c>
      <c r="AA28" s="27">
        <f t="shared" ref="AA28:AA33" si="11">IF(Z28&gt;0,Y28+Z28,"")</f>
        <v>79</v>
      </c>
      <c r="AB28" s="27">
        <f t="shared" ref="AB28:AB33" si="12">IF(Z28=0,"",AA28-B28)</f>
        <v>73</v>
      </c>
    </row>
    <row r="29" ht="12.75" customHeight="1">
      <c r="A29" s="28" t="s">
        <v>19</v>
      </c>
      <c r="B29" s="29">
        <v>13.0</v>
      </c>
      <c r="C29" s="30" t="s">
        <v>18</v>
      </c>
      <c r="D29" s="30" t="s">
        <v>18</v>
      </c>
      <c r="E29" s="30" t="s">
        <v>18</v>
      </c>
      <c r="F29" s="21"/>
      <c r="G29" s="31">
        <v>6.0</v>
      </c>
      <c r="H29" s="31">
        <v>7.0</v>
      </c>
      <c r="I29" s="31">
        <v>8.0</v>
      </c>
      <c r="J29" s="31">
        <v>5.0</v>
      </c>
      <c r="K29" s="31">
        <v>6.0</v>
      </c>
      <c r="L29" s="31">
        <v>5.0</v>
      </c>
      <c r="M29" s="31">
        <v>5.0</v>
      </c>
      <c r="N29" s="31">
        <v>4.0</v>
      </c>
      <c r="O29" s="31">
        <v>6.0</v>
      </c>
      <c r="P29" s="31">
        <v>5.0</v>
      </c>
      <c r="Q29" s="31">
        <v>3.0</v>
      </c>
      <c r="R29" s="31">
        <v>5.0</v>
      </c>
      <c r="S29" s="31">
        <v>5.0</v>
      </c>
      <c r="T29" s="31">
        <v>6.0</v>
      </c>
      <c r="U29" s="31">
        <v>6.0</v>
      </c>
      <c r="V29" s="31">
        <v>6.0</v>
      </c>
      <c r="W29" s="31">
        <v>4.0</v>
      </c>
      <c r="X29" s="31">
        <v>6.0</v>
      </c>
      <c r="Y29" s="32">
        <f t="shared" si="9"/>
        <v>52</v>
      </c>
      <c r="Z29" s="32">
        <f t="shared" si="10"/>
        <v>46</v>
      </c>
      <c r="AA29" s="32">
        <f t="shared" si="11"/>
        <v>98</v>
      </c>
      <c r="AB29" s="32">
        <f t="shared" si="12"/>
        <v>85</v>
      </c>
    </row>
    <row r="30" ht="12.75" customHeight="1">
      <c r="A30" s="24" t="s">
        <v>20</v>
      </c>
      <c r="B30" s="25">
        <v>13.0</v>
      </c>
      <c r="C30" s="26" t="s">
        <v>18</v>
      </c>
      <c r="D30" s="26" t="s">
        <v>18</v>
      </c>
      <c r="E30" s="26" t="s">
        <v>18</v>
      </c>
      <c r="F30" s="21"/>
      <c r="G30" s="25">
        <v>3.0</v>
      </c>
      <c r="H30" s="25">
        <v>7.0</v>
      </c>
      <c r="I30" s="25">
        <v>5.0</v>
      </c>
      <c r="J30" s="25">
        <v>5.0</v>
      </c>
      <c r="K30" s="25">
        <v>6.0</v>
      </c>
      <c r="L30" s="25">
        <v>6.0</v>
      </c>
      <c r="M30" s="25">
        <v>3.0</v>
      </c>
      <c r="N30" s="25">
        <v>5.0</v>
      </c>
      <c r="O30" s="25">
        <v>4.0</v>
      </c>
      <c r="P30" s="25">
        <v>6.0</v>
      </c>
      <c r="Q30" s="25">
        <v>4.0</v>
      </c>
      <c r="R30" s="25">
        <v>5.0</v>
      </c>
      <c r="S30" s="25">
        <v>4.0</v>
      </c>
      <c r="T30" s="25">
        <v>4.0</v>
      </c>
      <c r="U30" s="25">
        <v>6.0</v>
      </c>
      <c r="V30" s="25">
        <v>5.0</v>
      </c>
      <c r="W30" s="25">
        <v>3.0</v>
      </c>
      <c r="X30" s="25">
        <v>5.0</v>
      </c>
      <c r="Y30" s="27">
        <f t="shared" si="9"/>
        <v>44</v>
      </c>
      <c r="Z30" s="27">
        <f t="shared" si="10"/>
        <v>42</v>
      </c>
      <c r="AA30" s="27">
        <f t="shared" si="11"/>
        <v>86</v>
      </c>
      <c r="AB30" s="27">
        <f t="shared" si="12"/>
        <v>73</v>
      </c>
    </row>
    <row r="31" ht="12.75" customHeight="1">
      <c r="A31" s="28" t="s">
        <v>21</v>
      </c>
      <c r="B31" s="29">
        <v>17.0</v>
      </c>
      <c r="C31" s="30" t="s">
        <v>18</v>
      </c>
      <c r="D31" s="30" t="s">
        <v>18</v>
      </c>
      <c r="E31" s="30" t="s">
        <v>18</v>
      </c>
      <c r="F31" s="21"/>
      <c r="G31" s="31">
        <v>3.0</v>
      </c>
      <c r="H31" s="31">
        <v>7.0</v>
      </c>
      <c r="I31" s="31">
        <v>7.0</v>
      </c>
      <c r="J31" s="31">
        <v>4.0</v>
      </c>
      <c r="K31" s="31">
        <v>6.0</v>
      </c>
      <c r="L31" s="31">
        <v>7.0</v>
      </c>
      <c r="M31" s="31">
        <v>4.0</v>
      </c>
      <c r="N31" s="31">
        <v>6.0</v>
      </c>
      <c r="O31" s="31">
        <v>8.0</v>
      </c>
      <c r="P31" s="31">
        <v>6.0</v>
      </c>
      <c r="Q31" s="31">
        <v>3.0</v>
      </c>
      <c r="R31" s="31">
        <v>7.0</v>
      </c>
      <c r="S31" s="31">
        <v>5.0</v>
      </c>
      <c r="T31" s="31">
        <v>7.0</v>
      </c>
      <c r="U31" s="31">
        <v>5.0</v>
      </c>
      <c r="V31" s="31">
        <v>6.0</v>
      </c>
      <c r="W31" s="31">
        <v>5.0</v>
      </c>
      <c r="X31" s="31">
        <v>6.0</v>
      </c>
      <c r="Y31" s="32">
        <f t="shared" si="9"/>
        <v>52</v>
      </c>
      <c r="Z31" s="32">
        <f t="shared" si="10"/>
        <v>50</v>
      </c>
      <c r="AA31" s="32">
        <f t="shared" si="11"/>
        <v>102</v>
      </c>
      <c r="AB31" s="32">
        <f t="shared" si="12"/>
        <v>85</v>
      </c>
    </row>
    <row r="32" ht="12.75" customHeight="1">
      <c r="A32" s="24" t="s">
        <v>22</v>
      </c>
      <c r="B32" s="25">
        <v>6.0</v>
      </c>
      <c r="C32" s="26" t="s">
        <v>18</v>
      </c>
      <c r="D32" s="26" t="s">
        <v>18</v>
      </c>
      <c r="E32" s="26" t="s">
        <v>18</v>
      </c>
      <c r="F32" s="21"/>
      <c r="G32" s="25">
        <v>4.0</v>
      </c>
      <c r="H32" s="25">
        <v>10.0</v>
      </c>
      <c r="I32" s="25">
        <v>5.0</v>
      </c>
      <c r="J32" s="25">
        <v>4.0</v>
      </c>
      <c r="K32" s="25">
        <v>4.0</v>
      </c>
      <c r="L32" s="25">
        <v>5.0</v>
      </c>
      <c r="M32" s="25">
        <v>3.0</v>
      </c>
      <c r="N32" s="25">
        <v>5.0</v>
      </c>
      <c r="O32" s="25">
        <v>6.0</v>
      </c>
      <c r="P32" s="25">
        <v>5.0</v>
      </c>
      <c r="Q32" s="25">
        <v>3.0</v>
      </c>
      <c r="R32" s="25">
        <v>5.0</v>
      </c>
      <c r="S32" s="25">
        <v>4.0</v>
      </c>
      <c r="T32" s="25">
        <v>4.0</v>
      </c>
      <c r="U32" s="25">
        <v>6.0</v>
      </c>
      <c r="V32" s="25">
        <v>4.0</v>
      </c>
      <c r="W32" s="25">
        <v>3.0</v>
      </c>
      <c r="X32" s="25">
        <v>6.0</v>
      </c>
      <c r="Y32" s="27">
        <f t="shared" si="9"/>
        <v>46</v>
      </c>
      <c r="Z32" s="27">
        <f t="shared" si="10"/>
        <v>40</v>
      </c>
      <c r="AA32" s="27">
        <f t="shared" si="11"/>
        <v>86</v>
      </c>
      <c r="AB32" s="27">
        <f t="shared" si="12"/>
        <v>80</v>
      </c>
    </row>
    <row r="33" ht="12.75" customHeight="1">
      <c r="A33" s="33" t="s">
        <v>23</v>
      </c>
      <c r="B33" s="34">
        <v>23.0</v>
      </c>
      <c r="C33" s="35" t="s">
        <v>18</v>
      </c>
      <c r="D33" s="35" t="s">
        <v>18</v>
      </c>
      <c r="E33" s="35" t="s">
        <v>18</v>
      </c>
      <c r="F33" s="21"/>
      <c r="G33" s="31">
        <v>8.0</v>
      </c>
      <c r="H33" s="31">
        <v>7.0</v>
      </c>
      <c r="I33" s="31">
        <v>5.0</v>
      </c>
      <c r="J33" s="31">
        <v>4.0</v>
      </c>
      <c r="K33" s="31">
        <v>7.0</v>
      </c>
      <c r="L33" s="31">
        <v>5.0</v>
      </c>
      <c r="M33" s="31">
        <v>3.0</v>
      </c>
      <c r="N33" s="31">
        <v>6.0</v>
      </c>
      <c r="O33" s="31">
        <v>6.0</v>
      </c>
      <c r="P33" s="31">
        <v>4.0</v>
      </c>
      <c r="Q33" s="31">
        <v>5.0</v>
      </c>
      <c r="R33" s="31">
        <v>9.0</v>
      </c>
      <c r="S33" s="31">
        <v>5.0</v>
      </c>
      <c r="T33" s="31">
        <v>5.0</v>
      </c>
      <c r="U33" s="31">
        <v>5.0</v>
      </c>
      <c r="V33" s="31">
        <v>5.0</v>
      </c>
      <c r="W33" s="31">
        <v>4.0</v>
      </c>
      <c r="X33" s="31">
        <v>5.0</v>
      </c>
      <c r="Y33" s="32">
        <f t="shared" si="9"/>
        <v>51</v>
      </c>
      <c r="Z33" s="32">
        <f t="shared" si="10"/>
        <v>47</v>
      </c>
      <c r="AA33" s="32">
        <f t="shared" si="11"/>
        <v>98</v>
      </c>
      <c r="AB33" s="32">
        <f t="shared" si="12"/>
        <v>75</v>
      </c>
    </row>
    <row r="34" ht="12.75" customHeight="1">
      <c r="A34" s="20"/>
      <c r="B34" s="20"/>
      <c r="C34" s="36">
        <f>COUNTIF(Scorecards!$C$4:$C$9, "Y")*C26</f>
        <v>30</v>
      </c>
      <c r="D34" s="36">
        <f>COUNTIF(Scorecards!$D$4:$D$9, "Y")*D26</f>
        <v>30</v>
      </c>
      <c r="E34" s="36">
        <f>COUNTIF(Scorecards!$E$4:$E$9, "Y")*E26</f>
        <v>30</v>
      </c>
      <c r="F34" s="21" t="s">
        <v>24</v>
      </c>
      <c r="G34" s="22" t="str">
        <f t="array" ref="G34">IF(OR(SUM(IF(IF(Scorecards!$C$28:$C$33="Y", G28:G33, 10)=MIN(IF(Scorecards!$C$28:$C$33="Y", G28:G33, 10)), 1, 0)) &gt; 1, MIN(IF(Scorecards!$C$28:$C$33="Y", G28:G33, 10)) &gt; G27), "", INDEX(Scorecards!$A$28:$A$33,MATCH(MIN(IF(Scorecards!$C$28:$C$33="Y",G28:G33,10)),IF(Scorecards!$C$28:$C$33="Y",G28:G33,10),0)))</f>
        <v/>
      </c>
      <c r="H34" s="22" t="str">
        <f t="array" ref="H34">IF(OR(SUM(IF(IF(Scorecards!$C$28:$C$33="Y", H28:H33, 10)=MIN(IF(Scorecards!$C$28:$C$33="Y", H28:H33, 10)), 1, 0)) &gt; 1, MIN(IF(Scorecards!$C$28:$C$33="Y", H28:H33, 10)) &gt; H27), "", INDEX(Scorecards!$A$28:$A$33,MATCH(MIN(IF(Scorecards!$C$28:$C$33="Y",H28:H33,10)),IF(Scorecards!$C$28:$C$33="Y",H28:H33,10),0)))</f>
        <v>AJ</v>
      </c>
      <c r="I34" s="22" t="str">
        <f t="array" ref="I34">IF(OR(SUM(IF(IF(Scorecards!$C$28:$C$33="Y", I28:I33, 10)=MIN(IF(Scorecards!$C$28:$C$33="Y", I28:I33, 10)), 1, 0)) &gt; 1, MIN(IF(Scorecards!$C$28:$C$33="Y", I28:I33, 10)) &gt; I27), "", INDEX(Scorecards!$A$28:$A$33,MATCH(MIN(IF(Scorecards!$C$28:$C$33="Y",I28:I33,10)),IF(Scorecards!$C$28:$C$33="Y",I28:I33,10),0)))</f>
        <v>AJ</v>
      </c>
      <c r="J34" s="22" t="str">
        <f t="array" ref="J34">IF(OR(SUM(IF(IF(Scorecards!$C$28:$C$33="Y", J28:J33, 10)=MIN(IF(Scorecards!$C$28:$C$33="Y", J28:J33, 10)), 1, 0)) &gt; 1, MIN(IF(Scorecards!$C$28:$C$33="Y", J28:J33, 10)) &gt; J27), "", INDEX(Scorecards!$A$28:$A$33,MATCH(MIN(IF(Scorecards!$C$28:$C$33="Y",J28:J33,10)),IF(Scorecards!$C$28:$C$33="Y",J28:J33,10),0)))</f>
        <v>AJ</v>
      </c>
      <c r="K34" s="22" t="str">
        <f t="array" ref="K34">IF(OR(SUM(IF(IF(Scorecards!$C$28:$C$33="Y", K28:K33, 10)=MIN(IF(Scorecards!$C$28:$C$33="Y", K28:K33, 10)), 1, 0)) &gt; 1, MIN(IF(Scorecards!$C$28:$C$33="Y", K28:K33, 10)) &gt; K27), "", INDEX(Scorecards!$A$28:$A$33,MATCH(MIN(IF(Scorecards!$C$28:$C$33="Y",K28:K33,10)),IF(Scorecards!$C$28:$C$33="Y",K28:K33,10),0)))</f>
        <v>SR</v>
      </c>
      <c r="L34" s="22" t="str">
        <f t="array" ref="L34">IF(OR(SUM(IF(IF(Scorecards!$C$28:$C$33="Y", L28:L33, 10)=MIN(IF(Scorecards!$C$28:$C$33="Y", L28:L33, 10)), 1, 0)) &gt; 1, MIN(IF(Scorecards!$C$28:$C$33="Y", L28:L33, 10)) &gt; L27), "", INDEX(Scorecards!$A$28:$A$33,MATCH(MIN(IF(Scorecards!$C$28:$C$33="Y",L28:L33,10)),IF(Scorecards!$C$28:$C$33="Y",L28:L33,10),0)))</f>
        <v>AJ</v>
      </c>
      <c r="M34" s="22" t="str">
        <f t="array" ref="M34">IF(OR(SUM(IF(IF(Scorecards!$C$28:$C$33="Y", M28:M33, 10)=MIN(IF(Scorecards!$C$28:$C$33="Y", M28:M33, 10)), 1, 0)) &gt; 1, MIN(IF(Scorecards!$C$28:$C$33="Y", M28:M33, 10)) &gt; M27), "", INDEX(Scorecards!$A$28:$A$33,MATCH(MIN(IF(Scorecards!$C$28:$C$33="Y",M28:M33,10)),IF(Scorecards!$C$28:$C$33="Y",M28:M33,10),0)))</f>
        <v/>
      </c>
      <c r="N34" s="22" t="str">
        <f t="array" ref="N34">IF(OR(SUM(IF(IF(Scorecards!$C$28:$C$33="Y", N28:N33, 10)=MIN(IF(Scorecards!$C$28:$C$33="Y", N28:N33, 10)), 1, 0)) &gt; 1, MIN(IF(Scorecards!$C$28:$C$33="Y", N28:N33, 10)) &gt; N27), "", INDEX(Scorecards!$A$28:$A$33,MATCH(MIN(IF(Scorecards!$C$28:$C$33="Y",N28:N33,10)),IF(Scorecards!$C$28:$C$33="Y",N28:N33,10),0)))</f>
        <v/>
      </c>
      <c r="O34" s="22" t="str">
        <f t="array" ref="O34">IF(OR(SUM(IF(IF(Scorecards!$C$28:$C$33="Y", O28:O33, 10)=MIN(IF(Scorecards!$C$28:$C$33="Y", O28:O33, 10)), 1, 0)) &gt; 1, MIN(IF(Scorecards!$C$28:$C$33="Y", O28:O33, 10)) &gt; O27), "", INDEX(Scorecards!$A$28:$A$33,MATCH(MIN(IF(Scorecards!$C$28:$C$33="Y",O28:O33,10)),IF(Scorecards!$C$28:$C$33="Y",O28:O33,10),0)))</f>
        <v>BK</v>
      </c>
      <c r="P34" s="22" t="str">
        <f t="array" ref="P34">IF(OR(SUM(IF(IF(Scorecards!$C$28:$C$33="Y", P28:P33, 10)=MIN(IF(Scorecards!$C$28:$C$33="Y", P28:P33, 10)), 1, 0)) &gt; 1, MIN(IF(Scorecards!$C$28:$C$33="Y", P28:P33, 10)) &gt; P27), "", INDEX(Scorecards!$A$28:$A$33,MATCH(MIN(IF(Scorecards!$C$28:$C$33="Y",P28:P33,10)),IF(Scorecards!$C$28:$C$33="Y",P28:P33,10),0)))</f>
        <v>JB</v>
      </c>
      <c r="Q34" s="22" t="str">
        <f t="array" ref="Q34">IF(OR(SUM(IF(IF(Scorecards!$C$28:$C$33="Y", Q28:Q33, 10)=MIN(IF(Scorecards!$C$28:$C$33="Y", Q28:Q33, 10)), 1, 0)) &gt; 1, MIN(IF(Scorecards!$C$28:$C$33="Y", Q28:Q33, 10)) &gt; Q27), "", INDEX(Scorecards!$A$28:$A$33,MATCH(MIN(IF(Scorecards!$C$28:$C$33="Y",Q28:Q33,10)),IF(Scorecards!$C$28:$C$33="Y",Q28:Q33,10),0)))</f>
        <v/>
      </c>
      <c r="R34" s="22" t="str">
        <f t="array" ref="R34">IF(OR(SUM(IF(IF(Scorecards!$C$28:$C$33="Y", R28:R33, 10)=MIN(IF(Scorecards!$C$28:$C$33="Y", R28:R33, 10)), 1, 0)) &gt; 1, MIN(IF(Scorecards!$C$28:$C$33="Y", R28:R33, 10)) &gt; R27), "", INDEX(Scorecards!$A$28:$A$33,MATCH(MIN(IF(Scorecards!$C$28:$C$33="Y",R28:R33,10)),IF(Scorecards!$C$28:$C$33="Y",R28:R33,10),0)))</f>
        <v/>
      </c>
      <c r="S34" s="22" t="str">
        <f t="array" ref="S34">IF(OR(SUM(IF(IF(Scorecards!$C$28:$C$33="Y", S28:S33, 10)=MIN(IF(Scorecards!$C$28:$C$33="Y", S28:S33, 10)), 1, 0)) &gt; 1, MIN(IF(Scorecards!$C$28:$C$33="Y", S28:S33, 10)) &gt; S27), "", INDEX(Scorecards!$A$28:$A$33,MATCH(MIN(IF(Scorecards!$C$28:$C$33="Y",S28:S33,10)),IF(Scorecards!$C$28:$C$33="Y",S28:S33,10),0)))</f>
        <v>AJ</v>
      </c>
      <c r="T34" s="22" t="str">
        <f t="array" ref="T34">IF(OR(SUM(IF(IF(Scorecards!$C$28:$C$33="Y", T28:T33, 10)=MIN(IF(Scorecards!$C$28:$C$33="Y", T28:T33, 10)), 1, 0)) &gt; 1, MIN(IF(Scorecards!$C$28:$C$33="Y", T28:T33, 10)) &gt; T27), "", INDEX(Scorecards!$A$28:$A$33,MATCH(MIN(IF(Scorecards!$C$28:$C$33="Y",T28:T33,10)),IF(Scorecards!$C$28:$C$33="Y",T28:T33,10),0)))</f>
        <v/>
      </c>
      <c r="U34" s="22" t="str">
        <f t="array" ref="U34">IF(OR(SUM(IF(IF(Scorecards!$C$28:$C$33="Y", U28:U33, 10)=MIN(IF(Scorecards!$C$28:$C$33="Y", U28:U33, 10)), 1, 0)) &gt; 1, MIN(IF(Scorecards!$C$28:$C$33="Y", U28:U33, 10)) &gt; U27), "", INDEX(Scorecards!$A$28:$A$33,MATCH(MIN(IF(Scorecards!$C$28:$C$33="Y",U28:U33,10)),IF(Scorecards!$C$28:$C$33="Y",U28:U33,10),0)))</f>
        <v/>
      </c>
      <c r="V34" s="22" t="str">
        <f t="array" ref="V34">IF(OR(SUM(IF(IF(Scorecards!$C$28:$C$33="Y", V28:V33, 10)=MIN(IF(Scorecards!$C$28:$C$33="Y", V28:V33, 10)), 1, 0)) &gt; 1, MIN(IF(Scorecards!$C$28:$C$33="Y", V28:V33, 10)) &gt; V27), "", INDEX(Scorecards!$A$28:$A$33,MATCH(MIN(IF(Scorecards!$C$28:$C$33="Y",V28:V33,10)),IF(Scorecards!$C$28:$C$33="Y",V28:V33,10),0)))</f>
        <v>SR</v>
      </c>
      <c r="W34" s="22" t="str">
        <f t="array" ref="W34">IF(OR(SUM(IF(IF(Scorecards!$C$28:$C$33="Y", W28:W33, 10)=MIN(IF(Scorecards!$C$28:$C$33="Y", W28:W33, 10)), 1, 0)) &gt; 1, MIN(IF(Scorecards!$C$28:$C$33="Y", W28:W33, 10)) &gt; W27), "", INDEX(Scorecards!$A$28:$A$33,MATCH(MIN(IF(Scorecards!$C$28:$C$33="Y",W28:W33,10)),IF(Scorecards!$C$28:$C$33="Y",W28:W33,10),0)))</f>
        <v/>
      </c>
      <c r="X34" s="22" t="str">
        <f t="array" ref="X34">IF(OR(SUM(IF(IF(Scorecards!$C$28:$C$33="Y", X28:X33, 10)=MIN(IF(Scorecards!$C$28:$C$33="Y", X28:X33, 10)), 1, 0)) &gt; 1, MIN(IF(Scorecards!$C$28:$C$33="Y", X28:X33, 10)) &gt; X27), "", INDEX(Scorecards!$A$28:$A$33,MATCH(MIN(IF(Scorecards!$C$28:$C$33="Y",X28:X33,10)),IF(Scorecards!$C$28:$C$33="Y",X28:X33,10),0)))</f>
        <v/>
      </c>
      <c r="Y34" s="22"/>
      <c r="Z34" s="22"/>
      <c r="AA34" s="22">
        <f>18-COUNTBLANK(G34:X34)</f>
        <v>9</v>
      </c>
      <c r="AB34" s="37">
        <f>IF(AA34 = 0, 0, C34/AA34)</f>
        <v>3.333333333</v>
      </c>
    </row>
    <row r="35" ht="12.75" customHeight="1">
      <c r="A35" s="11"/>
      <c r="B35" s="11"/>
      <c r="C35" s="11"/>
      <c r="D35" s="11"/>
      <c r="E35" s="11"/>
      <c r="F35" s="21" t="s">
        <v>14</v>
      </c>
      <c r="G35" s="22"/>
      <c r="H35" s="22"/>
      <c r="I35" s="22"/>
      <c r="J35" s="22"/>
      <c r="K35" s="22"/>
      <c r="L35" s="22"/>
      <c r="M35" s="23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11"/>
      <c r="Z35" s="11"/>
      <c r="AA35" s="22">
        <f>COUNTA(G35:Z35)</f>
        <v>0</v>
      </c>
      <c r="AB35" s="37">
        <f>IF(AA35 = 0, 0, D34/AA35)</f>
        <v>0</v>
      </c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2.75" customHeight="1">
      <c r="A37" s="11"/>
      <c r="B37" s="11"/>
      <c r="C37" s="11"/>
      <c r="D37" s="11"/>
      <c r="E37" s="11"/>
      <c r="F37" s="12" t="s">
        <v>27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  <c r="AA37" s="42">
        <v>69.7</v>
      </c>
      <c r="AB37" s="42">
        <v>135.0</v>
      </c>
    </row>
    <row r="38" ht="12.75" customHeight="1">
      <c r="A38" s="11"/>
      <c r="B38" s="11"/>
      <c r="C38" s="16">
        <v>5.0</v>
      </c>
      <c r="D38" s="16">
        <v>10.0</v>
      </c>
      <c r="E38" s="16">
        <v>5.0</v>
      </c>
      <c r="F38" s="17" t="s">
        <v>6</v>
      </c>
      <c r="G38" s="18">
        <v>1.0</v>
      </c>
      <c r="H38" s="18">
        <v>2.0</v>
      </c>
      <c r="I38" s="18">
        <v>3.0</v>
      </c>
      <c r="J38" s="18">
        <v>4.0</v>
      </c>
      <c r="K38" s="18">
        <v>5.0</v>
      </c>
      <c r="L38" s="18">
        <v>6.0</v>
      </c>
      <c r="M38" s="18">
        <v>7.0</v>
      </c>
      <c r="N38" s="18">
        <v>8.0</v>
      </c>
      <c r="O38" s="18">
        <v>9.0</v>
      </c>
      <c r="P38" s="18">
        <v>10.0</v>
      </c>
      <c r="Q38" s="18">
        <v>11.0</v>
      </c>
      <c r="R38" s="18">
        <v>12.0</v>
      </c>
      <c r="S38" s="18">
        <v>13.0</v>
      </c>
      <c r="T38" s="18">
        <v>14.0</v>
      </c>
      <c r="U38" s="18">
        <v>15.0</v>
      </c>
      <c r="V38" s="18">
        <v>16.0</v>
      </c>
      <c r="W38" s="18">
        <v>17.0</v>
      </c>
      <c r="X38" s="18">
        <v>18.0</v>
      </c>
      <c r="Y38" s="18" t="s">
        <v>7</v>
      </c>
      <c r="Z38" s="18" t="s">
        <v>8</v>
      </c>
      <c r="AA38" s="18" t="s">
        <v>9</v>
      </c>
      <c r="AB38" s="18" t="s">
        <v>10</v>
      </c>
    </row>
    <row r="39" ht="12.75" customHeight="1">
      <c r="A39" s="19" t="s">
        <v>11</v>
      </c>
      <c r="B39" s="19" t="s">
        <v>12</v>
      </c>
      <c r="C39" s="20" t="s">
        <v>13</v>
      </c>
      <c r="D39" s="20" t="s">
        <v>14</v>
      </c>
      <c r="E39" s="20" t="s">
        <v>15</v>
      </c>
      <c r="F39" s="21" t="s">
        <v>16</v>
      </c>
      <c r="G39" s="22">
        <v>4.0</v>
      </c>
      <c r="H39" s="23">
        <v>4.0</v>
      </c>
      <c r="I39" s="23">
        <v>3.0</v>
      </c>
      <c r="J39" s="23">
        <v>4.0</v>
      </c>
      <c r="K39" s="23">
        <v>5.0</v>
      </c>
      <c r="L39" s="23">
        <v>3.0</v>
      </c>
      <c r="M39" s="23">
        <v>5.0</v>
      </c>
      <c r="N39" s="23">
        <v>4.0</v>
      </c>
      <c r="O39" s="23">
        <v>4.0</v>
      </c>
      <c r="P39" s="22">
        <v>4.0</v>
      </c>
      <c r="Q39" s="23">
        <v>5.0</v>
      </c>
      <c r="R39" s="23">
        <v>3.0</v>
      </c>
      <c r="S39" s="23">
        <v>4.0</v>
      </c>
      <c r="T39" s="23">
        <v>3.0</v>
      </c>
      <c r="U39" s="23">
        <v>4.0</v>
      </c>
      <c r="V39" s="23">
        <v>5.0</v>
      </c>
      <c r="W39" s="23">
        <v>3.0</v>
      </c>
      <c r="X39" s="22">
        <v>4.0</v>
      </c>
      <c r="Y39" s="22">
        <f t="shared" ref="Y39:Y45" si="13">SUM(G39:O39)</f>
        <v>36</v>
      </c>
      <c r="Z39" s="22">
        <f t="shared" ref="Z39:Z45" si="14">SUM(P39:X39)</f>
        <v>35</v>
      </c>
      <c r="AA39" s="22">
        <f>Y39+Z39</f>
        <v>71</v>
      </c>
      <c r="AB39" s="22"/>
    </row>
    <row r="40" ht="12.75" customHeight="1">
      <c r="A40" s="24" t="s">
        <v>17</v>
      </c>
      <c r="B40" s="25">
        <v>7.0</v>
      </c>
      <c r="C40" s="43" t="s">
        <v>18</v>
      </c>
      <c r="D40" s="43" t="s">
        <v>18</v>
      </c>
      <c r="E40" s="43" t="s">
        <v>18</v>
      </c>
      <c r="F40" s="21"/>
      <c r="G40" s="44">
        <v>5.0</v>
      </c>
      <c r="H40" s="44">
        <v>5.0</v>
      </c>
      <c r="I40" s="44">
        <v>3.0</v>
      </c>
      <c r="J40" s="44">
        <v>4.0</v>
      </c>
      <c r="K40" s="44">
        <v>5.0</v>
      </c>
      <c r="L40" s="44">
        <v>4.0</v>
      </c>
      <c r="M40" s="44">
        <v>5.0</v>
      </c>
      <c r="N40" s="44">
        <v>4.0</v>
      </c>
      <c r="O40" s="44">
        <v>6.0</v>
      </c>
      <c r="P40" s="44">
        <v>5.0</v>
      </c>
      <c r="Q40" s="44">
        <v>5.0</v>
      </c>
      <c r="R40" s="44">
        <v>3.0</v>
      </c>
      <c r="S40" s="44">
        <v>5.0</v>
      </c>
      <c r="T40" s="44">
        <v>3.0</v>
      </c>
      <c r="U40" s="44">
        <v>5.0</v>
      </c>
      <c r="V40" s="44">
        <v>5.0</v>
      </c>
      <c r="W40" s="44">
        <v>4.0</v>
      </c>
      <c r="X40" s="44">
        <v>5.0</v>
      </c>
      <c r="Y40" s="45">
        <f t="shared" si="13"/>
        <v>41</v>
      </c>
      <c r="Z40" s="45">
        <f t="shared" si="14"/>
        <v>40</v>
      </c>
      <c r="AA40" s="45">
        <f t="shared" ref="AA40:AA45" si="15">IF(Z40&gt;0,Y40+Z40,"")</f>
        <v>81</v>
      </c>
      <c r="AB40" s="45">
        <f t="shared" ref="AB40:AB45" si="16">IF(Z40=0,"",AA40-B40)</f>
        <v>74</v>
      </c>
    </row>
    <row r="41" ht="12.75" customHeight="1">
      <c r="A41" s="28" t="s">
        <v>19</v>
      </c>
      <c r="B41" s="29">
        <v>14.0</v>
      </c>
      <c r="C41" s="30" t="s">
        <v>18</v>
      </c>
      <c r="D41" s="30" t="s">
        <v>18</v>
      </c>
      <c r="E41" s="30" t="s">
        <v>18</v>
      </c>
      <c r="F41" s="21"/>
      <c r="G41" s="31">
        <v>6.0</v>
      </c>
      <c r="H41" s="31">
        <v>7.0</v>
      </c>
      <c r="I41" s="31">
        <v>3.0</v>
      </c>
      <c r="J41" s="31">
        <v>7.0</v>
      </c>
      <c r="K41" s="31">
        <v>6.0</v>
      </c>
      <c r="L41" s="31">
        <v>3.0</v>
      </c>
      <c r="M41" s="31">
        <v>6.0</v>
      </c>
      <c r="N41" s="31">
        <v>6.0</v>
      </c>
      <c r="O41" s="31">
        <v>6.0</v>
      </c>
      <c r="P41" s="31">
        <v>6.0</v>
      </c>
      <c r="Q41" s="31">
        <v>7.0</v>
      </c>
      <c r="R41" s="31">
        <v>3.0</v>
      </c>
      <c r="S41" s="31">
        <v>5.0</v>
      </c>
      <c r="T41" s="31">
        <v>4.0</v>
      </c>
      <c r="U41" s="31">
        <v>7.0</v>
      </c>
      <c r="V41" s="31">
        <v>9.0</v>
      </c>
      <c r="W41" s="31">
        <v>4.0</v>
      </c>
      <c r="X41" s="31">
        <v>5.0</v>
      </c>
      <c r="Y41" s="32">
        <f t="shared" si="13"/>
        <v>50</v>
      </c>
      <c r="Z41" s="32">
        <f t="shared" si="14"/>
        <v>50</v>
      </c>
      <c r="AA41" s="32">
        <f t="shared" si="15"/>
        <v>100</v>
      </c>
      <c r="AB41" s="32">
        <f t="shared" si="16"/>
        <v>86</v>
      </c>
    </row>
    <row r="42" ht="12.75" customHeight="1">
      <c r="A42" s="24" t="s">
        <v>20</v>
      </c>
      <c r="B42" s="25">
        <v>14.0</v>
      </c>
      <c r="C42" s="43" t="s">
        <v>18</v>
      </c>
      <c r="D42" s="43" t="s">
        <v>18</v>
      </c>
      <c r="E42" s="43" t="s">
        <v>18</v>
      </c>
      <c r="F42" s="21"/>
      <c r="G42" s="44">
        <v>5.0</v>
      </c>
      <c r="H42" s="44">
        <v>4.0</v>
      </c>
      <c r="I42" s="44">
        <v>3.0</v>
      </c>
      <c r="J42" s="44">
        <v>5.0</v>
      </c>
      <c r="K42" s="44">
        <v>7.0</v>
      </c>
      <c r="L42" s="44">
        <v>8.0</v>
      </c>
      <c r="M42" s="44">
        <v>6.0</v>
      </c>
      <c r="N42" s="44">
        <v>5.0</v>
      </c>
      <c r="O42" s="44">
        <v>4.0</v>
      </c>
      <c r="P42" s="44">
        <v>6.0</v>
      </c>
      <c r="Q42" s="44">
        <v>10.0</v>
      </c>
      <c r="R42" s="44">
        <v>4.0</v>
      </c>
      <c r="S42" s="44">
        <v>7.0</v>
      </c>
      <c r="T42" s="44">
        <v>5.0</v>
      </c>
      <c r="U42" s="44">
        <v>5.0</v>
      </c>
      <c r="V42" s="44">
        <v>7.0</v>
      </c>
      <c r="W42" s="44">
        <v>3.0</v>
      </c>
      <c r="X42" s="44">
        <v>5.0</v>
      </c>
      <c r="Y42" s="45">
        <f t="shared" si="13"/>
        <v>47</v>
      </c>
      <c r="Z42" s="45">
        <f t="shared" si="14"/>
        <v>52</v>
      </c>
      <c r="AA42" s="45">
        <f t="shared" si="15"/>
        <v>99</v>
      </c>
      <c r="AB42" s="45">
        <f t="shared" si="16"/>
        <v>85</v>
      </c>
    </row>
    <row r="43" ht="12.75" customHeight="1">
      <c r="A43" s="28" t="s">
        <v>21</v>
      </c>
      <c r="B43" s="29">
        <v>18.0</v>
      </c>
      <c r="C43" s="30" t="s">
        <v>18</v>
      </c>
      <c r="D43" s="30" t="s">
        <v>18</v>
      </c>
      <c r="E43" s="30" t="s">
        <v>18</v>
      </c>
      <c r="F43" s="21"/>
      <c r="G43" s="31">
        <v>6.0</v>
      </c>
      <c r="H43" s="31">
        <v>6.0</v>
      </c>
      <c r="I43" s="31">
        <v>3.0</v>
      </c>
      <c r="J43" s="31">
        <v>4.0</v>
      </c>
      <c r="K43" s="31">
        <v>6.0</v>
      </c>
      <c r="L43" s="31">
        <v>5.0</v>
      </c>
      <c r="M43" s="31">
        <v>6.0</v>
      </c>
      <c r="N43" s="31">
        <v>6.0</v>
      </c>
      <c r="O43" s="31">
        <v>5.0</v>
      </c>
      <c r="P43" s="31">
        <v>5.0</v>
      </c>
      <c r="Q43" s="31">
        <v>6.0</v>
      </c>
      <c r="R43" s="31">
        <v>3.0</v>
      </c>
      <c r="S43" s="31">
        <v>5.0</v>
      </c>
      <c r="T43" s="31">
        <v>6.0</v>
      </c>
      <c r="U43" s="31">
        <v>5.0</v>
      </c>
      <c r="V43" s="31">
        <v>7.0</v>
      </c>
      <c r="W43" s="31">
        <v>5.0</v>
      </c>
      <c r="X43" s="31">
        <v>6.0</v>
      </c>
      <c r="Y43" s="32">
        <f t="shared" si="13"/>
        <v>47</v>
      </c>
      <c r="Z43" s="32">
        <f t="shared" si="14"/>
        <v>48</v>
      </c>
      <c r="AA43" s="32">
        <f t="shared" si="15"/>
        <v>95</v>
      </c>
      <c r="AB43" s="32">
        <f t="shared" si="16"/>
        <v>77</v>
      </c>
    </row>
    <row r="44" ht="12.75" customHeight="1">
      <c r="A44" s="24" t="s">
        <v>22</v>
      </c>
      <c r="B44" s="25">
        <v>7.0</v>
      </c>
      <c r="C44" s="43" t="s">
        <v>18</v>
      </c>
      <c r="D44" s="43" t="s">
        <v>18</v>
      </c>
      <c r="E44" s="43" t="s">
        <v>18</v>
      </c>
      <c r="F44" s="21"/>
      <c r="G44" s="44">
        <v>6.0</v>
      </c>
      <c r="H44" s="44">
        <v>4.0</v>
      </c>
      <c r="I44" s="44">
        <v>4.0</v>
      </c>
      <c r="J44" s="44">
        <v>5.0</v>
      </c>
      <c r="K44" s="44">
        <v>6.0</v>
      </c>
      <c r="L44" s="44">
        <v>4.0</v>
      </c>
      <c r="M44" s="44">
        <v>5.0</v>
      </c>
      <c r="N44" s="44">
        <v>4.0</v>
      </c>
      <c r="O44" s="44">
        <v>5.0</v>
      </c>
      <c r="P44" s="44">
        <v>4.0</v>
      </c>
      <c r="Q44" s="44">
        <v>6.0</v>
      </c>
      <c r="R44" s="44">
        <v>3.0</v>
      </c>
      <c r="S44" s="44">
        <v>4.0</v>
      </c>
      <c r="T44" s="44">
        <v>3.0</v>
      </c>
      <c r="U44" s="44">
        <v>4.0</v>
      </c>
      <c r="V44" s="44">
        <v>5.0</v>
      </c>
      <c r="W44" s="44">
        <v>4.0</v>
      </c>
      <c r="X44" s="44">
        <v>4.0</v>
      </c>
      <c r="Y44" s="45">
        <f t="shared" si="13"/>
        <v>43</v>
      </c>
      <c r="Z44" s="45">
        <f t="shared" si="14"/>
        <v>37</v>
      </c>
      <c r="AA44" s="45">
        <f t="shared" si="15"/>
        <v>80</v>
      </c>
      <c r="AB44" s="45">
        <f t="shared" si="16"/>
        <v>73</v>
      </c>
    </row>
    <row r="45" ht="12.75" customHeight="1">
      <c r="A45" s="33" t="s">
        <v>23</v>
      </c>
      <c r="B45" s="34">
        <v>25.0</v>
      </c>
      <c r="C45" s="35" t="s">
        <v>18</v>
      </c>
      <c r="D45" s="35" t="s">
        <v>18</v>
      </c>
      <c r="E45" s="35" t="s">
        <v>18</v>
      </c>
      <c r="F45" s="21"/>
      <c r="G45" s="31">
        <v>6.0</v>
      </c>
      <c r="H45" s="31">
        <v>5.0</v>
      </c>
      <c r="I45" s="31">
        <v>3.0</v>
      </c>
      <c r="J45" s="31">
        <v>5.0</v>
      </c>
      <c r="K45" s="31">
        <v>7.0</v>
      </c>
      <c r="L45" s="31">
        <v>4.0</v>
      </c>
      <c r="M45" s="31">
        <v>7.0</v>
      </c>
      <c r="N45" s="31">
        <v>3.0</v>
      </c>
      <c r="O45" s="31">
        <v>6.0</v>
      </c>
      <c r="P45" s="31">
        <v>7.0</v>
      </c>
      <c r="Q45" s="31">
        <v>7.0</v>
      </c>
      <c r="R45" s="31">
        <v>4.0</v>
      </c>
      <c r="S45" s="31">
        <v>5.0</v>
      </c>
      <c r="T45" s="31">
        <v>4.0</v>
      </c>
      <c r="U45" s="31">
        <v>6.0</v>
      </c>
      <c r="V45" s="31">
        <v>6.0</v>
      </c>
      <c r="W45" s="31">
        <v>5.0</v>
      </c>
      <c r="X45" s="31">
        <v>5.0</v>
      </c>
      <c r="Y45" s="32">
        <f t="shared" si="13"/>
        <v>46</v>
      </c>
      <c r="Z45" s="32">
        <f t="shared" si="14"/>
        <v>49</v>
      </c>
      <c r="AA45" s="32">
        <f t="shared" si="15"/>
        <v>95</v>
      </c>
      <c r="AB45" s="32">
        <f t="shared" si="16"/>
        <v>70</v>
      </c>
    </row>
    <row r="46" ht="12.75" customHeight="1">
      <c r="A46" s="20"/>
      <c r="B46" s="20"/>
      <c r="C46" s="36">
        <f>COUNTIF(Scorecards!$C$4:$C$9, "Y")*C38</f>
        <v>30</v>
      </c>
      <c r="D46" s="36">
        <f>COUNTIF(Scorecards!$D$4:$D$9, "Y")*D38</f>
        <v>60</v>
      </c>
      <c r="E46" s="36">
        <f>COUNTIF(Scorecards!$E$4:$E$9, "Y")*E38</f>
        <v>30</v>
      </c>
      <c r="F46" s="21" t="s">
        <v>24</v>
      </c>
      <c r="G46" s="22" t="str">
        <f t="array" ref="G46">IF(OR(SUM(IF(IF(Scorecards!$C$40:$C$45="Y", G40:G45, 10)=MIN(IF(Scorecards!$C$40:$C$45="Y", G40:G45, 10)), 1, 0)) &gt; 1, MIN(IF(Scorecards!$C$40:$C$45="Y", G40:G45, 10)) &gt; G39), "", INDEX(Scorecards!$A$40:$A$45,MATCH(MIN(IF(Scorecards!$C$40:$C$45="Y",G40:G45,10)),IF(Scorecards!$C$40:$C$45="Y",G40:G45,10),0)))</f>
        <v/>
      </c>
      <c r="H46" s="22" t="str">
        <f t="array" ref="H46">IF(OR(SUM(IF(IF(Scorecards!$C$40:$C$45="Y", H40:H45, 10)=MIN(IF(Scorecards!$C$40:$C$45="Y", H40:H45, 10)), 1, 0)) &gt; 1, MIN(IF(Scorecards!$C$40:$C$45="Y", H40:H45, 10)) &gt; H39), "", INDEX(Scorecards!$A$40:$A$45,MATCH(MIN(IF(Scorecards!$C$40:$C$45="Y",H40:H45,10)),IF(Scorecards!$C$40:$C$45="Y",H40:H45,10),0)))</f>
        <v/>
      </c>
      <c r="I46" s="22" t="str">
        <f t="array" ref="I46">IF(OR(SUM(IF(IF(Scorecards!$C$40:$C$45="Y", I40:I45, 10)=MIN(IF(Scorecards!$C$40:$C$45="Y", I40:I45, 10)), 1, 0)) &gt; 1, MIN(IF(Scorecards!$C$40:$C$45="Y", I40:I45, 10)) &gt; I39), "", INDEX(Scorecards!$A$40:$A$45,MATCH(MIN(IF(Scorecards!$C$40:$C$45="Y",I40:I45,10)),IF(Scorecards!$C$40:$C$45="Y",I40:I45,10),0)))</f>
        <v/>
      </c>
      <c r="J46" s="22" t="str">
        <f t="array" ref="J46">IF(OR(SUM(IF(IF(Scorecards!$C$40:$C$45="Y", J40:J45, 10)=MIN(IF(Scorecards!$C$40:$C$45="Y", J40:J45, 10)), 1, 0)) &gt; 1, MIN(IF(Scorecards!$C$40:$C$45="Y", J40:J45, 10)) &gt; J39), "", INDEX(Scorecards!$A$40:$A$45,MATCH(MIN(IF(Scorecards!$C$40:$C$45="Y",J40:J45,10)),IF(Scorecards!$C$40:$C$45="Y",J40:J45,10),0)))</f>
        <v/>
      </c>
      <c r="K46" s="22" t="str">
        <f t="array" ref="K46">IF(OR(SUM(IF(IF(Scorecards!$C$40:$C$45="Y", K40:K45, 10)=MIN(IF(Scorecards!$C$40:$C$45="Y", K40:K45, 10)), 1, 0)) &gt; 1, MIN(IF(Scorecards!$C$40:$C$45="Y", K40:K45, 10)) &gt; K39), "", INDEX(Scorecards!$A$40:$A$45,MATCH(MIN(IF(Scorecards!$C$40:$C$45="Y",K40:K45,10)),IF(Scorecards!$C$40:$C$45="Y",K40:K45,10),0)))</f>
        <v>AJ</v>
      </c>
      <c r="L46" s="22" t="str">
        <f t="array" ref="L46">IF(OR(SUM(IF(IF(Scorecards!$C$40:$C$45="Y", L40:L45, 10)=MIN(IF(Scorecards!$C$40:$C$45="Y", L40:L45, 10)), 1, 0)) &gt; 1, MIN(IF(Scorecards!$C$40:$C$45="Y", L40:L45, 10)) &gt; L39), "", INDEX(Scorecards!$A$40:$A$45,MATCH(MIN(IF(Scorecards!$C$40:$C$45="Y",L40:L45,10)),IF(Scorecards!$C$40:$C$45="Y",L40:L45,10),0)))</f>
        <v>BB</v>
      </c>
      <c r="M46" s="22" t="str">
        <f t="array" ref="M46">IF(OR(SUM(IF(IF(Scorecards!$C$40:$C$45="Y", M40:M45, 10)=MIN(IF(Scorecards!$C$40:$C$45="Y", M40:M45, 10)), 1, 0)) &gt; 1, MIN(IF(Scorecards!$C$40:$C$45="Y", M40:M45, 10)) &gt; M39), "", INDEX(Scorecards!$A$40:$A$45,MATCH(MIN(IF(Scorecards!$C$40:$C$45="Y",M40:M45,10)),IF(Scorecards!$C$40:$C$45="Y",M40:M45,10),0)))</f>
        <v/>
      </c>
      <c r="N46" s="22" t="str">
        <f t="array" ref="N46">IF(OR(SUM(IF(IF(Scorecards!$C$40:$C$45="Y", N40:N45, 10)=MIN(IF(Scorecards!$C$40:$C$45="Y", N40:N45, 10)), 1, 0)) &gt; 1, MIN(IF(Scorecards!$C$40:$C$45="Y", N40:N45, 10)) &gt; N39), "", INDEX(Scorecards!$A$40:$A$45,MATCH(MIN(IF(Scorecards!$C$40:$C$45="Y",N40:N45,10)),IF(Scorecards!$C$40:$C$45="Y",N40:N45,10),0)))</f>
        <v>JB</v>
      </c>
      <c r="O46" s="22" t="str">
        <f t="array" ref="O46">IF(OR(SUM(IF(IF(Scorecards!$C$40:$C$45="Y", O40:O45, 10)=MIN(IF(Scorecards!$C$40:$C$45="Y", O40:O45, 10)), 1, 0)) &gt; 1, MIN(IF(Scorecards!$C$40:$C$45="Y", O40:O45, 10)) &gt; O39), "", INDEX(Scorecards!$A$40:$A$45,MATCH(MIN(IF(Scorecards!$C$40:$C$45="Y",O40:O45,10)),IF(Scorecards!$C$40:$C$45="Y",O40:O45,10),0)))</f>
        <v>BK</v>
      </c>
      <c r="P46" s="22" t="str">
        <f t="array" ref="P46">IF(OR(SUM(IF(IF(Scorecards!$C$40:$C$45="Y", P40:P45, 10)=MIN(IF(Scorecards!$C$40:$C$45="Y", P40:P45, 10)), 1, 0)) &gt; 1, MIN(IF(Scorecards!$C$40:$C$45="Y", P40:P45, 10)) &gt; P39), "", INDEX(Scorecards!$A$40:$A$45,MATCH(MIN(IF(Scorecards!$C$40:$C$45="Y",P40:P45,10)),IF(Scorecards!$C$40:$C$45="Y",P40:P45,10),0)))</f>
        <v>SR</v>
      </c>
      <c r="Q46" s="22" t="str">
        <f t="array" ref="Q46">IF(OR(SUM(IF(IF(Scorecards!$C$40:$C$45="Y", Q40:Q45, 10)=MIN(IF(Scorecards!$C$40:$C$45="Y", Q40:Q45, 10)), 1, 0)) &gt; 1, MIN(IF(Scorecards!$C$40:$C$45="Y", Q40:Q45, 10)) &gt; Q39), "", INDEX(Scorecards!$A$40:$A$45,MATCH(MIN(IF(Scorecards!$C$40:$C$45="Y",Q40:Q45,10)),IF(Scorecards!$C$40:$C$45="Y",Q40:Q45,10),0)))</f>
        <v>AJ</v>
      </c>
      <c r="R46" s="22" t="str">
        <f t="array" ref="R46">IF(OR(SUM(IF(IF(Scorecards!$C$40:$C$45="Y", R40:R45, 10)=MIN(IF(Scorecards!$C$40:$C$45="Y", R40:R45, 10)), 1, 0)) &gt; 1, MIN(IF(Scorecards!$C$40:$C$45="Y", R40:R45, 10)) &gt; R39), "", INDEX(Scorecards!$A$40:$A$45,MATCH(MIN(IF(Scorecards!$C$40:$C$45="Y",R40:R45,10)),IF(Scorecards!$C$40:$C$45="Y",R40:R45,10),0)))</f>
        <v/>
      </c>
      <c r="S46" s="22" t="str">
        <f t="array" ref="S46">IF(OR(SUM(IF(IF(Scorecards!$C$40:$C$45="Y", S40:S45, 10)=MIN(IF(Scorecards!$C$40:$C$45="Y", S40:S45, 10)), 1, 0)) &gt; 1, MIN(IF(Scorecards!$C$40:$C$45="Y", S40:S45, 10)) &gt; S39), "", INDEX(Scorecards!$A$40:$A$45,MATCH(MIN(IF(Scorecards!$C$40:$C$45="Y",S40:S45,10)),IF(Scorecards!$C$40:$C$45="Y",S40:S45,10),0)))</f>
        <v>SR</v>
      </c>
      <c r="T46" s="22" t="str">
        <f t="array" ref="T46">IF(OR(SUM(IF(IF(Scorecards!$C$40:$C$45="Y", T40:T45, 10)=MIN(IF(Scorecards!$C$40:$C$45="Y", T40:T45, 10)), 1, 0)) &gt; 1, MIN(IF(Scorecards!$C$40:$C$45="Y", T40:T45, 10)) &gt; T39), "", INDEX(Scorecards!$A$40:$A$45,MATCH(MIN(IF(Scorecards!$C$40:$C$45="Y",T40:T45,10)),IF(Scorecards!$C$40:$C$45="Y",T40:T45,10),0)))</f>
        <v/>
      </c>
      <c r="U46" s="22" t="str">
        <f t="array" ref="U46">IF(OR(SUM(IF(IF(Scorecards!$C$40:$C$45="Y", U40:U45, 10)=MIN(IF(Scorecards!$C$40:$C$45="Y", U40:U45, 10)), 1, 0)) &gt; 1, MIN(IF(Scorecards!$C$40:$C$45="Y", U40:U45, 10)) &gt; U39), "", INDEX(Scorecards!$A$40:$A$45,MATCH(MIN(IF(Scorecards!$C$40:$C$45="Y",U40:U45,10)),IF(Scorecards!$C$40:$C$45="Y",U40:U45,10),0)))</f>
        <v>SR</v>
      </c>
      <c r="V46" s="22" t="str">
        <f t="array" ref="V46">IF(OR(SUM(IF(IF(Scorecards!$C$40:$C$45="Y", V40:V45, 10)=MIN(IF(Scorecards!$C$40:$C$45="Y", V40:V45, 10)), 1, 0)) &gt; 1, MIN(IF(Scorecards!$C$40:$C$45="Y", V40:V45, 10)) &gt; V39), "", INDEX(Scorecards!$A$40:$A$45,MATCH(MIN(IF(Scorecards!$C$40:$C$45="Y",V40:V45,10)),IF(Scorecards!$C$40:$C$45="Y",V40:V45,10),0)))</f>
        <v/>
      </c>
      <c r="W46" s="22" t="str">
        <f t="array" ref="W46">IF(OR(SUM(IF(IF(Scorecards!$C$40:$C$45="Y", W40:W45, 10)=MIN(IF(Scorecards!$C$40:$C$45="Y", W40:W45, 10)), 1, 0)) &gt; 1, MIN(IF(Scorecards!$C$40:$C$45="Y", W40:W45, 10)) &gt; W39), "", INDEX(Scorecards!$A$40:$A$45,MATCH(MIN(IF(Scorecards!$C$40:$C$45="Y",W40:W45,10)),IF(Scorecards!$C$40:$C$45="Y",W40:W45,10),0)))</f>
        <v>BK</v>
      </c>
      <c r="X46" s="22" t="str">
        <f t="array" ref="X46">IF(OR(SUM(IF(IF(Scorecards!$C$40:$C$45="Y", X40:X45, 10)=MIN(IF(Scorecards!$C$40:$C$45="Y", X40:X45, 10)), 1, 0)) &gt; 1, MIN(IF(Scorecards!$C$40:$C$45="Y", X40:X45, 10)) &gt; X39), "", INDEX(Scorecards!$A$40:$A$45,MATCH(MIN(IF(Scorecards!$C$40:$C$45="Y",X40:X45,10)),IF(Scorecards!$C$40:$C$45="Y",X40:X45,10),0)))</f>
        <v>SR</v>
      </c>
      <c r="Y46" s="22"/>
      <c r="Z46" s="22"/>
      <c r="AA46" s="22">
        <f>18-COUNTBLANK(G46:X46)</f>
        <v>10</v>
      </c>
      <c r="AB46" s="37">
        <f>IF(AA46 = 0, 0, C46/AA46)</f>
        <v>3</v>
      </c>
    </row>
    <row r="47" ht="12.75" customHeight="1">
      <c r="A47" s="11"/>
      <c r="B47" s="11"/>
      <c r="C47" s="11"/>
      <c r="D47" s="11"/>
      <c r="E47" s="11"/>
      <c r="F47" s="21" t="s">
        <v>14</v>
      </c>
      <c r="G47" s="22"/>
      <c r="H47" s="22"/>
      <c r="I47" s="23" t="s">
        <v>21</v>
      </c>
      <c r="J47" s="22"/>
      <c r="K47" s="22"/>
      <c r="L47" s="22"/>
      <c r="M47" s="22"/>
      <c r="N47" s="22"/>
      <c r="O47" s="22"/>
      <c r="P47" s="22"/>
      <c r="Q47" s="22"/>
      <c r="R47" s="23" t="s">
        <v>22</v>
      </c>
      <c r="S47" s="22"/>
      <c r="T47" s="22"/>
      <c r="U47" s="22"/>
      <c r="V47" s="22"/>
      <c r="W47" s="22"/>
      <c r="X47" s="22"/>
      <c r="Y47" s="11"/>
      <c r="Z47" s="11"/>
      <c r="AA47" s="22">
        <f>COUNTA(G47:Z47)</f>
        <v>2</v>
      </c>
      <c r="AB47" s="37">
        <f>IF(AA47 = 0, 0, D46/AA47)</f>
        <v>30</v>
      </c>
    </row>
  </sheetData>
  <mergeCells count="4">
    <mergeCell ref="F1:Z1"/>
    <mergeCell ref="F13:Z13"/>
    <mergeCell ref="F25:Z25"/>
    <mergeCell ref="F37:Z37"/>
  </mergeCells>
  <conditionalFormatting sqref="G11:X11">
    <cfRule type="expression" dxfId="0" priority="1">
      <formula>G3=3</formula>
    </cfRule>
  </conditionalFormatting>
  <conditionalFormatting sqref="G23:X23">
    <cfRule type="expression" dxfId="0" priority="2">
      <formula>G15=3</formula>
    </cfRule>
  </conditionalFormatting>
  <conditionalFormatting sqref="G35:X35">
    <cfRule type="expression" dxfId="0" priority="3">
      <formula>G27=3</formula>
    </cfRule>
  </conditionalFormatting>
  <conditionalFormatting sqref="G47:X47">
    <cfRule type="expression" dxfId="0" priority="4">
      <formula>G39=3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hidden="1" min="1" max="1" width="0.14"/>
    <col customWidth="1" min="2" max="2" width="12.71"/>
    <col customWidth="1" min="3" max="12" width="8.86"/>
    <col customWidth="1" min="13" max="13" width="4.43"/>
    <col customWidth="1" min="14" max="14" width="2.0"/>
    <col customWidth="1" min="15" max="15" width="11.71"/>
    <col customWidth="1" min="16" max="16" width="2.0"/>
  </cols>
  <sheetData>
    <row r="1" ht="12.75" customHeight="1">
      <c r="A1" s="11"/>
      <c r="B1" s="46" t="s">
        <v>11</v>
      </c>
      <c r="C1" s="47" t="str">
        <f>Scorecards!F1</f>
        <v>GAILES</v>
      </c>
      <c r="D1" s="48"/>
      <c r="E1" s="47" t="str">
        <f>Scorecards!F13</f>
        <v>SERRADELLA</v>
      </c>
      <c r="F1" s="48"/>
      <c r="G1" s="47" t="str">
        <f>Scorecards!F25</f>
        <v>BLACKSHIRE</v>
      </c>
      <c r="H1" s="48"/>
      <c r="I1" s="47" t="str">
        <f>Scorecards!F37</f>
        <v>RED HAWK</v>
      </c>
      <c r="J1" s="48"/>
      <c r="K1" s="47" t="s">
        <v>9</v>
      </c>
      <c r="L1" s="48"/>
      <c r="M1" s="11"/>
      <c r="N1" s="11"/>
      <c r="O1" s="11"/>
      <c r="P1" s="11"/>
    </row>
    <row r="2" ht="12.75" customHeight="1">
      <c r="A2" s="11"/>
      <c r="B2" s="49"/>
      <c r="C2" s="45" t="s">
        <v>28</v>
      </c>
      <c r="D2" s="45" t="s">
        <v>10</v>
      </c>
      <c r="E2" s="45" t="s">
        <v>28</v>
      </c>
      <c r="F2" s="45" t="s">
        <v>10</v>
      </c>
      <c r="G2" s="45" t="s">
        <v>28</v>
      </c>
      <c r="H2" s="45" t="s">
        <v>10</v>
      </c>
      <c r="I2" s="45" t="s">
        <v>28</v>
      </c>
      <c r="J2" s="45" t="s">
        <v>10</v>
      </c>
      <c r="K2" s="50" t="s">
        <v>28</v>
      </c>
      <c r="L2" s="50" t="s">
        <v>10</v>
      </c>
      <c r="M2" s="11"/>
      <c r="N2" s="11"/>
      <c r="O2" s="11"/>
      <c r="P2" s="11"/>
    </row>
    <row r="3" ht="12.75" customHeight="1">
      <c r="A3" s="11">
        <f t="shared" ref="A3:A7" si="2">RANK(L3,L$3:L$7,1)+COUNTIF($L$3:L3,L3)-1</f>
        <v>1</v>
      </c>
      <c r="B3" s="50" t="s">
        <v>29</v>
      </c>
      <c r="C3" s="32">
        <f>Scorecards!AA4</f>
        <v>87</v>
      </c>
      <c r="D3" s="32">
        <f>Scorecards!AB4</f>
        <v>81</v>
      </c>
      <c r="E3" s="32">
        <f>Scorecards!AA16</f>
        <v>84</v>
      </c>
      <c r="F3" s="32">
        <f>Scorecards!AB16</f>
        <v>78</v>
      </c>
      <c r="G3" s="32">
        <f>Scorecards!AA28</f>
        <v>79</v>
      </c>
      <c r="H3" s="32">
        <f>Scorecards!AB28</f>
        <v>73</v>
      </c>
      <c r="I3" s="32">
        <f>Scorecards!AA40</f>
        <v>81</v>
      </c>
      <c r="J3" s="32">
        <f>Scorecards!AB40</f>
        <v>74</v>
      </c>
      <c r="K3" s="51">
        <f t="shared" ref="K3:L3" si="1">SUM(C3,E3,G3,I3)</f>
        <v>331</v>
      </c>
      <c r="L3" s="52">
        <f t="shared" si="1"/>
        <v>306</v>
      </c>
      <c r="M3" s="11"/>
      <c r="N3" s="11">
        <f t="shared" ref="N3:N8" si="4">RANK(L3,$L$3:$L$8,1)+COUNTIF($L$3:L3,L3)-1</f>
        <v>2</v>
      </c>
      <c r="O3" s="11" t="str">
        <f t="shared" ref="O3:O8" si="5">INDEX($B$3:$N$8,MATCH(N3,$N$3:$N$8,0),1)</f>
        <v>Aaron Jensen</v>
      </c>
      <c r="P3" s="11">
        <f t="shared" ref="P3:P8" si="6">RANK(L3,$L$3:$L$8,1)</f>
        <v>2</v>
      </c>
    </row>
    <row r="4" ht="12.75" customHeight="1">
      <c r="A4" s="11">
        <f t="shared" si="2"/>
        <v>5</v>
      </c>
      <c r="B4" s="50" t="s">
        <v>30</v>
      </c>
      <c r="C4" s="32">
        <f>Scorecards!AA5</f>
        <v>96</v>
      </c>
      <c r="D4" s="32">
        <f>Scorecards!AB5</f>
        <v>83</v>
      </c>
      <c r="E4" s="32">
        <f>Scorecards!AA17</f>
        <v>88</v>
      </c>
      <c r="F4" s="32">
        <f>Scorecards!AB17</f>
        <v>76</v>
      </c>
      <c r="G4" s="32">
        <f>Scorecards!AA29</f>
        <v>98</v>
      </c>
      <c r="H4" s="32">
        <f>Scorecards!AB29</f>
        <v>85</v>
      </c>
      <c r="I4" s="32">
        <f>Scorecards!AA41</f>
        <v>100</v>
      </c>
      <c r="J4" s="32">
        <f>Scorecards!AB41</f>
        <v>86</v>
      </c>
      <c r="K4" s="51">
        <f t="shared" ref="K4:L4" si="3">SUM(C4,E4,G4,I4)</f>
        <v>382</v>
      </c>
      <c r="L4" s="52">
        <f t="shared" si="3"/>
        <v>330</v>
      </c>
      <c r="M4" s="11"/>
      <c r="N4" s="11">
        <f t="shared" si="4"/>
        <v>6</v>
      </c>
      <c r="O4" s="11" t="str">
        <f t="shared" si="5"/>
        <v>Bob Bergeron</v>
      </c>
      <c r="P4" s="11">
        <f t="shared" si="6"/>
        <v>6</v>
      </c>
    </row>
    <row r="5" ht="12.75" customHeight="1">
      <c r="A5" s="11">
        <f t="shared" si="2"/>
        <v>3</v>
      </c>
      <c r="B5" s="53" t="s">
        <v>31</v>
      </c>
      <c r="C5" s="32">
        <f>Scorecards!AA6</f>
        <v>101</v>
      </c>
      <c r="D5" s="32">
        <f>Scorecards!AB6</f>
        <v>88</v>
      </c>
      <c r="E5" s="32">
        <f>Scorecards!AA18</f>
        <v>90</v>
      </c>
      <c r="F5" s="32">
        <f>Scorecards!AB18</f>
        <v>77</v>
      </c>
      <c r="G5" s="32">
        <f>Scorecards!AA30</f>
        <v>86</v>
      </c>
      <c r="H5" s="32">
        <f>Scorecards!AB30</f>
        <v>73</v>
      </c>
      <c r="I5" s="32">
        <f>Scorecards!AA42</f>
        <v>99</v>
      </c>
      <c r="J5" s="32">
        <f>Scorecards!AB42</f>
        <v>85</v>
      </c>
      <c r="K5" s="51">
        <f t="shared" ref="K5:L5" si="7">SUM(C5,E5,G5,I5)</f>
        <v>376</v>
      </c>
      <c r="L5" s="52">
        <f t="shared" si="7"/>
        <v>323</v>
      </c>
      <c r="M5" s="11"/>
      <c r="N5" s="11">
        <f t="shared" si="4"/>
        <v>4</v>
      </c>
      <c r="O5" s="11" t="str">
        <f t="shared" si="5"/>
        <v>Brian Kelley</v>
      </c>
      <c r="P5" s="11">
        <f t="shared" si="6"/>
        <v>4</v>
      </c>
    </row>
    <row r="6" ht="12.75" customHeight="1">
      <c r="A6" s="11">
        <f t="shared" si="2"/>
        <v>4</v>
      </c>
      <c r="B6" s="50" t="s">
        <v>32</v>
      </c>
      <c r="C6" s="32">
        <f>Scorecards!AA7</f>
        <v>95</v>
      </c>
      <c r="D6" s="32">
        <f>Scorecards!AB7</f>
        <v>79</v>
      </c>
      <c r="E6" s="32">
        <f>Scorecards!AA19</f>
        <v>100</v>
      </c>
      <c r="F6" s="32">
        <f>Scorecards!AB19</f>
        <v>84</v>
      </c>
      <c r="G6" s="32">
        <f>Scorecards!AA31</f>
        <v>102</v>
      </c>
      <c r="H6" s="32">
        <f>Scorecards!AB31</f>
        <v>85</v>
      </c>
      <c r="I6" s="32">
        <f>Scorecards!AA43</f>
        <v>95</v>
      </c>
      <c r="J6" s="32">
        <f>Scorecards!AB43</f>
        <v>77</v>
      </c>
      <c r="K6" s="51">
        <f t="shared" ref="K6:L6" si="8">SUM(C6,E6,G6,I6)</f>
        <v>392</v>
      </c>
      <c r="L6" s="52">
        <f t="shared" si="8"/>
        <v>325</v>
      </c>
      <c r="M6" s="11"/>
      <c r="N6" s="11">
        <f t="shared" si="4"/>
        <v>5</v>
      </c>
      <c r="O6" s="11" t="str">
        <f t="shared" si="5"/>
        <v>Eric Olson</v>
      </c>
      <c r="P6" s="11">
        <f t="shared" si="6"/>
        <v>5</v>
      </c>
    </row>
    <row r="7" ht="12.75" customHeight="1">
      <c r="A7" s="11">
        <f t="shared" si="2"/>
        <v>2</v>
      </c>
      <c r="B7" s="50" t="s">
        <v>33</v>
      </c>
      <c r="C7" s="32">
        <f>Scorecards!AA8</f>
        <v>86</v>
      </c>
      <c r="D7" s="32">
        <f>Scorecards!AB8</f>
        <v>80</v>
      </c>
      <c r="E7" s="32">
        <f>Scorecards!AA20</f>
        <v>82</v>
      </c>
      <c r="F7" s="32">
        <f>Scorecards!AB20</f>
        <v>76</v>
      </c>
      <c r="G7" s="32">
        <f>Scorecards!AA32</f>
        <v>86</v>
      </c>
      <c r="H7" s="32">
        <f>Scorecards!AB32</f>
        <v>80</v>
      </c>
      <c r="I7" s="32">
        <f>Scorecards!AA44</f>
        <v>80</v>
      </c>
      <c r="J7" s="32">
        <f>Scorecards!AB44</f>
        <v>73</v>
      </c>
      <c r="K7" s="51">
        <f t="shared" ref="K7:L7" si="9">SUM(C7,E7,G7,I7)</f>
        <v>334</v>
      </c>
      <c r="L7" s="52">
        <f t="shared" si="9"/>
        <v>309</v>
      </c>
      <c r="M7" s="11"/>
      <c r="N7" s="11">
        <f t="shared" si="4"/>
        <v>3</v>
      </c>
      <c r="O7" s="11" t="str">
        <f t="shared" si="5"/>
        <v>Scott Rhoades</v>
      </c>
      <c r="P7" s="11">
        <f t="shared" si="6"/>
        <v>3</v>
      </c>
    </row>
    <row r="8" ht="12.75" customHeight="1">
      <c r="A8" s="11"/>
      <c r="B8" s="53" t="s">
        <v>34</v>
      </c>
      <c r="C8" s="32">
        <f>Scorecards!AA9</f>
        <v>104</v>
      </c>
      <c r="D8" s="32">
        <f>Scorecards!AB9</f>
        <v>81</v>
      </c>
      <c r="E8" s="32">
        <f>Scorecards!AA21</f>
        <v>99</v>
      </c>
      <c r="F8" s="32">
        <f>Scorecards!AB21</f>
        <v>77</v>
      </c>
      <c r="G8" s="32">
        <f>Scorecards!AA33</f>
        <v>98</v>
      </c>
      <c r="H8" s="32">
        <f>Scorecards!AB33</f>
        <v>75</v>
      </c>
      <c r="I8" s="32">
        <f>Scorecards!AA45</f>
        <v>95</v>
      </c>
      <c r="J8" s="32">
        <f>Scorecards!AB45</f>
        <v>70</v>
      </c>
      <c r="K8" s="51">
        <f t="shared" ref="K8:L8" si="10">SUM(C8,E8,G8,I8)</f>
        <v>396</v>
      </c>
      <c r="L8" s="52">
        <f t="shared" si="10"/>
        <v>303</v>
      </c>
      <c r="M8" s="11"/>
      <c r="N8" s="11">
        <f t="shared" si="4"/>
        <v>1</v>
      </c>
      <c r="O8" s="11" t="str">
        <f t="shared" si="5"/>
        <v>Jeff Blanton</v>
      </c>
      <c r="P8" s="11">
        <f t="shared" si="6"/>
        <v>1</v>
      </c>
    </row>
  </sheetData>
  <mergeCells count="6">
    <mergeCell ref="B1:B2"/>
    <mergeCell ref="C1:D1"/>
    <mergeCell ref="E1:F1"/>
    <mergeCell ref="G1:H1"/>
    <mergeCell ref="I1:J1"/>
    <mergeCell ref="K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0"/>
    <col customWidth="1" min="2" max="10" width="9.86"/>
    <col customWidth="1" min="11" max="11" width="12.14"/>
    <col customWidth="1" min="12" max="20" width="9.86"/>
    <col customWidth="1" min="21" max="21" width="7.43"/>
  </cols>
  <sheetData>
    <row r="1">
      <c r="A1" s="54"/>
      <c r="B1" s="55" t="s">
        <v>35</v>
      </c>
      <c r="C1" s="13"/>
      <c r="D1" s="13"/>
      <c r="E1" s="13"/>
      <c r="F1" s="13"/>
      <c r="G1" s="13"/>
      <c r="H1" s="13"/>
      <c r="I1" s="13"/>
      <c r="J1" s="56">
        <f>sum(J3:J10)</f>
        <v>0</v>
      </c>
      <c r="K1" s="55"/>
      <c r="L1" s="55" t="s">
        <v>36</v>
      </c>
      <c r="M1" s="13"/>
      <c r="N1" s="13"/>
      <c r="O1" s="13"/>
      <c r="P1" s="13"/>
      <c r="Q1" s="13"/>
      <c r="R1" s="13"/>
      <c r="S1" s="13"/>
      <c r="T1" s="57">
        <f>sum(T3:T10)</f>
        <v>0</v>
      </c>
      <c r="U1" s="58" t="s">
        <v>37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>
      <c r="A2" s="54"/>
      <c r="B2" s="59" t="s">
        <v>17</v>
      </c>
      <c r="C2" s="59" t="s">
        <v>19</v>
      </c>
      <c r="D2" s="59" t="s">
        <v>20</v>
      </c>
      <c r="E2" s="59" t="s">
        <v>21</v>
      </c>
      <c r="F2" s="59" t="s">
        <v>22</v>
      </c>
      <c r="G2" s="59" t="s">
        <v>38</v>
      </c>
      <c r="H2" s="59" t="s">
        <v>39</v>
      </c>
      <c r="I2" s="59" t="s">
        <v>23</v>
      </c>
      <c r="J2" s="59" t="s">
        <v>40</v>
      </c>
      <c r="K2" s="59" t="s">
        <v>41</v>
      </c>
      <c r="L2" s="59" t="s">
        <v>17</v>
      </c>
      <c r="M2" s="59" t="s">
        <v>19</v>
      </c>
      <c r="N2" s="59" t="s">
        <v>20</v>
      </c>
      <c r="O2" s="59" t="s">
        <v>21</v>
      </c>
      <c r="P2" s="59" t="s">
        <v>22</v>
      </c>
      <c r="Q2" s="59" t="s">
        <v>38</v>
      </c>
      <c r="R2" s="59" t="s">
        <v>39</v>
      </c>
      <c r="S2" s="59" t="s">
        <v>23</v>
      </c>
      <c r="T2" s="59" t="s">
        <v>42</v>
      </c>
      <c r="U2" s="60">
        <f>sum(U3:U8)</f>
        <v>0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</row>
    <row r="3">
      <c r="A3" s="61" t="s">
        <v>29</v>
      </c>
      <c r="B3" s="62"/>
      <c r="C3" s="62"/>
      <c r="D3" s="62"/>
      <c r="E3" s="62"/>
      <c r="F3" s="62"/>
      <c r="G3" s="62"/>
      <c r="H3" s="62"/>
      <c r="I3" s="62"/>
      <c r="J3" s="63">
        <f t="shared" ref="J3:J10" si="1">sum(B3:I3)</f>
        <v>0</v>
      </c>
      <c r="K3" s="61" t="s">
        <v>29</v>
      </c>
      <c r="L3" s="62"/>
      <c r="M3" s="62"/>
      <c r="N3" s="62"/>
      <c r="O3" s="62"/>
      <c r="P3" s="62"/>
      <c r="Q3" s="62"/>
      <c r="R3" s="62"/>
      <c r="S3" s="62"/>
      <c r="T3" s="64">
        <f t="shared" ref="T3:T10" si="2">sum(L3:S3)/2</f>
        <v>0</v>
      </c>
      <c r="U3" s="60">
        <f t="shared" ref="U3:U10" si="3">J3+T3</f>
        <v>0</v>
      </c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4">
      <c r="A4" s="65" t="s">
        <v>30</v>
      </c>
      <c r="B4" s="62"/>
      <c r="C4" s="62"/>
      <c r="D4" s="62"/>
      <c r="E4" s="62"/>
      <c r="F4" s="62"/>
      <c r="G4" s="62"/>
      <c r="H4" s="62"/>
      <c r="I4" s="62"/>
      <c r="J4" s="63">
        <f t="shared" si="1"/>
        <v>0</v>
      </c>
      <c r="K4" s="65" t="s">
        <v>30</v>
      </c>
      <c r="L4" s="62"/>
      <c r="M4" s="66"/>
      <c r="N4" s="62"/>
      <c r="O4" s="66"/>
      <c r="P4" s="62"/>
      <c r="Q4" s="66"/>
      <c r="R4" s="66"/>
      <c r="S4" s="66"/>
      <c r="T4" s="64">
        <f t="shared" si="2"/>
        <v>0</v>
      </c>
      <c r="U4" s="60">
        <f t="shared" si="3"/>
        <v>0</v>
      </c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</row>
    <row r="5">
      <c r="A5" s="67" t="s">
        <v>31</v>
      </c>
      <c r="B5" s="62"/>
      <c r="C5" s="62"/>
      <c r="D5" s="62"/>
      <c r="E5" s="62"/>
      <c r="F5" s="62"/>
      <c r="G5" s="62"/>
      <c r="H5" s="62"/>
      <c r="I5" s="62"/>
      <c r="J5" s="63">
        <f t="shared" si="1"/>
        <v>0</v>
      </c>
      <c r="K5" s="67" t="s">
        <v>31</v>
      </c>
      <c r="L5" s="62"/>
      <c r="M5" s="66"/>
      <c r="N5" s="62"/>
      <c r="O5" s="66"/>
      <c r="P5" s="62"/>
      <c r="Q5" s="66"/>
      <c r="R5" s="66"/>
      <c r="S5" s="66"/>
      <c r="T5" s="64">
        <f t="shared" si="2"/>
        <v>0</v>
      </c>
      <c r="U5" s="60">
        <f t="shared" si="3"/>
        <v>0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</row>
    <row r="6">
      <c r="A6" s="65" t="s">
        <v>32</v>
      </c>
      <c r="B6" s="62"/>
      <c r="C6" s="62"/>
      <c r="D6" s="62"/>
      <c r="E6" s="62"/>
      <c r="F6" s="62"/>
      <c r="G6" s="62"/>
      <c r="H6" s="62"/>
      <c r="I6" s="62"/>
      <c r="J6" s="63">
        <f t="shared" si="1"/>
        <v>0</v>
      </c>
      <c r="K6" s="65" t="s">
        <v>32</v>
      </c>
      <c r="L6" s="62"/>
      <c r="M6" s="62"/>
      <c r="N6" s="62"/>
      <c r="O6" s="66"/>
      <c r="P6" s="62"/>
      <c r="Q6" s="62"/>
      <c r="R6" s="62"/>
      <c r="S6" s="62"/>
      <c r="T6" s="64">
        <f t="shared" si="2"/>
        <v>0</v>
      </c>
      <c r="U6" s="60">
        <f t="shared" si="3"/>
        <v>0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</row>
    <row r="7">
      <c r="A7" s="65" t="s">
        <v>33</v>
      </c>
      <c r="B7" s="62"/>
      <c r="C7" s="62"/>
      <c r="D7" s="62"/>
      <c r="E7" s="62"/>
      <c r="F7" s="62"/>
      <c r="G7" s="62"/>
      <c r="H7" s="62"/>
      <c r="I7" s="62"/>
      <c r="J7" s="63">
        <f t="shared" si="1"/>
        <v>0</v>
      </c>
      <c r="K7" s="65" t="s">
        <v>33</v>
      </c>
      <c r="L7" s="62"/>
      <c r="M7" s="66"/>
      <c r="N7" s="62"/>
      <c r="O7" s="66"/>
      <c r="P7" s="66"/>
      <c r="Q7" s="66"/>
      <c r="R7" s="66"/>
      <c r="S7" s="66"/>
      <c r="T7" s="64">
        <f t="shared" si="2"/>
        <v>0</v>
      </c>
      <c r="U7" s="60">
        <f t="shared" si="3"/>
        <v>0</v>
      </c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</row>
    <row r="8">
      <c r="A8" s="65" t="s">
        <v>43</v>
      </c>
      <c r="B8" s="62"/>
      <c r="C8" s="62"/>
      <c r="D8" s="62"/>
      <c r="E8" s="62"/>
      <c r="F8" s="62"/>
      <c r="G8" s="62"/>
      <c r="H8" s="62"/>
      <c r="I8" s="62"/>
      <c r="J8" s="63">
        <f t="shared" si="1"/>
        <v>0</v>
      </c>
      <c r="K8" s="65" t="s">
        <v>43</v>
      </c>
      <c r="L8" s="62"/>
      <c r="M8" s="66"/>
      <c r="N8" s="62"/>
      <c r="O8" s="62"/>
      <c r="P8" s="66"/>
      <c r="Q8" s="66"/>
      <c r="R8" s="66"/>
      <c r="S8" s="66"/>
      <c r="T8" s="64">
        <f t="shared" si="2"/>
        <v>0</v>
      </c>
      <c r="U8" s="60">
        <f t="shared" si="3"/>
        <v>0</v>
      </c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>
      <c r="A9" s="68" t="s">
        <v>44</v>
      </c>
      <c r="B9" s="62"/>
      <c r="C9" s="62"/>
      <c r="D9" s="62"/>
      <c r="E9" s="62"/>
      <c r="F9" s="62"/>
      <c r="G9" s="62"/>
      <c r="H9" s="62"/>
      <c r="I9" s="62"/>
      <c r="J9" s="63">
        <f t="shared" si="1"/>
        <v>0</v>
      </c>
      <c r="K9" s="68" t="s">
        <v>44</v>
      </c>
      <c r="L9" s="62"/>
      <c r="M9" s="66"/>
      <c r="N9" s="62"/>
      <c r="O9" s="66"/>
      <c r="P9" s="66"/>
      <c r="Q9" s="66"/>
      <c r="R9" s="66"/>
      <c r="S9" s="66"/>
      <c r="T9" s="64">
        <f t="shared" si="2"/>
        <v>0</v>
      </c>
      <c r="U9" s="60">
        <f t="shared" si="3"/>
        <v>0</v>
      </c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</row>
    <row r="10">
      <c r="A10" s="69" t="s">
        <v>34</v>
      </c>
      <c r="B10" s="62"/>
      <c r="C10" s="62"/>
      <c r="D10" s="62"/>
      <c r="E10" s="62"/>
      <c r="F10" s="62"/>
      <c r="G10" s="62"/>
      <c r="H10" s="62"/>
      <c r="I10" s="62"/>
      <c r="J10" s="63">
        <f t="shared" si="1"/>
        <v>0</v>
      </c>
      <c r="K10" s="69" t="s">
        <v>34</v>
      </c>
      <c r="L10" s="62"/>
      <c r="M10" s="66"/>
      <c r="N10" s="62"/>
      <c r="O10" s="66"/>
      <c r="P10" s="66"/>
      <c r="Q10" s="66"/>
      <c r="R10" s="66"/>
      <c r="S10" s="66"/>
      <c r="T10" s="64">
        <f t="shared" si="2"/>
        <v>0</v>
      </c>
      <c r="U10" s="60">
        <f t="shared" si="3"/>
        <v>0</v>
      </c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</row>
    <row r="11">
      <c r="A11" s="54"/>
      <c r="B11" s="66">
        <f t="shared" ref="B11:I11" si="4">SUM(B3:B10)</f>
        <v>0</v>
      </c>
      <c r="C11" s="66">
        <f t="shared" si="4"/>
        <v>0</v>
      </c>
      <c r="D11" s="66">
        <f t="shared" si="4"/>
        <v>0</v>
      </c>
      <c r="E11" s="66">
        <f t="shared" si="4"/>
        <v>0</v>
      </c>
      <c r="F11" s="66">
        <f t="shared" si="4"/>
        <v>0</v>
      </c>
      <c r="G11" s="66">
        <f t="shared" si="4"/>
        <v>0</v>
      </c>
      <c r="H11" s="66">
        <f t="shared" si="4"/>
        <v>0</v>
      </c>
      <c r="I11" s="66">
        <f t="shared" si="4"/>
        <v>0</v>
      </c>
      <c r="J11" s="70"/>
      <c r="K11" s="70"/>
      <c r="L11" s="66">
        <f t="shared" ref="L11:S11" si="5">SUM(L3:L10)</f>
        <v>0</v>
      </c>
      <c r="M11" s="66">
        <f t="shared" si="5"/>
        <v>0</v>
      </c>
      <c r="N11" s="66">
        <f t="shared" si="5"/>
        <v>0</v>
      </c>
      <c r="O11" s="66">
        <f t="shared" si="5"/>
        <v>0</v>
      </c>
      <c r="P11" s="66">
        <f t="shared" si="5"/>
        <v>0</v>
      </c>
      <c r="Q11" s="66">
        <f t="shared" si="5"/>
        <v>0</v>
      </c>
      <c r="R11" s="66">
        <f t="shared" si="5"/>
        <v>0</v>
      </c>
      <c r="S11" s="66">
        <f t="shared" si="5"/>
        <v>0</v>
      </c>
      <c r="T11" s="70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</row>
    <row r="12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</row>
    <row r="13">
      <c r="A13" s="74" t="s">
        <v>45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</row>
    <row r="14">
      <c r="A14" s="75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</row>
    <row r="15">
      <c r="A15" s="54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>
      <c r="A16" s="76" t="s">
        <v>46</v>
      </c>
      <c r="B16" s="62">
        <f>SUM(B3:I10)</f>
        <v>0</v>
      </c>
      <c r="C16" s="62"/>
      <c r="D16" s="62" t="s">
        <v>47</v>
      </c>
      <c r="E16" s="62">
        <f>SUM(L3:S10)</f>
        <v>0</v>
      </c>
      <c r="F16" s="77"/>
      <c r="G16" s="77"/>
      <c r="H16" s="77"/>
      <c r="I16" s="77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</row>
    <row r="17">
      <c r="A17" s="76" t="s">
        <v>48</v>
      </c>
      <c r="B17" s="62" t="str">
        <f>if($A$14=B2,B11,if($A$14=C2,C11,if($A$14=D2,D11,if($A$14=E2,E11,if($A$14=F2,F11,if($A$14=G2,G11,if($A$14=H2,H11,if($A$14=I2,I11,"TBD"))))))))</f>
        <v>TBD</v>
      </c>
      <c r="C17" s="62"/>
      <c r="D17" s="62" t="s">
        <v>48</v>
      </c>
      <c r="E17" s="62" t="str">
        <f>if($A$14=L2,L11,if($A$14=M2,M11,if($A$14=N2,N11,if($A$14=O2,O11,if($A$14=P2,P11,if($A$14=Q2,Q11,if($A$14=R2,R11,if($A$14=S2,S11,"TBD"))))))))</f>
        <v>TBD</v>
      </c>
      <c r="F17" s="70"/>
      <c r="G17" s="70"/>
      <c r="H17" s="70"/>
      <c r="I17" s="70"/>
      <c r="J17" s="70"/>
      <c r="K17" s="70"/>
      <c r="L17" s="77"/>
      <c r="M17" s="70"/>
      <c r="N17" s="70"/>
      <c r="O17" s="70"/>
      <c r="P17" s="70"/>
      <c r="Q17" s="70"/>
      <c r="R17" s="70"/>
      <c r="S17" s="70"/>
      <c r="T17" s="70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>
      <c r="A18" s="76" t="s">
        <v>49</v>
      </c>
      <c r="B18" s="78" t="str">
        <f>if($B$17=0,0,B16/B17)</f>
        <v>#VALUE!</v>
      </c>
      <c r="C18" s="62"/>
      <c r="D18" s="62" t="s">
        <v>49</v>
      </c>
      <c r="E18" s="78" t="str">
        <f>if($E$17=0,0,(E16/E17)*0.5)</f>
        <v>#VALUE!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</row>
    <row r="19">
      <c r="A19" s="61"/>
      <c r="B19" s="62" t="s">
        <v>50</v>
      </c>
      <c r="C19" s="78" t="s">
        <v>51</v>
      </c>
      <c r="D19" s="62" t="s">
        <v>50</v>
      </c>
      <c r="E19" s="62" t="s">
        <v>51</v>
      </c>
      <c r="F19" s="70"/>
      <c r="G19" s="70"/>
      <c r="H19" s="70"/>
      <c r="I19" s="70"/>
      <c r="J19" s="70"/>
      <c r="K19" s="79"/>
      <c r="L19" s="77"/>
      <c r="M19" s="70"/>
      <c r="N19" s="70"/>
      <c r="O19" s="70"/>
      <c r="P19" s="70"/>
      <c r="Q19" s="70"/>
      <c r="R19" s="70"/>
      <c r="S19" s="70"/>
      <c r="T19" s="70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>
      <c r="A20" s="61" t="s">
        <v>29</v>
      </c>
      <c r="B20" s="62">
        <f t="shared" ref="B20:B27" si="6">if($A$14="",0,if($A$14=B$2,(vlookup(A20,$A$3:$I$10,2,FALSE)),if($A$14=C$2,(vlookup(A20,$A$3:$I$10,3,FALSE)),if($A$14=D$2,(vlookup(A20,$A$3:$I$10,4,FALSE)),if($A$14=E$2,(vlookup(A20,$A$3:$I$10,5,FALSE)),if($A$14=F$2,(vlookup(A20,$A$3:$I$10,6,FALSE)),if($A$14=G$2,(vlookup(A20,$A$3:$I$10,7,FALSE)),if($A$14=H$2,(vlookup(A20,$A$3:$I$10,8,FALSE)),if($A$14=I$2,(vlookup(A20,$A$3:$I$10,9,FALSE)),0)))))))))</f>
        <v>0</v>
      </c>
      <c r="C20" s="78" t="str">
        <f t="shared" ref="C20:C27" si="7">B20*$B$18</f>
        <v>#VALUE!</v>
      </c>
      <c r="D20" s="80" t="str">
        <f t="shared" ref="D20:D27" si="8">if($A$14="","",if($A$14=L$2,(vlookup($A20,$K$3:$S$10,2,FALSE)),if($A$14=M$2,(vlookup($A20,$K$3:$S$10,3,FALSE)),if($A$14=N$2,(vlookup($A20,$K$3:$S$10,4,FALSE)),if($A$14=O$2,(vlookup($A20,$K$3:$S$10,5,FALSE)),if($A$14=P$2,(vlookup($A20,$K$3:$S$10,6,FALSE)),if($A$14=Q$2,(vlookup($A20,$K$3:$S$10,7,FALSE)),if($A$14=R$2,(vlookup($A20,$K$3:$S$10,8,FALSE)), if($A$14=S$2,(vlookup($A20,$K$3:$S$10,9,FALSE)))))))))))</f>
        <v/>
      </c>
      <c r="E20" s="62" t="str">
        <f t="shared" ref="E20:E27" si="9">D20*$E$18</f>
        <v>#VALUE!</v>
      </c>
      <c r="F20" s="70"/>
      <c r="G20" s="70"/>
      <c r="H20" s="70"/>
      <c r="I20" s="70"/>
      <c r="J20" s="70"/>
      <c r="K20" s="79"/>
      <c r="L20" s="77"/>
      <c r="M20" s="70"/>
      <c r="N20" s="70"/>
      <c r="O20" s="70"/>
      <c r="P20" s="70"/>
      <c r="Q20" s="70"/>
      <c r="R20" s="70"/>
      <c r="S20" s="70"/>
      <c r="T20" s="70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  <row r="21">
      <c r="A21" s="65" t="s">
        <v>30</v>
      </c>
      <c r="B21" s="62">
        <f t="shared" si="6"/>
        <v>0</v>
      </c>
      <c r="C21" s="78" t="str">
        <f t="shared" si="7"/>
        <v>#VALUE!</v>
      </c>
      <c r="D21" s="80" t="str">
        <f t="shared" si="8"/>
        <v/>
      </c>
      <c r="E21" s="62" t="str">
        <f t="shared" si="9"/>
        <v>#VALUE!</v>
      </c>
      <c r="F21" s="70"/>
      <c r="G21" s="70"/>
      <c r="H21" s="70"/>
      <c r="I21" s="70"/>
      <c r="J21" s="70"/>
      <c r="K21" s="81"/>
      <c r="L21" s="77"/>
      <c r="M21" s="70"/>
      <c r="N21" s="70"/>
      <c r="O21" s="70"/>
      <c r="P21" s="70"/>
      <c r="Q21" s="70"/>
      <c r="R21" s="70"/>
      <c r="S21" s="70"/>
      <c r="T21" s="70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</row>
    <row r="22">
      <c r="A22" s="67" t="s">
        <v>31</v>
      </c>
      <c r="B22" s="62">
        <f t="shared" si="6"/>
        <v>0</v>
      </c>
      <c r="C22" s="78" t="str">
        <f t="shared" si="7"/>
        <v>#VALUE!</v>
      </c>
      <c r="D22" s="80" t="str">
        <f t="shared" si="8"/>
        <v/>
      </c>
      <c r="E22" s="62" t="str">
        <f t="shared" si="9"/>
        <v>#VALUE!</v>
      </c>
      <c r="F22" s="77"/>
      <c r="G22" s="70"/>
      <c r="H22" s="70"/>
      <c r="I22" s="70"/>
      <c r="J22" s="70"/>
      <c r="K22" s="82"/>
      <c r="L22" s="77"/>
      <c r="M22" s="70"/>
      <c r="N22" s="70"/>
      <c r="O22" s="70"/>
      <c r="P22" s="70"/>
      <c r="Q22" s="70"/>
      <c r="R22" s="70"/>
      <c r="S22" s="70"/>
      <c r="T22" s="70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</row>
    <row r="23">
      <c r="A23" s="65" t="s">
        <v>32</v>
      </c>
      <c r="B23" s="62">
        <f t="shared" si="6"/>
        <v>0</v>
      </c>
      <c r="C23" s="78" t="str">
        <f t="shared" si="7"/>
        <v>#VALUE!</v>
      </c>
      <c r="D23" s="80" t="str">
        <f t="shared" si="8"/>
        <v/>
      </c>
      <c r="E23" s="62" t="str">
        <f t="shared" si="9"/>
        <v>#VALUE!</v>
      </c>
      <c r="F23" s="70"/>
      <c r="G23" s="70"/>
      <c r="H23" s="70"/>
      <c r="I23" s="70"/>
      <c r="J23" s="70"/>
      <c r="K23" s="81"/>
      <c r="L23" s="77"/>
      <c r="M23" s="70"/>
      <c r="N23" s="70"/>
      <c r="O23" s="70"/>
      <c r="P23" s="70"/>
      <c r="Q23" s="70"/>
      <c r="R23" s="70"/>
      <c r="S23" s="70"/>
      <c r="T23" s="70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>
      <c r="A24" s="65" t="s">
        <v>33</v>
      </c>
      <c r="B24" s="62">
        <f t="shared" si="6"/>
        <v>0</v>
      </c>
      <c r="C24" s="78" t="str">
        <f t="shared" si="7"/>
        <v>#VALUE!</v>
      </c>
      <c r="D24" s="80" t="str">
        <f t="shared" si="8"/>
        <v/>
      </c>
      <c r="E24" s="62" t="str">
        <f t="shared" si="9"/>
        <v>#VALUE!</v>
      </c>
      <c r="F24" s="70"/>
      <c r="G24" s="70"/>
      <c r="H24" s="70"/>
      <c r="I24" s="70"/>
      <c r="J24" s="70"/>
      <c r="K24" s="81"/>
      <c r="L24" s="77"/>
      <c r="M24" s="70"/>
      <c r="N24" s="70"/>
      <c r="O24" s="70"/>
      <c r="P24" s="70"/>
      <c r="Q24" s="70"/>
      <c r="R24" s="70"/>
      <c r="S24" s="70"/>
      <c r="T24" s="70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</row>
    <row r="25">
      <c r="A25" s="65" t="s">
        <v>43</v>
      </c>
      <c r="B25" s="62">
        <f t="shared" si="6"/>
        <v>0</v>
      </c>
      <c r="C25" s="78" t="str">
        <f t="shared" si="7"/>
        <v>#VALUE!</v>
      </c>
      <c r="D25" s="80" t="str">
        <f t="shared" si="8"/>
        <v/>
      </c>
      <c r="E25" s="62" t="str">
        <f t="shared" si="9"/>
        <v>#VALUE!</v>
      </c>
      <c r="F25" s="70"/>
      <c r="G25" s="70"/>
      <c r="H25" s="70"/>
      <c r="I25" s="70"/>
      <c r="J25" s="70"/>
      <c r="K25" s="81"/>
      <c r="L25" s="77"/>
      <c r="M25" s="70"/>
      <c r="N25" s="70"/>
      <c r="O25" s="70"/>
      <c r="P25" s="70"/>
      <c r="Q25" s="70"/>
      <c r="R25" s="70"/>
      <c r="S25" s="70"/>
      <c r="T25" s="70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</row>
    <row r="26">
      <c r="A26" s="68" t="s">
        <v>44</v>
      </c>
      <c r="B26" s="62">
        <f t="shared" si="6"/>
        <v>0</v>
      </c>
      <c r="C26" s="78" t="str">
        <f t="shared" si="7"/>
        <v>#VALUE!</v>
      </c>
      <c r="D26" s="80" t="str">
        <f t="shared" si="8"/>
        <v/>
      </c>
      <c r="E26" s="62" t="str">
        <f t="shared" si="9"/>
        <v>#VALUE!</v>
      </c>
      <c r="F26" s="70"/>
      <c r="G26" s="70"/>
      <c r="H26" s="70"/>
      <c r="I26" s="70"/>
      <c r="J26" s="70"/>
      <c r="K26" s="83"/>
      <c r="L26" s="77"/>
      <c r="M26" s="70"/>
      <c r="N26" s="70"/>
      <c r="O26" s="70"/>
      <c r="P26" s="70"/>
      <c r="Q26" s="70"/>
      <c r="R26" s="70"/>
      <c r="S26" s="70"/>
      <c r="T26" s="70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</row>
    <row r="27">
      <c r="A27" s="69" t="s">
        <v>34</v>
      </c>
      <c r="B27" s="62">
        <f t="shared" si="6"/>
        <v>0</v>
      </c>
      <c r="C27" s="78" t="str">
        <f t="shared" si="7"/>
        <v>#VALUE!</v>
      </c>
      <c r="D27" s="80" t="str">
        <f t="shared" si="8"/>
        <v/>
      </c>
      <c r="E27" s="62" t="str">
        <f t="shared" si="9"/>
        <v>#VALUE!</v>
      </c>
      <c r="F27" s="70"/>
      <c r="G27" s="70"/>
      <c r="H27" s="70"/>
      <c r="I27" s="70"/>
      <c r="J27" s="70"/>
      <c r="K27" s="84"/>
      <c r="L27" s="77"/>
      <c r="M27" s="70"/>
      <c r="N27" s="70"/>
      <c r="O27" s="70"/>
      <c r="P27" s="70"/>
      <c r="Q27" s="70"/>
      <c r="R27" s="70"/>
      <c r="S27" s="70"/>
      <c r="T27" s="70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</row>
    <row r="28">
      <c r="A28" s="81"/>
      <c r="B28" s="85"/>
      <c r="C28" s="70"/>
      <c r="D28" s="86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</row>
    <row r="29">
      <c r="A29" s="79"/>
      <c r="B29" s="85"/>
      <c r="C29" s="70"/>
      <c r="D29" s="86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</row>
    <row r="30">
      <c r="A30" s="81"/>
      <c r="B30" s="85"/>
      <c r="C30" s="70"/>
      <c r="D30" s="86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</row>
    <row r="31">
      <c r="A31" s="81"/>
      <c r="B31" s="85"/>
      <c r="C31" s="70"/>
      <c r="D31" s="86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</row>
    <row r="32">
      <c r="A32" s="81"/>
      <c r="B32" s="85"/>
      <c r="C32" s="70"/>
      <c r="D32" s="86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</row>
    <row r="33">
      <c r="A33" s="54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>
      <c r="A34" s="54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</row>
    <row r="35">
      <c r="A35" s="54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</row>
    <row r="36">
      <c r="A36" s="54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</row>
    <row r="37">
      <c r="A37" s="54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</row>
    <row r="38">
      <c r="A38" s="54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</row>
    <row r="39">
      <c r="A39" s="54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</row>
    <row r="40">
      <c r="A40" s="54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</row>
    <row r="41">
      <c r="A41" s="54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>
      <c r="A42" s="54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>
      <c r="A43" s="54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</row>
    <row r="44">
      <c r="A44" s="54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>
      <c r="A45" s="54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</row>
    <row r="46">
      <c r="A46" s="54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</row>
    <row r="47">
      <c r="A47" s="54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</row>
    <row r="48">
      <c r="A48" s="54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</row>
    <row r="49">
      <c r="A49" s="54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</row>
    <row r="50">
      <c r="A50" s="54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</row>
    <row r="51">
      <c r="A51" s="54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</row>
    <row r="52">
      <c r="A52" s="54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>
      <c r="A53" s="54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</row>
    <row r="54">
      <c r="A54" s="54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</row>
    <row r="55">
      <c r="A55" s="54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</row>
    <row r="56">
      <c r="A56" s="54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</row>
    <row r="57">
      <c r="A57" s="54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>
      <c r="A58" s="54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</row>
    <row r="59">
      <c r="A59" s="54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>
      <c r="A60" s="54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>
      <c r="A61" s="54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>
      <c r="A62" s="54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</row>
    <row r="63">
      <c r="A63" s="54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</row>
    <row r="64">
      <c r="A64" s="54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>
      <c r="A65" s="54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</row>
    <row r="66">
      <c r="A66" s="54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</row>
    <row r="67">
      <c r="A67" s="54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  <row r="68">
      <c r="A68" s="54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</row>
    <row r="69">
      <c r="A69" s="54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</row>
    <row r="70">
      <c r="A70" s="54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</row>
    <row r="71">
      <c r="A71" s="54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</row>
    <row r="72">
      <c r="A72" s="54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>
      <c r="A73" s="54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>
      <c r="A74" s="54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>
      <c r="A75" s="54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>
      <c r="A76" s="54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>
      <c r="A77" s="54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>
      <c r="A78" s="54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</row>
    <row r="79">
      <c r="A79" s="54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</row>
    <row r="80">
      <c r="A80" s="54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>
      <c r="A81" s="54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</row>
    <row r="82">
      <c r="A82" s="54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</row>
    <row r="83">
      <c r="A83" s="54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</row>
    <row r="84">
      <c r="A84" s="54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</row>
    <row r="85">
      <c r="A85" s="54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</row>
    <row r="86">
      <c r="A86" s="54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</row>
    <row r="87">
      <c r="A87" s="54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</row>
    <row r="88">
      <c r="A88" s="54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</row>
    <row r="89">
      <c r="A89" s="54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</row>
    <row r="90">
      <c r="A90" s="54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</row>
    <row r="91">
      <c r="A91" s="54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</row>
    <row r="92">
      <c r="A92" s="54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</row>
    <row r="93">
      <c r="A93" s="54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</row>
    <row r="94">
      <c r="A94" s="54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</row>
    <row r="95">
      <c r="A95" s="54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</row>
    <row r="96">
      <c r="A96" s="54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</row>
    <row r="97">
      <c r="A97" s="54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>
      <c r="A98" s="54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>
      <c r="A99" s="54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>
      <c r="A100" s="54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</row>
    <row r="101">
      <c r="A101" s="54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02">
      <c r="A102" s="54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  <row r="103">
      <c r="A103" s="54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</row>
    <row r="104">
      <c r="A104" s="54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>
      <c r="A105" s="54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</row>
    <row r="106">
      <c r="A106" s="54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>
      <c r="A107" s="54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>
      <c r="A108" s="54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>
      <c r="A109" s="54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>
      <c r="A110" s="54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>
      <c r="A111" s="54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>
      <c r="A112" s="54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>
      <c r="A113" s="54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>
      <c r="A114" s="54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>
      <c r="A115" s="54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>
      <c r="A116" s="54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>
      <c r="A117" s="54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>
      <c r="A118" s="54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>
      <c r="A119" s="54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>
      <c r="A120" s="54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>
      <c r="A121" s="54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>
      <c r="A122" s="54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>
      <c r="A123" s="54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>
      <c r="A124" s="54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>
      <c r="A125" s="54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>
      <c r="A126" s="54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>
      <c r="A127" s="54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>
      <c r="A128" s="54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>
      <c r="A129" s="54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>
      <c r="A130" s="54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>
      <c r="A131" s="54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>
      <c r="A132" s="54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>
      <c r="A133" s="54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>
      <c r="A134" s="54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>
      <c r="A135" s="54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>
      <c r="A136" s="54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>
      <c r="A137" s="54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>
      <c r="A138" s="54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>
      <c r="A139" s="54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>
      <c r="A140" s="54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>
      <c r="A141" s="54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>
      <c r="A142" s="54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>
      <c r="A143" s="54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>
      <c r="A144" s="54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>
      <c r="A145" s="54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>
      <c r="A146" s="54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>
      <c r="A147" s="54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>
      <c r="A148" s="54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>
      <c r="A149" s="54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>
      <c r="A150" s="54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>
      <c r="A151" s="54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>
      <c r="A152" s="54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>
      <c r="A153" s="54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>
      <c r="A154" s="54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>
      <c r="A155" s="54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>
      <c r="A156" s="54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>
      <c r="A157" s="54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>
      <c r="A158" s="54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>
      <c r="A159" s="54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>
      <c r="A160" s="54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>
      <c r="A161" s="54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>
      <c r="A162" s="54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>
      <c r="A163" s="54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>
      <c r="A164" s="54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>
      <c r="A165" s="54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</row>
    <row r="166">
      <c r="A166" s="54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>
      <c r="A167" s="54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>
      <c r="A168" s="54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>
      <c r="A169" s="54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>
      <c r="A170" s="54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</row>
    <row r="171">
      <c r="A171" s="54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>
      <c r="A172" s="54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>
      <c r="A173" s="54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>
      <c r="A174" s="54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>
      <c r="A175" s="54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>
      <c r="A176" s="54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>
      <c r="A177" s="54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>
      <c r="A178" s="54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>
      <c r="A179" s="54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>
      <c r="A180" s="54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>
      <c r="A181" s="54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>
      <c r="A182" s="54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>
      <c r="A183" s="54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>
      <c r="A184" s="54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</row>
    <row r="185">
      <c r="A185" s="54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>
      <c r="A186" s="54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</row>
    <row r="187">
      <c r="A187" s="54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</row>
    <row r="188">
      <c r="A188" s="54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>
      <c r="A189" s="54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>
      <c r="A190" s="54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>
      <c r="A191" s="54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>
      <c r="A192" s="54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</row>
    <row r="193">
      <c r="A193" s="54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>
      <c r="A194" s="54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>
      <c r="A195" s="54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>
      <c r="A196" s="54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>
      <c r="A197" s="54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>
      <c r="A198" s="54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>
      <c r="A199" s="54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>
      <c r="A200" s="54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>
      <c r="A201" s="54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>
      <c r="A202" s="54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</row>
    <row r="203">
      <c r="A203" s="54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</row>
    <row r="204">
      <c r="A204" s="54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</row>
    <row r="205">
      <c r="A205" s="54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</row>
    <row r="206">
      <c r="A206" s="54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</row>
    <row r="207">
      <c r="A207" s="54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>
      <c r="A208" s="54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>
      <c r="A209" s="54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>
      <c r="A210" s="54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>
      <c r="A211" s="54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>
      <c r="A212" s="54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>
      <c r="A213" s="54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>
      <c r="A214" s="54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>
      <c r="A215" s="54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>
      <c r="A216" s="54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>
      <c r="A217" s="54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>
      <c r="A218" s="54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>
      <c r="A219" s="54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>
      <c r="A220" s="54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>
      <c r="A221" s="54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>
      <c r="A222" s="54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>
      <c r="A223" s="54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>
      <c r="A224" s="54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>
      <c r="A225" s="54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>
      <c r="A226" s="54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>
      <c r="A227" s="54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>
      <c r="A228" s="54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>
      <c r="A229" s="54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>
      <c r="A230" s="54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>
      <c r="A231" s="54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>
      <c r="A232" s="54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>
      <c r="A233" s="54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>
      <c r="A234" s="54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>
      <c r="A235" s="54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>
      <c r="A236" s="54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>
      <c r="A237" s="54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>
      <c r="A238" s="54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>
      <c r="A239" s="54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>
      <c r="A240" s="54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>
      <c r="A241" s="54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>
      <c r="A242" s="54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>
      <c r="A243" s="54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>
      <c r="A244" s="54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>
      <c r="A245" s="54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>
      <c r="A246" s="54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>
      <c r="A247" s="54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>
      <c r="A248" s="54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>
      <c r="A249" s="54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>
      <c r="A250" s="54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>
      <c r="A251" s="54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>
      <c r="A252" s="54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>
      <c r="A253" s="54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>
      <c r="A254" s="54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>
      <c r="A255" s="54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>
      <c r="A256" s="54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>
      <c r="A257" s="54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>
      <c r="A258" s="54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>
      <c r="A259" s="54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>
      <c r="A260" s="54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>
      <c r="A261" s="54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>
      <c r="A262" s="54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>
      <c r="A263" s="54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>
      <c r="A264" s="54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>
      <c r="A265" s="54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>
      <c r="A266" s="54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>
      <c r="A267" s="54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>
      <c r="A268" s="54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>
      <c r="A269" s="54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>
      <c r="A270" s="54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>
      <c r="A271" s="54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>
      <c r="A272" s="54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>
      <c r="A273" s="54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>
      <c r="A274" s="54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>
      <c r="A275" s="54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>
      <c r="A276" s="54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>
      <c r="A277" s="54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>
      <c r="A278" s="54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>
      <c r="A279" s="54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>
      <c r="A280" s="54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>
      <c r="A281" s="54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>
      <c r="A282" s="54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>
      <c r="A283" s="54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>
      <c r="A284" s="54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>
      <c r="A285" s="54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>
      <c r="A286" s="54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>
      <c r="A287" s="54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>
      <c r="A288" s="54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>
      <c r="A289" s="54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>
      <c r="A290" s="54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>
      <c r="A291" s="54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>
      <c r="A292" s="54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>
      <c r="A293" s="54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>
      <c r="A294" s="54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>
      <c r="A295" s="54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>
      <c r="A296" s="54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>
      <c r="A297" s="54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>
      <c r="A298" s="54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>
      <c r="A299" s="54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>
      <c r="A300" s="54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>
      <c r="A301" s="54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>
      <c r="A302" s="54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>
      <c r="A303" s="54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>
      <c r="A304" s="54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>
      <c r="A305" s="54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>
      <c r="A306" s="54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>
      <c r="A307" s="54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>
      <c r="A308" s="54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>
      <c r="A309" s="54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>
      <c r="A310" s="54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>
      <c r="A311" s="54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>
      <c r="A312" s="54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>
      <c r="A313" s="54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>
      <c r="A314" s="54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>
      <c r="A315" s="54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>
      <c r="A316" s="54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>
      <c r="A317" s="54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>
      <c r="A318" s="54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>
      <c r="A319" s="54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>
      <c r="A320" s="54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>
      <c r="A321" s="54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>
      <c r="A322" s="54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>
      <c r="A323" s="54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>
      <c r="A324" s="54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>
      <c r="A325" s="54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>
      <c r="A326" s="54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>
      <c r="A327" s="54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>
      <c r="A328" s="54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>
      <c r="A329" s="54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>
      <c r="A330" s="54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>
      <c r="A331" s="54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>
      <c r="A332" s="54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>
      <c r="A333" s="54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>
      <c r="A334" s="54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>
      <c r="A335" s="54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>
      <c r="A336" s="54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>
      <c r="A337" s="54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>
      <c r="A338" s="54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>
      <c r="A339" s="54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>
      <c r="A340" s="54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>
      <c r="A341" s="54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>
      <c r="A342" s="54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>
      <c r="A343" s="54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>
      <c r="A344" s="54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>
      <c r="A345" s="54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>
      <c r="A346" s="54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>
      <c r="A347" s="54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>
      <c r="A348" s="54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>
      <c r="A349" s="54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>
      <c r="A350" s="54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>
      <c r="A351" s="54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>
      <c r="A352" s="54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>
      <c r="A353" s="54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>
      <c r="A354" s="54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>
      <c r="A355" s="54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>
      <c r="A356" s="54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>
      <c r="A357" s="54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>
      <c r="A358" s="54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>
      <c r="A359" s="54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</row>
    <row r="360">
      <c r="A360" s="54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</row>
    <row r="361">
      <c r="A361" s="54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</row>
    <row r="362">
      <c r="A362" s="54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</row>
    <row r="363">
      <c r="A363" s="54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</row>
    <row r="364">
      <c r="A364" s="54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</row>
    <row r="365">
      <c r="A365" s="54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>
      <c r="A366" s="54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</row>
    <row r="367">
      <c r="A367" s="54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</row>
    <row r="368">
      <c r="A368" s="54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</row>
    <row r="369">
      <c r="A369" s="54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</row>
    <row r="370">
      <c r="A370" s="54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</row>
    <row r="371">
      <c r="A371" s="54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</row>
    <row r="372">
      <c r="A372" s="54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</row>
    <row r="373">
      <c r="A373" s="54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>
      <c r="A374" s="54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</row>
    <row r="375">
      <c r="A375" s="54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</row>
    <row r="376">
      <c r="A376" s="54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</row>
    <row r="377">
      <c r="A377" s="54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</row>
    <row r="378">
      <c r="A378" s="54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</row>
    <row r="379">
      <c r="A379" s="54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</row>
    <row r="380">
      <c r="A380" s="54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</row>
    <row r="381">
      <c r="A381" s="54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</row>
    <row r="382">
      <c r="A382" s="54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>
      <c r="A383" s="54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</row>
    <row r="384">
      <c r="A384" s="54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</row>
    <row r="385">
      <c r="A385" s="54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</row>
    <row r="386">
      <c r="A386" s="54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</row>
    <row r="387">
      <c r="A387" s="54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</row>
    <row r="388">
      <c r="A388" s="54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</row>
    <row r="389">
      <c r="A389" s="54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</row>
    <row r="390">
      <c r="A390" s="54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>
      <c r="A391" s="54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</row>
    <row r="392">
      <c r="A392" s="54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</row>
    <row r="393">
      <c r="A393" s="54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>
      <c r="A394" s="54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>
      <c r="A395" s="54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</row>
    <row r="396">
      <c r="A396" s="54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</row>
    <row r="397">
      <c r="A397" s="54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</row>
    <row r="398">
      <c r="A398" s="54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</row>
    <row r="399">
      <c r="A399" s="54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</row>
    <row r="400">
      <c r="A400" s="54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</row>
    <row r="401">
      <c r="A401" s="54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>
      <c r="A402" s="54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>
      <c r="A403" s="54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</row>
    <row r="404">
      <c r="A404" s="54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>
      <c r="A405" s="54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>
      <c r="A406" s="54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>
      <c r="A407" s="54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</row>
    <row r="408">
      <c r="A408" s="54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</row>
    <row r="409">
      <c r="A409" s="54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</row>
    <row r="410">
      <c r="A410" s="54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</row>
    <row r="411">
      <c r="A411" s="54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</row>
    <row r="412">
      <c r="A412" s="54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</row>
    <row r="413">
      <c r="A413" s="54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</row>
    <row r="414">
      <c r="A414" s="54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</row>
    <row r="415">
      <c r="A415" s="54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>
      <c r="A416" s="54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</row>
    <row r="417">
      <c r="A417" s="54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>
      <c r="A418" s="54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>
      <c r="A419" s="54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</row>
    <row r="420">
      <c r="A420" s="54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</row>
    <row r="421">
      <c r="A421" s="54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</row>
    <row r="422">
      <c r="A422" s="54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</row>
    <row r="423">
      <c r="A423" s="54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</row>
    <row r="424">
      <c r="A424" s="54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</row>
    <row r="425">
      <c r="A425" s="54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</row>
    <row r="426">
      <c r="A426" s="54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</row>
    <row r="427">
      <c r="A427" s="54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</row>
    <row r="428">
      <c r="A428" s="54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</row>
    <row r="429">
      <c r="A429" s="54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</row>
    <row r="430">
      <c r="A430" s="54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</row>
    <row r="431">
      <c r="A431" s="54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</row>
    <row r="432">
      <c r="A432" s="54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</row>
    <row r="433">
      <c r="A433" s="54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>
      <c r="A434" s="54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</row>
    <row r="435">
      <c r="A435" s="54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</row>
    <row r="436">
      <c r="A436" s="54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</row>
    <row r="437">
      <c r="A437" s="54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</row>
    <row r="438">
      <c r="A438" s="54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</row>
    <row r="439">
      <c r="A439" s="54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</row>
    <row r="440">
      <c r="A440" s="54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</row>
    <row r="441">
      <c r="A441" s="54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</row>
    <row r="442">
      <c r="A442" s="54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</row>
    <row r="443">
      <c r="A443" s="54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</row>
    <row r="444">
      <c r="A444" s="54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</row>
    <row r="445">
      <c r="A445" s="54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</row>
    <row r="446">
      <c r="A446" s="54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</row>
    <row r="447">
      <c r="A447" s="54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</row>
    <row r="448">
      <c r="A448" s="54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</row>
    <row r="449">
      <c r="A449" s="54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</row>
    <row r="450">
      <c r="A450" s="54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</row>
    <row r="451">
      <c r="A451" s="54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</row>
    <row r="452">
      <c r="A452" s="54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</row>
    <row r="453">
      <c r="A453" s="54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</row>
    <row r="454">
      <c r="A454" s="54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</row>
    <row r="455">
      <c r="A455" s="54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</row>
    <row r="456">
      <c r="A456" s="54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</row>
    <row r="457">
      <c r="A457" s="54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</row>
    <row r="458">
      <c r="A458" s="54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</row>
    <row r="459">
      <c r="A459" s="54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</row>
    <row r="460">
      <c r="A460" s="54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</row>
    <row r="461">
      <c r="A461" s="54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</row>
    <row r="462">
      <c r="A462" s="54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</row>
    <row r="463">
      <c r="A463" s="54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</row>
    <row r="464">
      <c r="A464" s="54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</row>
    <row r="465">
      <c r="A465" s="54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</row>
    <row r="466">
      <c r="A466" s="54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</row>
    <row r="467">
      <c r="A467" s="54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>
      <c r="A468" s="54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</row>
    <row r="469">
      <c r="A469" s="54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>
      <c r="A470" s="54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</row>
    <row r="471">
      <c r="A471" s="54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</row>
    <row r="472">
      <c r="A472" s="54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</row>
    <row r="473">
      <c r="A473" s="54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</row>
    <row r="474">
      <c r="A474" s="54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</row>
    <row r="475">
      <c r="A475" s="54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</row>
    <row r="476">
      <c r="A476" s="54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</row>
    <row r="477">
      <c r="A477" s="54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</row>
    <row r="478">
      <c r="A478" s="54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>
      <c r="A479" s="54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</row>
    <row r="480">
      <c r="A480" s="54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</row>
    <row r="481">
      <c r="A481" s="54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</row>
    <row r="482">
      <c r="A482" s="54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</row>
    <row r="483">
      <c r="A483" s="54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</row>
    <row r="484">
      <c r="A484" s="54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>
      <c r="A485" s="54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</row>
    <row r="486">
      <c r="A486" s="54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</row>
    <row r="487">
      <c r="A487" s="54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</row>
    <row r="488">
      <c r="A488" s="54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</row>
    <row r="489">
      <c r="A489" s="54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</row>
    <row r="490">
      <c r="A490" s="54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</row>
    <row r="491">
      <c r="A491" s="54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</row>
    <row r="492">
      <c r="A492" s="54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</row>
    <row r="493">
      <c r="A493" s="54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</row>
    <row r="494">
      <c r="A494" s="54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</row>
    <row r="495">
      <c r="A495" s="54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</row>
    <row r="496">
      <c r="A496" s="54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</row>
    <row r="497">
      <c r="A497" s="54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</row>
    <row r="498">
      <c r="A498" s="54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</row>
    <row r="499">
      <c r="A499" s="54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</row>
    <row r="500">
      <c r="A500" s="54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>
      <c r="A501" s="54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</row>
    <row r="502">
      <c r="A502" s="54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</row>
    <row r="503">
      <c r="A503" s="54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</row>
    <row r="504">
      <c r="A504" s="54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</row>
    <row r="505">
      <c r="A505" s="54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</row>
    <row r="506">
      <c r="A506" s="54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</row>
    <row r="507">
      <c r="A507" s="54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</row>
    <row r="508">
      <c r="A508" s="54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</row>
    <row r="509">
      <c r="A509" s="54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</row>
    <row r="510">
      <c r="A510" s="54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</row>
    <row r="511">
      <c r="A511" s="54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</row>
    <row r="512">
      <c r="A512" s="54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</row>
    <row r="513">
      <c r="A513" s="54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</row>
    <row r="514">
      <c r="A514" s="54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</row>
    <row r="515">
      <c r="A515" s="54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</row>
    <row r="516">
      <c r="A516" s="54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</row>
    <row r="517">
      <c r="A517" s="54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</row>
    <row r="518">
      <c r="A518" s="54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</row>
    <row r="519">
      <c r="A519" s="54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</row>
    <row r="520">
      <c r="A520" s="54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</row>
    <row r="521">
      <c r="A521" s="54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>
      <c r="A522" s="54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>
      <c r="A523" s="54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</row>
    <row r="524">
      <c r="A524" s="54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</row>
    <row r="525">
      <c r="A525" s="54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</row>
    <row r="526">
      <c r="A526" s="54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</row>
    <row r="527">
      <c r="A527" s="54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</row>
    <row r="528">
      <c r="A528" s="54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</row>
    <row r="529">
      <c r="A529" s="54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</row>
    <row r="530">
      <c r="A530" s="54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</row>
    <row r="531">
      <c r="A531" s="54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</row>
    <row r="532">
      <c r="A532" s="54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</row>
    <row r="533">
      <c r="A533" s="54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</row>
    <row r="534">
      <c r="A534" s="54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</row>
    <row r="535">
      <c r="A535" s="54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</row>
    <row r="536">
      <c r="A536" s="54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</row>
    <row r="537">
      <c r="A537" s="54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</row>
    <row r="538">
      <c r="A538" s="54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</row>
    <row r="539">
      <c r="A539" s="54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</row>
    <row r="540">
      <c r="A540" s="54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</row>
    <row r="541">
      <c r="A541" s="54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</row>
    <row r="542">
      <c r="A542" s="54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</row>
    <row r="543">
      <c r="A543" s="54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</row>
    <row r="544">
      <c r="A544" s="54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</row>
    <row r="545">
      <c r="A545" s="54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</row>
    <row r="546">
      <c r="A546" s="54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</row>
    <row r="547">
      <c r="A547" s="54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</row>
    <row r="548">
      <c r="A548" s="54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</row>
    <row r="549">
      <c r="A549" s="54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</row>
    <row r="550">
      <c r="A550" s="54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</row>
    <row r="551">
      <c r="A551" s="54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</row>
    <row r="552">
      <c r="A552" s="54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</row>
    <row r="553">
      <c r="A553" s="54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</row>
    <row r="554">
      <c r="A554" s="54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</row>
    <row r="555">
      <c r="A555" s="54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</row>
    <row r="556">
      <c r="A556" s="54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</row>
    <row r="557">
      <c r="A557" s="54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</row>
    <row r="558">
      <c r="A558" s="54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</row>
    <row r="559">
      <c r="A559" s="54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</row>
    <row r="560">
      <c r="A560" s="54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</row>
    <row r="561">
      <c r="A561" s="54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</row>
    <row r="562">
      <c r="A562" s="54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</row>
    <row r="563">
      <c r="A563" s="54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</row>
    <row r="564">
      <c r="A564" s="54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</row>
    <row r="565">
      <c r="A565" s="54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</row>
    <row r="566">
      <c r="A566" s="54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</row>
    <row r="567">
      <c r="A567" s="54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</row>
    <row r="568">
      <c r="A568" s="54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</row>
    <row r="569">
      <c r="A569" s="54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</row>
    <row r="570">
      <c r="A570" s="54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</row>
    <row r="571">
      <c r="A571" s="54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</row>
    <row r="572">
      <c r="A572" s="54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</row>
    <row r="573">
      <c r="A573" s="54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</row>
    <row r="574">
      <c r="A574" s="54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</row>
    <row r="575">
      <c r="A575" s="54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</row>
    <row r="576">
      <c r="A576" s="54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</row>
    <row r="577">
      <c r="A577" s="54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</row>
    <row r="578">
      <c r="A578" s="54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</row>
    <row r="579">
      <c r="A579" s="54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</row>
    <row r="580">
      <c r="A580" s="54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</row>
    <row r="581">
      <c r="A581" s="54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</row>
    <row r="582">
      <c r="A582" s="54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</row>
    <row r="583">
      <c r="A583" s="54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>
      <c r="A584" s="54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</row>
    <row r="585">
      <c r="A585" s="54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</row>
    <row r="586">
      <c r="A586" s="54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</row>
    <row r="587">
      <c r="A587" s="54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</row>
    <row r="588">
      <c r="A588" s="54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</row>
    <row r="589">
      <c r="A589" s="54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</row>
    <row r="590">
      <c r="A590" s="54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</row>
    <row r="591">
      <c r="A591" s="54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</row>
    <row r="592">
      <c r="A592" s="54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</row>
    <row r="593">
      <c r="A593" s="54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</row>
    <row r="594">
      <c r="A594" s="54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</row>
    <row r="595">
      <c r="A595" s="54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</row>
    <row r="596">
      <c r="A596" s="54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</row>
    <row r="597">
      <c r="A597" s="54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</row>
    <row r="598">
      <c r="A598" s="54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</row>
    <row r="599">
      <c r="A599" s="54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</row>
    <row r="600">
      <c r="A600" s="54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</row>
    <row r="601">
      <c r="A601" s="54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</row>
    <row r="602">
      <c r="A602" s="54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</row>
    <row r="603">
      <c r="A603" s="54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</row>
    <row r="604">
      <c r="A604" s="54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</row>
    <row r="605">
      <c r="A605" s="54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</row>
    <row r="606">
      <c r="A606" s="54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</row>
    <row r="607">
      <c r="A607" s="54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</row>
    <row r="608">
      <c r="A608" s="54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</row>
    <row r="609">
      <c r="A609" s="54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</row>
    <row r="610">
      <c r="A610" s="54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</row>
    <row r="611">
      <c r="A611" s="54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</row>
    <row r="612">
      <c r="A612" s="54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</row>
    <row r="613">
      <c r="A613" s="54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</row>
    <row r="614">
      <c r="A614" s="54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</row>
    <row r="615">
      <c r="A615" s="54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</row>
    <row r="616">
      <c r="A616" s="54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</row>
    <row r="617">
      <c r="A617" s="54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</row>
    <row r="618">
      <c r="A618" s="54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</row>
    <row r="619">
      <c r="A619" s="54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</row>
    <row r="620">
      <c r="A620" s="54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</row>
    <row r="621">
      <c r="A621" s="54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</row>
    <row r="622">
      <c r="A622" s="54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</row>
    <row r="623">
      <c r="A623" s="54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</row>
    <row r="624">
      <c r="A624" s="54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</row>
    <row r="625">
      <c r="A625" s="54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</row>
    <row r="626">
      <c r="A626" s="54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</row>
    <row r="627">
      <c r="A627" s="54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</row>
    <row r="628">
      <c r="A628" s="54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</row>
    <row r="629">
      <c r="A629" s="54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</row>
    <row r="630">
      <c r="A630" s="54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</row>
    <row r="631">
      <c r="A631" s="54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</row>
    <row r="632">
      <c r="A632" s="54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</row>
    <row r="633">
      <c r="A633" s="54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</row>
    <row r="634">
      <c r="A634" s="54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</row>
    <row r="635">
      <c r="A635" s="54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</row>
    <row r="636">
      <c r="A636" s="54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</row>
    <row r="637">
      <c r="A637" s="54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</row>
    <row r="638">
      <c r="A638" s="54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</row>
    <row r="639">
      <c r="A639" s="54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</row>
    <row r="640">
      <c r="A640" s="54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</row>
    <row r="641">
      <c r="A641" s="54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</row>
    <row r="642">
      <c r="A642" s="54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</row>
    <row r="643">
      <c r="A643" s="54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</row>
    <row r="644">
      <c r="A644" s="54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</row>
    <row r="645">
      <c r="A645" s="54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</row>
    <row r="646">
      <c r="A646" s="54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</row>
    <row r="647">
      <c r="A647" s="54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</row>
    <row r="648">
      <c r="A648" s="54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</row>
    <row r="649">
      <c r="A649" s="54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</row>
    <row r="650">
      <c r="A650" s="54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</row>
    <row r="651">
      <c r="A651" s="54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</row>
    <row r="652">
      <c r="A652" s="54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</row>
    <row r="653">
      <c r="A653" s="54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</row>
    <row r="654">
      <c r="A654" s="54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</row>
    <row r="655">
      <c r="A655" s="54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</row>
    <row r="656">
      <c r="A656" s="54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</row>
    <row r="657">
      <c r="A657" s="54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</row>
    <row r="658">
      <c r="A658" s="54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</row>
    <row r="659">
      <c r="A659" s="54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</row>
    <row r="660">
      <c r="A660" s="54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</row>
    <row r="661">
      <c r="A661" s="54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</row>
    <row r="662">
      <c r="A662" s="54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</row>
    <row r="663">
      <c r="A663" s="54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</row>
    <row r="664">
      <c r="A664" s="54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</row>
    <row r="665">
      <c r="A665" s="54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</row>
    <row r="666">
      <c r="A666" s="54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</row>
    <row r="667">
      <c r="A667" s="54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</row>
    <row r="668">
      <c r="A668" s="54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</row>
    <row r="669">
      <c r="A669" s="54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</row>
    <row r="670">
      <c r="A670" s="54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</row>
    <row r="671">
      <c r="A671" s="54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</row>
    <row r="672">
      <c r="A672" s="54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</row>
    <row r="673">
      <c r="A673" s="54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</row>
    <row r="674">
      <c r="A674" s="54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</row>
    <row r="675">
      <c r="A675" s="54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</row>
    <row r="676">
      <c r="A676" s="54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</row>
    <row r="677">
      <c r="A677" s="54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</row>
    <row r="678">
      <c r="A678" s="54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</row>
    <row r="679">
      <c r="A679" s="54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</row>
    <row r="680">
      <c r="A680" s="54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</row>
    <row r="681">
      <c r="A681" s="54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</row>
    <row r="682">
      <c r="A682" s="54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</row>
    <row r="683">
      <c r="A683" s="54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</row>
    <row r="684">
      <c r="A684" s="54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</row>
    <row r="685">
      <c r="A685" s="54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</row>
    <row r="686">
      <c r="A686" s="54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</row>
    <row r="687">
      <c r="A687" s="54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</row>
    <row r="688">
      <c r="A688" s="54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>
      <c r="A689" s="54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</row>
    <row r="690">
      <c r="A690" s="54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</row>
    <row r="691">
      <c r="A691" s="54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</row>
    <row r="692">
      <c r="A692" s="54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</row>
    <row r="693">
      <c r="A693" s="54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</row>
    <row r="694">
      <c r="A694" s="54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</row>
    <row r="695">
      <c r="A695" s="54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</row>
    <row r="696">
      <c r="A696" s="54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</row>
    <row r="697">
      <c r="A697" s="54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</row>
    <row r="698">
      <c r="A698" s="54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</row>
    <row r="699">
      <c r="A699" s="54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</row>
    <row r="700">
      <c r="A700" s="54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</row>
    <row r="701">
      <c r="A701" s="54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</row>
    <row r="702">
      <c r="A702" s="54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</row>
    <row r="703">
      <c r="A703" s="54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</row>
    <row r="704">
      <c r="A704" s="54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</row>
    <row r="705">
      <c r="A705" s="54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</row>
    <row r="706">
      <c r="A706" s="54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</row>
    <row r="707">
      <c r="A707" s="54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</row>
    <row r="708">
      <c r="A708" s="54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</row>
    <row r="709">
      <c r="A709" s="54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</row>
    <row r="710">
      <c r="A710" s="54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</row>
    <row r="711">
      <c r="A711" s="54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</row>
    <row r="712">
      <c r="A712" s="54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</row>
    <row r="713">
      <c r="A713" s="54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</row>
    <row r="714">
      <c r="A714" s="54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</row>
    <row r="715">
      <c r="A715" s="54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</row>
    <row r="716">
      <c r="A716" s="54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</row>
    <row r="717">
      <c r="A717" s="54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</row>
    <row r="718">
      <c r="A718" s="54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</row>
    <row r="719">
      <c r="A719" s="54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</row>
    <row r="720">
      <c r="A720" s="54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</row>
    <row r="721">
      <c r="A721" s="54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</row>
    <row r="722">
      <c r="A722" s="54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</row>
    <row r="723">
      <c r="A723" s="54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</row>
    <row r="724">
      <c r="A724" s="54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</row>
    <row r="725">
      <c r="A725" s="54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</row>
    <row r="726">
      <c r="A726" s="54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</row>
    <row r="727">
      <c r="A727" s="54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</row>
    <row r="728">
      <c r="A728" s="54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</row>
    <row r="729">
      <c r="A729" s="54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</row>
    <row r="730">
      <c r="A730" s="54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</row>
    <row r="731">
      <c r="A731" s="54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</row>
    <row r="732">
      <c r="A732" s="54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</row>
    <row r="733">
      <c r="A733" s="54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</row>
    <row r="734">
      <c r="A734" s="54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</row>
    <row r="735">
      <c r="A735" s="54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</row>
    <row r="736">
      <c r="A736" s="54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</row>
    <row r="737">
      <c r="A737" s="54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</row>
    <row r="738">
      <c r="A738" s="54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</row>
    <row r="739">
      <c r="A739" s="54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</row>
    <row r="740">
      <c r="A740" s="54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</row>
    <row r="741">
      <c r="A741" s="54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</row>
    <row r="742">
      <c r="A742" s="54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</row>
    <row r="743">
      <c r="A743" s="54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</row>
    <row r="744">
      <c r="A744" s="54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</row>
    <row r="745">
      <c r="A745" s="54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</row>
    <row r="746">
      <c r="A746" s="54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</row>
    <row r="747">
      <c r="A747" s="54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</row>
    <row r="748">
      <c r="A748" s="54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</row>
    <row r="749">
      <c r="A749" s="54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</row>
    <row r="750">
      <c r="A750" s="54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</row>
    <row r="751">
      <c r="A751" s="54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</row>
    <row r="752">
      <c r="A752" s="54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</row>
    <row r="753">
      <c r="A753" s="54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</row>
    <row r="754">
      <c r="A754" s="54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</row>
    <row r="755">
      <c r="A755" s="54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</row>
    <row r="756">
      <c r="A756" s="54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</row>
    <row r="757">
      <c r="A757" s="54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</row>
    <row r="758">
      <c r="A758" s="54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</row>
    <row r="759">
      <c r="A759" s="54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</row>
    <row r="760">
      <c r="A760" s="54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</row>
    <row r="761">
      <c r="A761" s="54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</row>
    <row r="762">
      <c r="A762" s="54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</row>
    <row r="763">
      <c r="A763" s="54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</row>
    <row r="764">
      <c r="A764" s="54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</row>
    <row r="765">
      <c r="A765" s="54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</row>
    <row r="766">
      <c r="A766" s="54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</row>
    <row r="767">
      <c r="A767" s="54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</row>
    <row r="768">
      <c r="A768" s="54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</row>
    <row r="769">
      <c r="A769" s="54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</row>
    <row r="770">
      <c r="A770" s="54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</row>
    <row r="771">
      <c r="A771" s="54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</row>
    <row r="772">
      <c r="A772" s="54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</row>
    <row r="773">
      <c r="A773" s="54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</row>
    <row r="774">
      <c r="A774" s="54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</row>
    <row r="775">
      <c r="A775" s="54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</row>
    <row r="776">
      <c r="A776" s="54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</row>
    <row r="777">
      <c r="A777" s="54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</row>
    <row r="778">
      <c r="A778" s="54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</row>
    <row r="779">
      <c r="A779" s="54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</row>
    <row r="780">
      <c r="A780" s="54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</row>
    <row r="781">
      <c r="A781" s="54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</row>
    <row r="782">
      <c r="A782" s="54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</row>
    <row r="783">
      <c r="A783" s="54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</row>
    <row r="784">
      <c r="A784" s="54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</row>
    <row r="785">
      <c r="A785" s="54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</row>
    <row r="786">
      <c r="A786" s="54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</row>
    <row r="787">
      <c r="A787" s="54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</row>
    <row r="788">
      <c r="A788" s="54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</row>
    <row r="789">
      <c r="A789" s="54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</row>
    <row r="790">
      <c r="A790" s="54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</row>
    <row r="791">
      <c r="A791" s="54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</row>
    <row r="792">
      <c r="A792" s="54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</row>
    <row r="793">
      <c r="A793" s="54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</row>
    <row r="794">
      <c r="A794" s="54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</row>
    <row r="795">
      <c r="A795" s="54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</row>
    <row r="796">
      <c r="A796" s="54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</row>
    <row r="797">
      <c r="A797" s="54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</row>
    <row r="798">
      <c r="A798" s="54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</row>
    <row r="799">
      <c r="A799" s="54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</row>
    <row r="800">
      <c r="A800" s="54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</row>
    <row r="801">
      <c r="A801" s="54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</row>
    <row r="802">
      <c r="A802" s="54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</row>
    <row r="803">
      <c r="A803" s="54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</row>
    <row r="804">
      <c r="A804" s="54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</row>
    <row r="805">
      <c r="A805" s="54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</row>
    <row r="806">
      <c r="A806" s="54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</row>
    <row r="807">
      <c r="A807" s="54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</row>
    <row r="808">
      <c r="A808" s="54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</row>
    <row r="809">
      <c r="A809" s="54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</row>
    <row r="810">
      <c r="A810" s="54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</row>
    <row r="811">
      <c r="A811" s="54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</row>
    <row r="812">
      <c r="A812" s="54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</row>
    <row r="813">
      <c r="A813" s="54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</row>
    <row r="814">
      <c r="A814" s="54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</row>
    <row r="815">
      <c r="A815" s="54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</row>
    <row r="816">
      <c r="A816" s="54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</row>
    <row r="817">
      <c r="A817" s="54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</row>
    <row r="818">
      <c r="A818" s="54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</row>
    <row r="819">
      <c r="A819" s="54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</row>
    <row r="820">
      <c r="A820" s="54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</row>
    <row r="821">
      <c r="A821" s="54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</row>
    <row r="822">
      <c r="A822" s="54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</row>
    <row r="823">
      <c r="A823" s="54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</row>
    <row r="824">
      <c r="A824" s="54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</row>
    <row r="825">
      <c r="A825" s="54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</row>
    <row r="826">
      <c r="A826" s="54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</row>
    <row r="827">
      <c r="A827" s="54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</row>
    <row r="828">
      <c r="A828" s="54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</row>
    <row r="829">
      <c r="A829" s="54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</row>
    <row r="830">
      <c r="A830" s="54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</row>
    <row r="831">
      <c r="A831" s="54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</row>
    <row r="832">
      <c r="A832" s="54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</row>
    <row r="833">
      <c r="A833" s="54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</row>
    <row r="834">
      <c r="A834" s="54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</row>
    <row r="835">
      <c r="A835" s="54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</row>
    <row r="836">
      <c r="A836" s="54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</row>
    <row r="837">
      <c r="A837" s="54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</row>
    <row r="838">
      <c r="A838" s="54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</row>
    <row r="839">
      <c r="A839" s="54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</row>
    <row r="840">
      <c r="A840" s="54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</row>
    <row r="841">
      <c r="A841" s="54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</row>
    <row r="842">
      <c r="A842" s="54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</row>
    <row r="843">
      <c r="A843" s="54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</row>
    <row r="844">
      <c r="A844" s="54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</row>
    <row r="845">
      <c r="A845" s="54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</row>
    <row r="846">
      <c r="A846" s="54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</row>
    <row r="847">
      <c r="A847" s="54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</row>
    <row r="848">
      <c r="A848" s="54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</row>
    <row r="849">
      <c r="A849" s="54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</row>
    <row r="850">
      <c r="A850" s="54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</row>
    <row r="851">
      <c r="A851" s="54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</row>
    <row r="852">
      <c r="A852" s="54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</row>
    <row r="853">
      <c r="A853" s="54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</row>
    <row r="854">
      <c r="A854" s="54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</row>
    <row r="855">
      <c r="A855" s="54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</row>
    <row r="856">
      <c r="A856" s="54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</row>
    <row r="857">
      <c r="A857" s="54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</row>
    <row r="858">
      <c r="A858" s="54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</row>
    <row r="859">
      <c r="A859" s="54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</row>
    <row r="860">
      <c r="A860" s="54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</row>
    <row r="861">
      <c r="A861" s="54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</row>
    <row r="862">
      <c r="A862" s="54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</row>
    <row r="863">
      <c r="A863" s="54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</row>
    <row r="864">
      <c r="A864" s="54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</row>
    <row r="865">
      <c r="A865" s="54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</row>
    <row r="866">
      <c r="A866" s="54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</row>
    <row r="867">
      <c r="A867" s="54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</row>
    <row r="868">
      <c r="A868" s="54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</row>
    <row r="869">
      <c r="A869" s="54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</row>
    <row r="870">
      <c r="A870" s="54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</row>
    <row r="871">
      <c r="A871" s="54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</row>
    <row r="872">
      <c r="A872" s="54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</row>
    <row r="873">
      <c r="A873" s="54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</row>
    <row r="874">
      <c r="A874" s="54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</row>
    <row r="875">
      <c r="A875" s="54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</row>
    <row r="876">
      <c r="A876" s="54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</row>
    <row r="877">
      <c r="A877" s="54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</row>
    <row r="878">
      <c r="A878" s="54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</row>
    <row r="879">
      <c r="A879" s="54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</row>
    <row r="880">
      <c r="A880" s="54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</row>
    <row r="881">
      <c r="A881" s="54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</row>
    <row r="882">
      <c r="A882" s="54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</row>
    <row r="883">
      <c r="A883" s="54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</row>
    <row r="884">
      <c r="A884" s="54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</row>
    <row r="885">
      <c r="A885" s="54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</row>
    <row r="886">
      <c r="A886" s="54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</row>
    <row r="887">
      <c r="A887" s="54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</row>
    <row r="888">
      <c r="A888" s="54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</row>
    <row r="889">
      <c r="A889" s="54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</row>
    <row r="890">
      <c r="A890" s="54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</row>
    <row r="891">
      <c r="A891" s="54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</row>
    <row r="892">
      <c r="A892" s="54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</row>
    <row r="893">
      <c r="A893" s="54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</row>
    <row r="894">
      <c r="A894" s="54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</row>
    <row r="895">
      <c r="A895" s="54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</row>
    <row r="896">
      <c r="A896" s="54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</row>
    <row r="897">
      <c r="A897" s="54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</row>
    <row r="898">
      <c r="A898" s="54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</row>
    <row r="899">
      <c r="A899" s="54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</row>
    <row r="900">
      <c r="A900" s="54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</row>
    <row r="901">
      <c r="A901" s="54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</row>
    <row r="902">
      <c r="A902" s="54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</row>
    <row r="903">
      <c r="A903" s="54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</row>
    <row r="904">
      <c r="A904" s="54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</row>
    <row r="905">
      <c r="A905" s="54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</row>
    <row r="906">
      <c r="A906" s="54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</row>
    <row r="907">
      <c r="A907" s="54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</row>
    <row r="908">
      <c r="A908" s="54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</row>
    <row r="909">
      <c r="A909" s="54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</row>
    <row r="910">
      <c r="A910" s="54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</row>
    <row r="911">
      <c r="A911" s="54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</row>
    <row r="912">
      <c r="A912" s="54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</row>
    <row r="913">
      <c r="A913" s="54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</row>
    <row r="914">
      <c r="A914" s="54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</row>
    <row r="915">
      <c r="A915" s="54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</row>
    <row r="916">
      <c r="A916" s="54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</row>
    <row r="917">
      <c r="A917" s="54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</row>
    <row r="918">
      <c r="A918" s="54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</row>
    <row r="919">
      <c r="A919" s="54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</row>
    <row r="920">
      <c r="A920" s="54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</row>
    <row r="921">
      <c r="A921" s="54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</row>
    <row r="922">
      <c r="A922" s="54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</row>
    <row r="923">
      <c r="A923" s="54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</row>
    <row r="924">
      <c r="A924" s="54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</row>
    <row r="925">
      <c r="A925" s="54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</row>
    <row r="926">
      <c r="A926" s="54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</row>
    <row r="927">
      <c r="A927" s="54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</row>
    <row r="928">
      <c r="A928" s="54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</row>
    <row r="929">
      <c r="A929" s="54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</row>
    <row r="930">
      <c r="A930" s="54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</row>
    <row r="931">
      <c r="A931" s="54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</row>
    <row r="932">
      <c r="A932" s="54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</row>
    <row r="933">
      <c r="A933" s="54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</row>
    <row r="934">
      <c r="A934" s="54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</row>
    <row r="935">
      <c r="A935" s="54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</row>
    <row r="936">
      <c r="A936" s="54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</row>
    <row r="937">
      <c r="A937" s="54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</row>
    <row r="938">
      <c r="A938" s="54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</row>
    <row r="939">
      <c r="A939" s="54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</row>
    <row r="940">
      <c r="A940" s="54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</row>
    <row r="941">
      <c r="A941" s="54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</row>
    <row r="942">
      <c r="A942" s="54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</row>
    <row r="943">
      <c r="A943" s="54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</row>
    <row r="944">
      <c r="A944" s="54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</row>
    <row r="945">
      <c r="A945" s="54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</row>
    <row r="946">
      <c r="A946" s="54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</row>
    <row r="947">
      <c r="A947" s="54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</row>
    <row r="948">
      <c r="A948" s="54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</row>
    <row r="949">
      <c r="A949" s="54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</row>
    <row r="950">
      <c r="A950" s="54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</row>
    <row r="951">
      <c r="A951" s="54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</row>
    <row r="952">
      <c r="A952" s="54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</row>
    <row r="953">
      <c r="A953" s="54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</row>
    <row r="954">
      <c r="A954" s="54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</row>
    <row r="955">
      <c r="A955" s="54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</row>
    <row r="956">
      <c r="A956" s="54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</row>
    <row r="957">
      <c r="A957" s="54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</row>
    <row r="958">
      <c r="A958" s="54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</row>
    <row r="959">
      <c r="A959" s="54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</row>
    <row r="960">
      <c r="A960" s="54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</row>
    <row r="961">
      <c r="A961" s="54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</row>
    <row r="962">
      <c r="A962" s="54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</row>
    <row r="963">
      <c r="A963" s="54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</row>
    <row r="964">
      <c r="A964" s="54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</row>
    <row r="965">
      <c r="A965" s="54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</row>
    <row r="966">
      <c r="A966" s="54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</row>
    <row r="967">
      <c r="A967" s="54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</row>
    <row r="968">
      <c r="A968" s="54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</row>
    <row r="969">
      <c r="A969" s="54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</row>
    <row r="970">
      <c r="A970" s="54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</row>
    <row r="971">
      <c r="A971" s="54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</row>
    <row r="972">
      <c r="A972" s="54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</row>
    <row r="973">
      <c r="A973" s="54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</row>
    <row r="974">
      <c r="A974" s="54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</row>
    <row r="975">
      <c r="A975" s="54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</row>
    <row r="976">
      <c r="A976" s="54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</row>
    <row r="977">
      <c r="A977" s="54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</row>
    <row r="978">
      <c r="A978" s="54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</row>
    <row r="979">
      <c r="A979" s="54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</row>
    <row r="980">
      <c r="A980" s="54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</row>
    <row r="981">
      <c r="A981" s="54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</row>
    <row r="982">
      <c r="A982" s="54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</row>
    <row r="983">
      <c r="A983" s="54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</row>
    <row r="984">
      <c r="A984" s="54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</row>
    <row r="985">
      <c r="A985" s="54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</row>
    <row r="986">
      <c r="A986" s="54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</row>
    <row r="987">
      <c r="A987" s="54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</row>
    <row r="988">
      <c r="A988" s="54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</row>
    <row r="989">
      <c r="A989" s="54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</row>
    <row r="990">
      <c r="A990" s="54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</row>
  </sheetData>
  <mergeCells count="2">
    <mergeCell ref="B1:I1"/>
    <mergeCell ref="L1:S1"/>
  </mergeCells>
  <conditionalFormatting sqref="B2:S11">
    <cfRule type="expression" dxfId="1" priority="1">
      <formula>B$2=$A$14</formula>
    </cfRule>
  </conditionalFormatting>
  <dataValidations>
    <dataValidation type="list" allowBlank="1" showErrorMessage="1" sqref="A14">
      <formula1>Shares!$B$2:$I$2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0"/>
  </cols>
  <sheetData>
    <row r="1">
      <c r="A1" s="87" t="s">
        <v>52</v>
      </c>
      <c r="B1" s="88" t="str">
        <f>Scorecards!F1</f>
        <v>GAILES</v>
      </c>
      <c r="C1" s="88" t="str">
        <f>Scorecards!F13</f>
        <v>SERRADELLA</v>
      </c>
      <c r="D1" s="88" t="str">
        <f>Scorecards!F25</f>
        <v>BLACKSHIRE</v>
      </c>
      <c r="E1" s="88" t="str">
        <f>Scorecards!F37</f>
        <v>RED HAWK</v>
      </c>
    </row>
    <row r="2">
      <c r="A2" s="89" t="s">
        <v>29</v>
      </c>
      <c r="B2" s="90">
        <f>IF(Scorecards!E4="Y",Scores!D3, "")</f>
        <v>81</v>
      </c>
      <c r="C2" s="90">
        <f>IF(Scorecards!E16="Y",Scores!F3, "")</f>
        <v>78</v>
      </c>
      <c r="D2" s="90">
        <f>IF(Scorecards!E28="Y",Scores!H3, "")</f>
        <v>73</v>
      </c>
      <c r="E2" s="90">
        <f>IF(Scorecards!E40="Y",Scores!J3, "")</f>
        <v>74</v>
      </c>
    </row>
    <row r="3">
      <c r="A3" s="91" t="s">
        <v>30</v>
      </c>
      <c r="B3" s="92">
        <f>IF(Scorecards!E5="Y",Scores!D4, "")</f>
        <v>83</v>
      </c>
      <c r="C3" s="92">
        <f>IF(Scorecards!E17="Y",Scores!F4, "")</f>
        <v>76</v>
      </c>
      <c r="D3" s="92">
        <f>IF(Scorecards!E29="Y",Scores!H4, "")</f>
        <v>85</v>
      </c>
      <c r="E3" s="92">
        <f>IF(Scorecards!E41="Y",Scores!J4, "")</f>
        <v>86</v>
      </c>
    </row>
    <row r="4">
      <c r="A4" s="89" t="s">
        <v>31</v>
      </c>
      <c r="B4" s="45">
        <f>IF(Scorecards!E6="Y",Scores!D5, "")</f>
        <v>88</v>
      </c>
      <c r="C4" s="45">
        <f>IF(Scorecards!E18="Y",Scores!F5, "")</f>
        <v>77</v>
      </c>
      <c r="D4" s="45">
        <f>IF(Scorecards!E30="Y",Scores!H5, "")</f>
        <v>73</v>
      </c>
      <c r="E4" s="45">
        <f>IF(Scorecards!E42="Y",Scores!J5, "")</f>
        <v>85</v>
      </c>
    </row>
    <row r="5">
      <c r="A5" s="91" t="s">
        <v>32</v>
      </c>
      <c r="B5" s="92">
        <f>IF(Scorecards!E7="Y",Scores!D6, "")</f>
        <v>79</v>
      </c>
      <c r="C5" s="92">
        <f>IF(Scorecards!E19="Y",Scores!F6, "")</f>
        <v>84</v>
      </c>
      <c r="D5" s="92">
        <f>IF(Scorecards!E31="Y",Scores!H6, "")</f>
        <v>85</v>
      </c>
      <c r="E5" s="92">
        <f>IF(Scorecards!E43="Y",Scores!J6, "")</f>
        <v>77</v>
      </c>
    </row>
    <row r="6">
      <c r="A6" s="89" t="s">
        <v>33</v>
      </c>
      <c r="B6" s="90">
        <f>IF(Scorecards!E8="Y",Scores!D7, "")</f>
        <v>80</v>
      </c>
      <c r="C6" s="90">
        <f>IF(Scorecards!E20="Y",Scores!F7, "")</f>
        <v>76</v>
      </c>
      <c r="D6" s="90">
        <f>IF(Scorecards!E32="Y",Scores!H7, "")</f>
        <v>80</v>
      </c>
      <c r="E6" s="90">
        <f>IF(Scorecards!E44="Y",Scores!J7, "")</f>
        <v>73</v>
      </c>
    </row>
    <row r="7">
      <c r="A7" s="93" t="s">
        <v>43</v>
      </c>
      <c r="B7" s="92" t="str">
        <f t="shared" ref="B7:E7" si="1">IF(#REF!="Y",#REF!, "")</f>
        <v>#REF!</v>
      </c>
      <c r="C7" s="92" t="str">
        <f t="shared" si="1"/>
        <v>#REF!</v>
      </c>
      <c r="D7" s="92" t="str">
        <f t="shared" si="1"/>
        <v>#REF!</v>
      </c>
      <c r="E7" s="92" t="str">
        <f t="shared" si="1"/>
        <v>#REF!</v>
      </c>
    </row>
    <row r="8">
      <c r="A8" s="94" t="s">
        <v>44</v>
      </c>
      <c r="B8" s="90" t="str">
        <f t="shared" ref="B8:E8" si="2">IF(#REF!="Y",#REF!, "")</f>
        <v>#REF!</v>
      </c>
      <c r="C8" s="90" t="str">
        <f t="shared" si="2"/>
        <v>#REF!</v>
      </c>
      <c r="D8" s="90" t="str">
        <f t="shared" si="2"/>
        <v>#REF!</v>
      </c>
      <c r="E8" s="90" t="str">
        <f t="shared" si="2"/>
        <v>#REF!</v>
      </c>
    </row>
    <row r="9">
      <c r="A9" s="95" t="s">
        <v>34</v>
      </c>
      <c r="B9" s="92">
        <f>IF(Scorecards!E9="Y",Scores!D8, "")</f>
        <v>81</v>
      </c>
      <c r="C9" s="92">
        <f>IF(Scorecards!E21="Y",Scores!F8, "")</f>
        <v>77</v>
      </c>
      <c r="D9" s="92">
        <f>IF(Scorecards!E33="Y",Scores!H8, "")</f>
        <v>75</v>
      </c>
      <c r="E9" s="92">
        <f>IF(Scorecards!E45="Y",Scores!J8, "")</f>
        <v>70</v>
      </c>
    </row>
    <row r="10">
      <c r="A10" s="65" t="s">
        <v>53</v>
      </c>
      <c r="B10" s="65">
        <f>COUNTIF(BettingScoreboard!$B$2:$B$9,MIN(BettingScoreboard!$B$2:$B$9))</f>
        <v>2</v>
      </c>
      <c r="C10" s="65">
        <f>COUNTIF(BettingScoreboard!$C$2:$C$9,MIN(BettingScoreboard!$C$2:$C$9))</f>
        <v>2</v>
      </c>
      <c r="D10" s="65">
        <f>COUNTIF(BettingScoreboard!$D$2:$D$9,MIN(BettingScoreboard!$D$2:$D$9))</f>
        <v>2</v>
      </c>
      <c r="E10" s="65">
        <f>COUNTIF(BettingScoreboard!$E$2:$E$9,MIN(BettingScoreboard!$E$2:$E$9))</f>
        <v>2</v>
      </c>
    </row>
    <row r="11">
      <c r="A11" s="11"/>
      <c r="B11" s="11"/>
      <c r="C11" s="11"/>
      <c r="D11" s="11"/>
      <c r="E11" s="11"/>
    </row>
    <row r="12">
      <c r="A12" s="96" t="s">
        <v>11</v>
      </c>
      <c r="B12" s="96" t="s">
        <v>54</v>
      </c>
      <c r="C12" s="96" t="s">
        <v>55</v>
      </c>
    </row>
    <row r="13">
      <c r="A13" s="44" t="s">
        <v>17</v>
      </c>
      <c r="B13" s="90">
        <f>SUM(COUNTIF(Scorecards!$G$10:$X$10,BettingScoreboard!$A13),COUNTIF(Scorecards!$G$22:$X$22,BettingScoreboard!$A13),COUNTIF(Scorecards!$G$34:$X$34,BettingScoreboard!$A13),COUNTIF(Scorecards!$G$46:$X$46,BettingScoreboard!$A13))</f>
        <v>11</v>
      </c>
      <c r="C13" s="97">
        <f>SUM(COUNTIF(Scorecards!$G$10:$X$10,BettingScoreboard!$A13)*Scorecards!$AB$10,COUNTIF(Scorecards!$G$22:$X$22, BettingScoreboard!$A13)*Scorecards!$AB$22,COUNTIF(Scorecards!$G$34:$X$34,BettingScoreboard!$A13)*Scorecards!$AB$34,COUNTIF(Scorecards!$G$46:$X$46, BettingScoreboard!$A13)*Scorecards!$AB$46)</f>
        <v>40.16666667</v>
      </c>
    </row>
    <row r="14">
      <c r="A14" s="29" t="s">
        <v>19</v>
      </c>
      <c r="B14" s="92">
        <f>SUM(COUNTIF(Scorecards!$G$10:$X$10,BettingScoreboard!$A14),COUNTIF(Scorecards!$G$22:$X$22,BettingScoreboard!$A14),COUNTIF(Scorecards!$G$34:$X$34,BettingScoreboard!$A14),COUNTIF(Scorecards!$G$46:$X$46,BettingScoreboard!$A14))</f>
        <v>3</v>
      </c>
      <c r="C14" s="98">
        <f>SUM(COUNTIF(Scorecards!$G$10:$X$10,BettingScoreboard!$A14)*Scorecards!$AB$10,COUNTIF(Scorecards!$G$22:$X$22, BettingScoreboard!$A14)*Scorecards!$AB$22,COUNTIF(Scorecards!$G$34:$X$34,BettingScoreboard!$A14)*Scorecards!$AB$34,COUNTIF(Scorecards!$G$46:$X$46, BettingScoreboard!$A14)*Scorecards!$AB$46)</f>
        <v>11.75</v>
      </c>
    </row>
    <row r="15">
      <c r="A15" s="44" t="s">
        <v>20</v>
      </c>
      <c r="B15" s="90">
        <f>SUM(COUNTIF(Scorecards!$G$10:$X$10,BettingScoreboard!$A15),COUNTIF(Scorecards!$G$22:$X$22,BettingScoreboard!$A15),COUNTIF(Scorecards!$G$34:$X$34,BettingScoreboard!$A15),COUNTIF(Scorecards!$G$46:$X$46,BettingScoreboard!$A15))</f>
        <v>4</v>
      </c>
      <c r="C15" s="97">
        <f>SUM(COUNTIF(Scorecards!$G$10:$X$10,BettingScoreboard!$A15)*Scorecards!$AB$10,COUNTIF(Scorecards!$G$22:$X$22, BettingScoreboard!$A15)*Scorecards!$AB$22,COUNTIF(Scorecards!$G$34:$X$34,BettingScoreboard!$A15)*Scorecards!$AB$34,COUNTIF(Scorecards!$G$46:$X$46, BettingScoreboard!$A15)*Scorecards!$AB$46)</f>
        <v>13.08333333</v>
      </c>
    </row>
    <row r="16">
      <c r="A16" s="29" t="s">
        <v>21</v>
      </c>
      <c r="B16" s="92">
        <f>SUM(COUNTIF(Scorecards!$G$10:$X$10,BettingScoreboard!$A16),COUNTIF(Scorecards!$G$22:$X$22,BettingScoreboard!$A16),COUNTIF(Scorecards!$G$34:$X$34,BettingScoreboard!$A16),COUNTIF(Scorecards!$G$46:$X$46,BettingScoreboard!$A16))</f>
        <v>0</v>
      </c>
      <c r="C16" s="98">
        <f>SUM(COUNTIF(Scorecards!$G$10:$X$10,BettingScoreboard!$A16)*Scorecards!$AB$10,COUNTIF(Scorecards!$G$22:$X$22, BettingScoreboard!$A16)*Scorecards!$AB$22,COUNTIF(Scorecards!$G$34:$X$34,BettingScoreboard!$A16)*Scorecards!$AB$34,COUNTIF(Scorecards!$G$46:$X$46, BettingScoreboard!$A16)*Scorecards!$AB$46)</f>
        <v>0</v>
      </c>
    </row>
    <row r="17">
      <c r="A17" s="44" t="s">
        <v>22</v>
      </c>
      <c r="B17" s="90">
        <f>SUM(COUNTIF(Scorecards!$G$10:$X$10,BettingScoreboard!$A17),COUNTIF(Scorecards!$G$22:$X$22,BettingScoreboard!$A17),COUNTIF(Scorecards!$G$34:$X$34,BettingScoreboard!$A17),COUNTIF(Scorecards!$G$46:$X$46,BettingScoreboard!$A17))</f>
        <v>13</v>
      </c>
      <c r="C17" s="97">
        <f>SUM(COUNTIF(Scorecards!$G$10:$X$10,BettingScoreboard!$A17)*Scorecards!$AB$10,COUNTIF(Scorecards!$G$22:$X$22, BettingScoreboard!$A17)*Scorecards!$AB$22,COUNTIF(Scorecards!$G$34:$X$34,BettingScoreboard!$A17)*Scorecards!$AB$34,COUNTIF(Scorecards!$G$46:$X$46, BettingScoreboard!$A17)*Scorecards!$AB$46)</f>
        <v>48.66666667</v>
      </c>
    </row>
    <row r="18">
      <c r="A18" s="29" t="s">
        <v>38</v>
      </c>
      <c r="B18" s="92">
        <f>SUM(COUNTIF(Scorecards!$G$10:$X$10,BettingScoreboard!$A18),COUNTIF(Scorecards!$G$22:$X$22,BettingScoreboard!$A18),COUNTIF(Scorecards!$G$34:$X$34,BettingScoreboard!$A18),COUNTIF(Scorecards!$G$46:$X$46,BettingScoreboard!$A18))</f>
        <v>0</v>
      </c>
      <c r="C18" s="98">
        <f>SUM(COUNTIF(Scorecards!$G$10:$X$10,BettingScoreboard!$A18)*Scorecards!$AB$10,COUNTIF(Scorecards!$G$22:$X$22, BettingScoreboard!$A18)*Scorecards!$AB$22,COUNTIF(Scorecards!$G$34:$X$34,BettingScoreboard!$A18)*Scorecards!$AB$34,COUNTIF(Scorecards!$G$46:$X$46, BettingScoreboard!$A18)*Scorecards!$AB$46)</f>
        <v>0</v>
      </c>
    </row>
    <row r="19">
      <c r="A19" s="44" t="s">
        <v>39</v>
      </c>
      <c r="B19" s="45">
        <f>SUM(COUNTIF(Scorecards!$G$10:$X$10,BettingScoreboard!$A19),COUNTIF(Scorecards!$G$22:$X$22,BettingScoreboard!$A19),COUNTIF(Scorecards!$G$34:$X$34,BettingScoreboard!$A19),COUNTIF(Scorecards!$G$46:$X$46,BettingScoreboard!$A19))</f>
        <v>0</v>
      </c>
      <c r="C19" s="99">
        <f>SUM(COUNTIF(Scorecards!$G$10:$X$10,BettingScoreboard!$A19)*Scorecards!$AB$10,COUNTIF(Scorecards!$G$22:$X$22, BettingScoreboard!$A19)*Scorecards!$AB$22,COUNTIF(Scorecards!$G$34:$X$34,BettingScoreboard!$A19)*Scorecards!$AB$34,COUNTIF(Scorecards!$G$46:$X$46, BettingScoreboard!$A19)*Scorecards!$AB$46)</f>
        <v>0</v>
      </c>
    </row>
    <row r="20">
      <c r="A20" s="29" t="s">
        <v>23</v>
      </c>
      <c r="B20" s="92">
        <f>SUM(COUNTIF(Scorecards!$G$10:$X$10,BettingScoreboard!$A20),COUNTIF(Scorecards!$G$22:$X$22,BettingScoreboard!$A20),COUNTIF(Scorecards!$G$34:$X$34,BettingScoreboard!$A20),COUNTIF(Scorecards!$G$46:$X$46,BettingScoreboard!$A20))</f>
        <v>2</v>
      </c>
      <c r="C20" s="98">
        <f>SUM(COUNTIF(Scorecards!$G$10:$X$10,BettingScoreboard!$A20)*Scorecards!$AB$10,COUNTIF(Scorecards!$G$22:$X$22, BettingScoreboard!$A20)*Scorecards!$AB$22,COUNTIF(Scorecards!$G$34:$X$34,BettingScoreboard!$A20)*Scorecards!$AB$34,COUNTIF(Scorecards!$G$46:$X$46, BettingScoreboard!$A20)*Scorecards!$AB$46)</f>
        <v>6.333333333</v>
      </c>
    </row>
    <row r="21">
      <c r="A21" s="100"/>
      <c r="B21" s="39"/>
      <c r="C21" s="101"/>
      <c r="D21" s="39"/>
      <c r="E21" s="101"/>
    </row>
    <row r="22">
      <c r="A22" s="96" t="s">
        <v>11</v>
      </c>
      <c r="B22" s="96" t="s">
        <v>14</v>
      </c>
      <c r="C22" s="96" t="s">
        <v>56</v>
      </c>
      <c r="D22" s="39"/>
      <c r="E22" s="101"/>
    </row>
    <row r="23">
      <c r="A23" s="45" t="s">
        <v>29</v>
      </c>
      <c r="B23" s="90">
        <f>SUM(COUNTIF(Scorecards!$G$11:$X$11,BettingScoreboard!$A13),COUNTIF(Scorecards!$G$23:$X$23,BettingScoreboard!$A13),COUNTIF(Scorecards!$G$35:$X$35,BettingScoreboard!$A13),COUNTIF(Scorecards!$G$47:$X$47,BettingScoreboard!$A13))</f>
        <v>1</v>
      </c>
      <c r="C23" s="97">
        <f>SUM(COUNTIF(Scorecards!$G$11:$X$11,BettingScoreboard!$A13)*Scorecards!$AB$11,COUNTIF(Scorecards!$G$23:$X$23, BettingScoreboard!$A13)*Scorecards!$AB$23,COUNTIF(Scorecards!$G$35:$X$35,BettingScoreboard!$A13)*Scorecards!$AB$35,COUNTIF(Scorecards!$G$47:$X$47, BettingScoreboard!$A13)*Scorecards!$AB$47)</f>
        <v>30</v>
      </c>
      <c r="D23" s="39"/>
      <c r="E23" s="101"/>
    </row>
    <row r="24">
      <c r="A24" s="92" t="s">
        <v>30</v>
      </c>
      <c r="B24" s="92">
        <f>SUM(COUNTIF(Scorecards!$G$11:$X$11,BettingScoreboard!$A14),COUNTIF(Scorecards!$G$23:$X$23,BettingScoreboard!$A14),COUNTIF(Scorecards!$G$35:$X$35,BettingScoreboard!$A14),COUNTIF(Scorecards!$G$47:$X$47,BettingScoreboard!$A14))</f>
        <v>0</v>
      </c>
      <c r="C24" s="98">
        <f>SUM(COUNTIF(Scorecards!$G$11:$X$11,BettingScoreboard!$A14)*Scorecards!$AB$11,COUNTIF(Scorecards!$G$23:$X$23, BettingScoreboard!$A14)*Scorecards!$AB$23,COUNTIF(Scorecards!$G$35:$X$35,BettingScoreboard!$A14)*Scorecards!$AB$35,COUNTIF(Scorecards!$G$47:$X$47, BettingScoreboard!$A14)*Scorecards!$AB$47)</f>
        <v>0</v>
      </c>
      <c r="D24" s="39"/>
      <c r="E24" s="101"/>
    </row>
    <row r="25">
      <c r="A25" s="45" t="s">
        <v>31</v>
      </c>
      <c r="B25" s="90">
        <f>SUM(COUNTIF(Scorecards!$G$11:$X$11,BettingScoreboard!$A15),COUNTIF(Scorecards!$G$23:$X$23,BettingScoreboard!$A15),COUNTIF(Scorecards!$G$35:$X$35,BettingScoreboard!$A15),COUNTIF(Scorecards!$G$47:$X$47,BettingScoreboard!$A15))</f>
        <v>1</v>
      </c>
      <c r="C25" s="97">
        <f>SUM(COUNTIF(Scorecards!$G$11:$X$11,BettingScoreboard!$A15)*Scorecards!$AB$11,COUNTIF(Scorecards!$G$23:$X$23, BettingScoreboard!$A15)*Scorecards!$AB$23,COUNTIF(Scorecards!$G$35:$X$35,BettingScoreboard!$A15)*Scorecards!$AB$35,COUNTIF(Scorecards!$G$47:$X$47, BettingScoreboard!$A15)*Scorecards!$AB$47)</f>
        <v>30</v>
      </c>
      <c r="D25" s="39"/>
      <c r="E25" s="101"/>
    </row>
    <row r="26">
      <c r="A26" s="92" t="s">
        <v>32</v>
      </c>
      <c r="B26" s="92">
        <f>SUM(COUNTIF(Scorecards!$G$11:$X$11,BettingScoreboard!$A16),COUNTIF(Scorecards!$G$23:$X$23,BettingScoreboard!$A16),COUNTIF(Scorecards!$G$35:$X$35,BettingScoreboard!$A16),COUNTIF(Scorecards!$G$47:$X$47,BettingScoreboard!$A16))</f>
        <v>1</v>
      </c>
      <c r="C26" s="98">
        <f>SUM(COUNTIF(Scorecards!$G$11:$X$11,BettingScoreboard!$A16)*Scorecards!$AB$11,COUNTIF(Scorecards!$G$23:$X$23, BettingScoreboard!$A16)*Scorecards!$AB$23,COUNTIF(Scorecards!$G$35:$X$35,BettingScoreboard!$A16)*Scorecards!$AB$35,COUNTIF(Scorecards!$G$47:$X$47, BettingScoreboard!$A16)*Scorecards!$AB$47)</f>
        <v>30</v>
      </c>
      <c r="D26" s="39"/>
      <c r="E26" s="101"/>
    </row>
    <row r="27">
      <c r="A27" s="45" t="s">
        <v>33</v>
      </c>
      <c r="B27" s="90">
        <f>SUM(COUNTIF(Scorecards!$G$11:$X$11,BettingScoreboard!$A17),COUNTIF(Scorecards!$G$23:$X$23,BettingScoreboard!$A17),COUNTIF(Scorecards!$G$35:$X$35,BettingScoreboard!$A17),COUNTIF(Scorecards!$G$47:$X$47,BettingScoreboard!$A17))</f>
        <v>1</v>
      </c>
      <c r="C27" s="97">
        <f>SUM(COUNTIF(Scorecards!$G$11:$X$11,BettingScoreboard!$A17)*Scorecards!$AB$11,COUNTIF(Scorecards!$G$23:$X$23, BettingScoreboard!$A17)*Scorecards!$AB$23,COUNTIF(Scorecards!$G$35:$X$35,BettingScoreboard!$A17)*Scorecards!$AB$35,COUNTIF(Scorecards!$G$47:$X$47, BettingScoreboard!$A17)*Scorecards!$AB$47)</f>
        <v>30</v>
      </c>
      <c r="D27" s="39"/>
      <c r="E27" s="101"/>
    </row>
    <row r="28">
      <c r="A28" s="102" t="s">
        <v>43</v>
      </c>
      <c r="B28" s="92">
        <f>SUM(COUNTIF(Scorecards!$G$11:$X$11,BettingScoreboard!$A18),COUNTIF(Scorecards!$G$23:$X$23,BettingScoreboard!$A18),COUNTIF(Scorecards!$G$35:$X$35,BettingScoreboard!$A18),COUNTIF(Scorecards!$G$47:$X$47,BettingScoreboard!$A18))</f>
        <v>0</v>
      </c>
      <c r="C28" s="98">
        <f>SUM(COUNTIF(Scorecards!$G$11:$X$11,BettingScoreboard!$A18)*Scorecards!$AB$11,COUNTIF(Scorecards!$G$23:$X$23, BettingScoreboard!$A18)*Scorecards!$AB$23,COUNTIF(Scorecards!$G$35:$X$35,BettingScoreboard!$A18)*Scorecards!$AB$35,COUNTIF(Scorecards!$G$47:$X$47, BettingScoreboard!$A18)*Scorecards!$AB$47)</f>
        <v>0</v>
      </c>
      <c r="D28" s="39"/>
      <c r="E28" s="101"/>
    </row>
    <row r="29">
      <c r="A29" s="103" t="s">
        <v>44</v>
      </c>
      <c r="B29" s="45">
        <f>SUM(COUNTIF(Scorecards!$G$11:$X$11,BettingScoreboard!$A19),COUNTIF(Scorecards!$G$23:$X$23,BettingScoreboard!$A19),COUNTIF(Scorecards!$G$35:$X$35,BettingScoreboard!$A19),COUNTIF(Scorecards!$G$47:$X$47,BettingScoreboard!$A19))</f>
        <v>0</v>
      </c>
      <c r="C29" s="99">
        <f>SUM(COUNTIF(Scorecards!$G$11:$X$11,BettingScoreboard!$A19)*Scorecards!$AB$11,COUNTIF(Scorecards!$G$23:$X$23, BettingScoreboard!$A19)*Scorecards!$AB$23,COUNTIF(Scorecards!$G$35:$X$35,BettingScoreboard!$A19)*Scorecards!$AB$35,COUNTIF(Scorecards!$G$47:$X$47, BettingScoreboard!$A19)*Scorecards!$AB$47)</f>
        <v>0</v>
      </c>
      <c r="D29" s="39"/>
      <c r="E29" s="101"/>
    </row>
    <row r="30">
      <c r="A30" s="102" t="s">
        <v>34</v>
      </c>
      <c r="B30" s="92">
        <f>SUM(COUNTIF(Scorecards!$G$11:$X$11,BettingScoreboard!$A20),COUNTIF(Scorecards!$G$23:$X$23,BettingScoreboard!$A20),COUNTIF(Scorecards!$G$35:$X$35,BettingScoreboard!$A20),COUNTIF(Scorecards!$G$47:$X$47,BettingScoreboard!$A20))</f>
        <v>0</v>
      </c>
      <c r="C30" s="98">
        <f>SUM(COUNTIF(Scorecards!$G$11:$X$11,BettingScoreboard!$A20)*Scorecards!$AB$11,COUNTIF(Scorecards!$G$23:$X$23, BettingScoreboard!$A20)*Scorecards!$AB$23,COUNTIF(Scorecards!$G$35:$X$35,BettingScoreboard!$A20)*Scorecards!$AB$35,COUNTIF(Scorecards!$G$47:$X$47, BettingScoreboard!$A20)*Scorecards!$AB$47)</f>
        <v>0</v>
      </c>
      <c r="D30" s="39"/>
      <c r="E30" s="101"/>
    </row>
  </sheetData>
  <conditionalFormatting sqref="B2:B9">
    <cfRule type="expression" dxfId="1" priority="1">
      <formula>B2=MIN(B2:B9)</formula>
    </cfRule>
  </conditionalFormatting>
  <conditionalFormatting sqref="C2:C9">
    <cfRule type="expression" dxfId="1" priority="2">
      <formula>C2=MIN(C2:C9)</formula>
    </cfRule>
  </conditionalFormatting>
  <conditionalFormatting sqref="D2:D9">
    <cfRule type="expression" dxfId="1" priority="3">
      <formula>D2=MIN(D2:D9)</formula>
    </cfRule>
  </conditionalFormatting>
  <conditionalFormatting sqref="E2:E9">
    <cfRule type="expression" dxfId="1" priority="4">
      <formula>E2=MIN(E2:E9)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8" width="11.43"/>
  </cols>
  <sheetData>
    <row r="1" ht="25.5" customHeight="1">
      <c r="A1" s="104" t="s">
        <v>57</v>
      </c>
      <c r="B1" s="104" t="s">
        <v>58</v>
      </c>
      <c r="C1" s="104" t="s">
        <v>54</v>
      </c>
      <c r="D1" s="104" t="s">
        <v>59</v>
      </c>
      <c r="E1" s="104" t="s">
        <v>14</v>
      </c>
      <c r="F1" s="104" t="s">
        <v>60</v>
      </c>
      <c r="G1" s="104" t="s">
        <v>61</v>
      </c>
      <c r="H1" s="104" t="s">
        <v>62</v>
      </c>
    </row>
    <row r="2" ht="12.75" customHeight="1">
      <c r="A2" s="105" t="s">
        <v>29</v>
      </c>
      <c r="B2" s="106">
        <f>-1*SUM(IF(Scorecards!C4="Y",Scorecards!$C$2, 0),IF(Scorecards!C16="Y",Scorecards!$C$14,0),IF(Scorecards!C28="Y",Scorecards!$C$26,0),IF(Scorecards!C40="Y",Scorecards!$C$38,0))</f>
        <v>-20</v>
      </c>
      <c r="C2" s="106">
        <f>BettingScoreboard!C13</f>
        <v>40.16666667</v>
      </c>
      <c r="D2" s="106">
        <f>-1*SUM(IF(Scorecards!D4="Y",Scorecards!$D$2, 0),IF(Scorecards!D16="Y",Scorecards!$D$14,0),IF(Scorecards!D28="Y",Scorecards!$D$26,0),IF(Scorecards!D40="Y",Scorecards!$D$38,0))</f>
        <v>-25</v>
      </c>
      <c r="E2" s="106">
        <f>BettingScoreboard!C23</f>
        <v>30</v>
      </c>
      <c r="F2" s="106">
        <f>-1*SUM(IF(Scorecards!E4="Y",Scorecards!$E$2, 0),IF(Scorecards!E16="Y",Scorecards!$E$14,0),IF(Scorecards!E28="Y",Scorecards!$E$26,0),IF(Scorecards!E40="Y",Scorecards!$E$38,0))</f>
        <v>-20</v>
      </c>
      <c r="G2" s="106" t="str">
        <f>SUM(IF(BettingScoreboard!$B2=MIN(BettingScoreboard!$B$2:$B$9),Scorecards!$E$10/BettingScoreboard!$B$10),IF(BettingScoreboard!$C2=MIN(BettingScoreboard!$C$2:$C$9),Scorecards!$E$22/BettingScoreboard!$C$10), IF(BettingScoreboard!$D2=MIN(BettingScoreboard!$D$2:$D$9),Scorecards!$E$34/BettingScoreboard!$D$10),IF(BettingScoreboard!$E2=MIN(BettingScoreboard!$E$2:$E$9),Scorecards!$E$46/BettingScoreboard!$E$10))</f>
        <v>#REF!</v>
      </c>
      <c r="H2" s="106" t="str">
        <f t="shared" ref="H2:H9" si="1">SUM(B2:G2)</f>
        <v>#REF!</v>
      </c>
    </row>
    <row r="3" ht="12.75" customHeight="1">
      <c r="A3" s="92" t="s">
        <v>30</v>
      </c>
      <c r="B3" s="98">
        <f>-1*SUM(IF(Scorecards!C5="Y",Scorecards!$C$2, 0),IF(Scorecards!C17="Y",Scorecards!$C$14,0),IF(Scorecards!C29="Y",Scorecards!$C$26,0),IF(Scorecards!C41="Y",Scorecards!$C$38,0))</f>
        <v>-20</v>
      </c>
      <c r="C3" s="98">
        <f>BettingScoreboard!C14</f>
        <v>11.75</v>
      </c>
      <c r="D3" s="98">
        <f>-1*SUM(IF(Scorecards!D5="Y",Scorecards!$D$2, 0),IF(Scorecards!D17="Y",Scorecards!$D$14,0),IF(Scorecards!D29="Y",Scorecards!$D$26,0),IF(Scorecards!D41="Y",Scorecards!$D$38,0))</f>
        <v>-25</v>
      </c>
      <c r="E3" s="98">
        <f>BettingScoreboard!C24</f>
        <v>0</v>
      </c>
      <c r="F3" s="98">
        <f>-1*SUM(IF(Scorecards!E5="Y",Scorecards!$E$2, 0),IF(Scorecards!E17="Y",Scorecards!$E$14,0),IF(Scorecards!E29="Y",Scorecards!$E$26,0),IF(Scorecards!E41="Y",Scorecards!$E$38,0))</f>
        <v>-20</v>
      </c>
      <c r="G3" s="98" t="str">
        <f>SUM(IF(BettingScoreboard!$B3=MIN(BettingScoreboard!$B$2:$B$9),Scorecards!$E$10/BettingScoreboard!$B$10),IF(BettingScoreboard!$C3=MIN(BettingScoreboard!$C$2:$C$9),Scorecards!$E$22/BettingScoreboard!$C$10), IF(BettingScoreboard!$D3=MIN(BettingScoreboard!$D$2:$D$9),Scorecards!$E$34/BettingScoreboard!$D$10),IF(BettingScoreboard!$E3=MIN(BettingScoreboard!$E$2:$E$9),Scorecards!$E$46/BettingScoreboard!$E$10))</f>
        <v>#REF!</v>
      </c>
      <c r="H3" s="98" t="str">
        <f t="shared" si="1"/>
        <v>#REF!</v>
      </c>
    </row>
    <row r="4" ht="12.75" customHeight="1">
      <c r="A4" s="105" t="s">
        <v>31</v>
      </c>
      <c r="B4" s="106">
        <f>-1*SUM(IF(Scorecards!C6="Y",Scorecards!$C$2, 0),IF(Scorecards!C18="Y",Scorecards!$C$14,0),IF(Scorecards!C30="Y",Scorecards!$C$26,0),IF(Scorecards!C42="Y",Scorecards!$C$38,0))</f>
        <v>-20</v>
      </c>
      <c r="C4" s="106">
        <f>BettingScoreboard!C15</f>
        <v>13.08333333</v>
      </c>
      <c r="D4" s="106">
        <f>-1*SUM(IF(Scorecards!D6="Y",Scorecards!$D$2, 0),IF(Scorecards!D18="Y",Scorecards!$D$14,0),IF(Scorecards!D30="Y",Scorecards!$D$26,0),IF(Scorecards!D42="Y",Scorecards!$D$38,0))</f>
        <v>-25</v>
      </c>
      <c r="E4" s="106">
        <f>BettingScoreboard!C25</f>
        <v>30</v>
      </c>
      <c r="F4" s="106">
        <f>-1*SUM(IF(Scorecards!E6="Y",Scorecards!$E$2, 0),IF(Scorecards!E18="Y",Scorecards!$E$14,0),IF(Scorecards!E30="Y",Scorecards!$E$26,0),IF(Scorecards!E42="Y",Scorecards!$E$38,0))</f>
        <v>-20</v>
      </c>
      <c r="G4" s="106" t="str">
        <f>SUM(IF(BettingScoreboard!$B4=MIN(BettingScoreboard!$B$2:$B$9),Scorecards!$E$10/BettingScoreboard!$B$10),IF(BettingScoreboard!$C4=MIN(BettingScoreboard!$C$2:$C$9),Scorecards!$E$22/BettingScoreboard!$C$10), IF(BettingScoreboard!$D4=MIN(BettingScoreboard!$D$2:$D$9),Scorecards!$E$34/BettingScoreboard!$D$10),IF(BettingScoreboard!$E4=MIN(BettingScoreboard!$E$2:$E$9),Scorecards!$E$46/BettingScoreboard!$E$10))</f>
        <v>#REF!</v>
      </c>
      <c r="H4" s="106" t="str">
        <f t="shared" si="1"/>
        <v>#REF!</v>
      </c>
    </row>
    <row r="5" ht="12.75" customHeight="1">
      <c r="A5" s="92" t="s">
        <v>32</v>
      </c>
      <c r="B5" s="98">
        <f>-1*SUM(IF(Scorecards!C7="Y",Scorecards!$C$2, 0),IF(Scorecards!C19="Y",Scorecards!$C$14,0),IF(Scorecards!C31="Y",Scorecards!$C$26,0),IF(Scorecards!C43="Y",Scorecards!$C$38,0))</f>
        <v>-20</v>
      </c>
      <c r="C5" s="98">
        <f>BettingScoreboard!C16</f>
        <v>0</v>
      </c>
      <c r="D5" s="98">
        <f>-1*SUM(IF(Scorecards!D7="Y",Scorecards!$D$2, 0),IF(Scorecards!D19="Y",Scorecards!$D$14,0),IF(Scorecards!D31="Y",Scorecards!$D$26,0),IF(Scorecards!D43="Y",Scorecards!$D$38,0))</f>
        <v>-25</v>
      </c>
      <c r="E5" s="98">
        <f>BettingScoreboard!C26</f>
        <v>30</v>
      </c>
      <c r="F5" s="98">
        <f>-1*SUM(IF(Scorecards!E7="Y",Scorecards!$E$2, 0),IF(Scorecards!E19="Y",Scorecards!$E$14,0),IF(Scorecards!E31="Y",Scorecards!$E$26,0),IF(Scorecards!E43="Y",Scorecards!$E$38,0))</f>
        <v>-20</v>
      </c>
      <c r="G5" s="98" t="str">
        <f>SUM(IF(BettingScoreboard!$B5=MIN(BettingScoreboard!$B$2:$B$9),Scorecards!$E$10/BettingScoreboard!$B$10),IF(BettingScoreboard!$C5=MIN(BettingScoreboard!$C$2:$C$9),Scorecards!$E$22/BettingScoreboard!$C$10), IF(BettingScoreboard!$D5=MIN(BettingScoreboard!$D$2:$D$9),Scorecards!$E$34/BettingScoreboard!$D$10),IF(BettingScoreboard!$E5=MIN(BettingScoreboard!$E$2:$E$9),Scorecards!$E$46/BettingScoreboard!$E$10))</f>
        <v>#REF!</v>
      </c>
      <c r="H5" s="98" t="str">
        <f t="shared" si="1"/>
        <v>#REF!</v>
      </c>
    </row>
    <row r="6" ht="12.75" customHeight="1">
      <c r="A6" s="105" t="s">
        <v>33</v>
      </c>
      <c r="B6" s="106">
        <f>-1*SUM(IF(Scorecards!C8="Y",Scorecards!$C$2, 0),IF(Scorecards!C20="Y",Scorecards!$C$14,0),IF(Scorecards!C32="Y",Scorecards!$C$26,0),IF(Scorecards!C44="Y",Scorecards!$C$38,0))</f>
        <v>-20</v>
      </c>
      <c r="C6" s="106">
        <f>BettingScoreboard!C17</f>
        <v>48.66666667</v>
      </c>
      <c r="D6" s="106">
        <f>-1*SUM(IF(Scorecards!D8="Y",Scorecards!$D$2, 0),IF(Scorecards!D20="Y",Scorecards!$D$14,0),IF(Scorecards!D32="Y",Scorecards!$D$26,0),IF(Scorecards!D44="Y",Scorecards!$D$38,0))</f>
        <v>-25</v>
      </c>
      <c r="E6" s="106">
        <f>BettingScoreboard!C27</f>
        <v>30</v>
      </c>
      <c r="F6" s="106">
        <f>-1*SUM(IF(Scorecards!E8="Y",Scorecards!$E$2, 0),IF(Scorecards!E20="Y",Scorecards!$E$14,0),IF(Scorecards!E32="Y",Scorecards!$E$26,0),IF(Scorecards!E44="Y",Scorecards!$E$38,0))</f>
        <v>-20</v>
      </c>
      <c r="G6" s="106" t="str">
        <f>SUM(IF(BettingScoreboard!$B6=MIN(BettingScoreboard!$B$2:$B$9),Scorecards!$E$10/BettingScoreboard!$B$10),IF(BettingScoreboard!$C6=MIN(BettingScoreboard!$C$2:$C$9),Scorecards!$E$22/BettingScoreboard!$C$10), IF(BettingScoreboard!$D6=MIN(BettingScoreboard!$D$2:$D$9),Scorecards!$E$34/BettingScoreboard!$D$10),IF(BettingScoreboard!$E6=MIN(BettingScoreboard!$E$2:$E$9),Scorecards!$E$46/BettingScoreboard!$E$10))</f>
        <v>#REF!</v>
      </c>
      <c r="H6" s="106" t="str">
        <f t="shared" si="1"/>
        <v>#REF!</v>
      </c>
    </row>
    <row r="7" ht="12.75" customHeight="1">
      <c r="A7" s="92" t="s">
        <v>43</v>
      </c>
      <c r="B7" s="98" t="str">
        <f>-1*SUM(IF(#REF!="Y",Scorecards!$C$2, 0),IF(#REF!="Y",Scorecards!$C$14,0),IF(#REF!="Y",Scorecards!$C$26,0),IF(#REF!="Y",Scorecards!$C$38,0))</f>
        <v>#REF!</v>
      </c>
      <c r="C7" s="98">
        <f>BettingScoreboard!C18</f>
        <v>0</v>
      </c>
      <c r="D7" s="98" t="str">
        <f>-1*SUM(IF(#REF!="Y",Scorecards!$D$2, 0),IF(#REF!="Y",Scorecards!$D$14,0),IF(#REF!="Y",Scorecards!$D$26,0),IF(#REF!="Y",Scorecards!$D$38,0))</f>
        <v>#REF!</v>
      </c>
      <c r="E7" s="98">
        <f>BettingScoreboard!C28</f>
        <v>0</v>
      </c>
      <c r="F7" s="98" t="str">
        <f>-1*SUM(IF(#REF!="Y",Scorecards!$E$2, 0),IF(#REF!="Y",Scorecards!$E$14,0),IF(#REF!="Y",Scorecards!$E$26,0),IF(#REF!="Y",Scorecards!$E$38,0))</f>
        <v>#REF!</v>
      </c>
      <c r="G7" s="98" t="str">
        <f>SUM(IF(BettingScoreboard!$B7=MIN(BettingScoreboard!$B$2:$B$9),Scorecards!$E$10/BettingScoreboard!$B$10),IF(BettingScoreboard!$C7=MIN(BettingScoreboard!$C$2:$C$9),Scorecards!$E$22/BettingScoreboard!$C$10), IF(BettingScoreboard!$D7=MIN(BettingScoreboard!$D$2:$D$9),Scorecards!$E$34/BettingScoreboard!$D$10),IF(BettingScoreboard!$E7=MIN(BettingScoreboard!$E$2:$E$9),Scorecards!$E$46/BettingScoreboard!$E$10))</f>
        <v>#REF!</v>
      </c>
      <c r="H7" s="98" t="str">
        <f t="shared" si="1"/>
        <v>#REF!</v>
      </c>
    </row>
    <row r="8" ht="12.75" customHeight="1">
      <c r="A8" s="105" t="s">
        <v>44</v>
      </c>
      <c r="B8" s="106" t="str">
        <f>-1*SUM(IF(#REF!="Y",Scorecards!$C$2, 0),IF(#REF!="Y",Scorecards!$C$14,0),IF(#REF!="Y",Scorecards!$C$26,0),IF(#REF!="Y",Scorecards!$C$38,0))</f>
        <v>#REF!</v>
      </c>
      <c r="C8" s="106">
        <f>BettingScoreboard!C19</f>
        <v>0</v>
      </c>
      <c r="D8" s="106" t="str">
        <f>-1*SUM(IF(#REF!="Y",Scorecards!$D$2, 0),IF(#REF!="Y",Scorecards!$D$14,0),IF(#REF!="Y",Scorecards!$D$26,0),IF(#REF!="Y",Scorecards!$D$38,0))</f>
        <v>#REF!</v>
      </c>
      <c r="E8" s="106">
        <f>BettingScoreboard!C29</f>
        <v>0</v>
      </c>
      <c r="F8" s="106" t="str">
        <f>-1*SUM(IF(#REF!="Y",Scorecards!$E$2, 0),IF(#REF!="Y",Scorecards!$E$14,0),IF(#REF!="Y",Scorecards!$E$26,0),IF(#REF!="Y",Scorecards!$E$38,0))</f>
        <v>#REF!</v>
      </c>
      <c r="G8" s="106" t="str">
        <f>SUM(IF(BettingScoreboard!$B8=MIN(BettingScoreboard!$B$2:$B$9),Scorecards!$E$10/BettingScoreboard!$B$10),IF(BettingScoreboard!$C8=MIN(BettingScoreboard!$C$2:$C$9),Scorecards!$E$22/BettingScoreboard!$C$10), IF(BettingScoreboard!$D8=MIN(BettingScoreboard!$D$2:$D$9),Scorecards!$E$34/BettingScoreboard!$D$10),IF(BettingScoreboard!$E8=MIN(BettingScoreboard!$E$2:$E$9),Scorecards!$E$46/BettingScoreboard!$E$10))</f>
        <v>#REF!</v>
      </c>
      <c r="H8" s="106" t="str">
        <f t="shared" si="1"/>
        <v>#REF!</v>
      </c>
    </row>
    <row r="9" ht="12.75" customHeight="1">
      <c r="A9" s="92" t="s">
        <v>34</v>
      </c>
      <c r="B9" s="98">
        <f>-1*SUM(IF(Scorecards!C9="Y",Scorecards!$C$2, 0),IF(Scorecards!C21="Y",Scorecards!$C$14,0),IF(Scorecards!C33="Y",Scorecards!$C$26,0),IF(Scorecards!C45="Y",Scorecards!$C$38,0))</f>
        <v>-20</v>
      </c>
      <c r="C9" s="98">
        <f>BettingScoreboard!C20</f>
        <v>6.333333333</v>
      </c>
      <c r="D9" s="98">
        <f>-1*SUM(IF(Scorecards!D9="Y",Scorecards!$D$2, 0),IF(Scorecards!D21="Y",Scorecards!$D$14,0),IF(Scorecards!D33="Y",Scorecards!$D$26,0),IF(Scorecards!D45="Y",Scorecards!$D$38,0))</f>
        <v>-25</v>
      </c>
      <c r="E9" s="98">
        <f>BettingScoreboard!C30</f>
        <v>0</v>
      </c>
      <c r="F9" s="98">
        <f>-1*SUM(IF(Scorecards!E9="Y",Scorecards!$E$2, 0),IF(Scorecards!E21="Y",Scorecards!$E$14,0),IF(Scorecards!E33="Y",Scorecards!$E$26,0),IF(Scorecards!E45="Y",Scorecards!$E$38,0))</f>
        <v>-20</v>
      </c>
      <c r="G9" s="98" t="str">
        <f>SUM(IF(BettingScoreboard!$B9=MIN(BettingScoreboard!$B$2:$B$9),Scorecards!$E$10/BettingScoreboard!$B$10),IF(BettingScoreboard!$C9=MIN(BettingScoreboard!$C$2:$C$9),Scorecards!$E$22/BettingScoreboard!$C$10), IF(BettingScoreboard!$D9=MIN(BettingScoreboard!$D$2:$D$9),Scorecards!$E$34/BettingScoreboard!$D$10),IF(BettingScoreboard!$E9=MIN(BettingScoreboard!$E$2:$E$9),Scorecards!$E$46/BettingScoreboard!$E$10))</f>
        <v>#REF!</v>
      </c>
      <c r="H9" s="98" t="str">
        <f t="shared" si="1"/>
        <v>#REF!</v>
      </c>
    </row>
  </sheetData>
  <drawing r:id="rId1"/>
</worksheet>
</file>