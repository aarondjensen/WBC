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BettingScoreboard" sheetId="3" r:id="rId6"/>
    <sheet state="visible" name="Score Calcuations" sheetId="4" r:id="rId7"/>
    <sheet state="visible" name="Betting SETUP" sheetId="5" r:id="rId8"/>
    <sheet state="visible" name="Stock Market" sheetId="6" r:id="rId9"/>
    <sheet state="visible" name="Stock Market Print Sheet" sheetId="7" r:id="rId10"/>
    <sheet state="visible" name="SETUP" sheetId="8" r:id="rId11"/>
  </sheets>
  <definedNames/>
  <calcPr/>
</workbook>
</file>

<file path=xl/sharedStrings.xml><?xml version="1.0" encoding="utf-8"?>
<sst xmlns="http://schemas.openxmlformats.org/spreadsheetml/2006/main" count="387" uniqueCount="62">
  <si>
    <t>2022 WANNABE CUP</t>
  </si>
  <si>
    <t>TO PAR</t>
  </si>
  <si>
    <t>POS</t>
  </si>
  <si>
    <t>PLAYER</t>
  </si>
  <si>
    <t>SCORE</t>
  </si>
  <si>
    <t>Hole</t>
  </si>
  <si>
    <t>OUT</t>
  </si>
  <si>
    <t>IN</t>
  </si>
  <si>
    <t>TOTAL</t>
  </si>
  <si>
    <t>NET</t>
  </si>
  <si>
    <t>Player</t>
  </si>
  <si>
    <t>Handi</t>
  </si>
  <si>
    <t>Par</t>
  </si>
  <si>
    <t>Aaron J</t>
  </si>
  <si>
    <t>Andy V</t>
  </si>
  <si>
    <t>Bob B</t>
  </si>
  <si>
    <t>Brian K</t>
  </si>
  <si>
    <t>Eric O</t>
  </si>
  <si>
    <t>Jeff B</t>
  </si>
  <si>
    <t>Russ W</t>
  </si>
  <si>
    <t>Scott R</t>
  </si>
  <si>
    <t>SKIN</t>
  </si>
  <si>
    <t>CTP</t>
  </si>
  <si>
    <t>SR</t>
  </si>
  <si>
    <t>RW</t>
  </si>
  <si>
    <t>BK</t>
  </si>
  <si>
    <t>EO</t>
  </si>
  <si>
    <t>AJ</t>
  </si>
  <si>
    <t>AV</t>
  </si>
  <si>
    <t>BB</t>
  </si>
  <si>
    <t>Low Net Per Round</t>
  </si>
  <si>
    <t># of Winners</t>
  </si>
  <si>
    <t>$</t>
  </si>
  <si>
    <t>Skins</t>
  </si>
  <si>
    <t>Skin $</t>
  </si>
  <si>
    <t>CTP $</t>
  </si>
  <si>
    <t>RANK</t>
  </si>
  <si>
    <t>w/o TIES</t>
  </si>
  <si>
    <t>w/ TIES</t>
  </si>
  <si>
    <t>GROSS</t>
  </si>
  <si>
    <t>JB</t>
  </si>
  <si>
    <t>Per Player</t>
  </si>
  <si>
    <t>Paid</t>
  </si>
  <si>
    <t>Low Score - Net - Per Round</t>
  </si>
  <si>
    <t>Skins - Gross - Cumulative</t>
  </si>
  <si>
    <t>Y/N</t>
  </si>
  <si>
    <t>Y</t>
  </si>
  <si>
    <t>Shares</t>
  </si>
  <si>
    <t>TOTAL $1</t>
  </si>
  <si>
    <t>FINAL</t>
  </si>
  <si>
    <t>PAYOUT</t>
  </si>
  <si>
    <t>WBC Winner</t>
  </si>
  <si>
    <t>initial</t>
  </si>
  <si>
    <t>rebuy</t>
  </si>
  <si>
    <t xml:space="preserve"> </t>
  </si>
  <si>
    <t>TOTAL $3</t>
  </si>
  <si>
    <t>YOUR NAME</t>
  </si>
  <si>
    <t>TOTAL $1 SHARES</t>
  </si>
  <si>
    <t>TOTAL $2 SHARES</t>
  </si>
  <si>
    <t>STOATIN BRAE</t>
  </si>
  <si>
    <t>STONEHEDGE N</t>
  </si>
  <si>
    <t>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</si>
</sst>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+0;-0;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&quot;$&quot;#,##0.00"/>
    <numFmt numFmtId="169" formatCode="0.0"/>
  </numFmts>
  <fonts count="15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0.0"/>
      <color rgb="FF000000"/>
      <name val="Calibri"/>
    </font>
    <font>
      <sz val="10.0"/>
      <name val="Calibri"/>
    </font>
    <font>
      <b/>
      <sz val="10.0"/>
      <name val="Calibri"/>
    </font>
    <font>
      <b/>
      <sz val="10.0"/>
    </font>
    <font>
      <sz val="10.0"/>
    </font>
    <font>
      <sz val="18.0"/>
    </font>
    <font>
      <sz val="14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0" fontId="5" numFmtId="164" xfId="0" applyAlignment="1" applyBorder="1" applyFont="1" applyNumberFormat="1">
      <alignment horizontal="center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0" fontId="0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wrapText="0"/>
    </xf>
    <xf borderId="0" fillId="0" fontId="6" numFmtId="1" xfId="0" applyAlignment="1" applyFont="1" applyNumberFormat="1">
      <alignment horizontal="center" shrinkToFit="0" wrapText="0"/>
    </xf>
    <xf borderId="5" fillId="6" fontId="7" numFmtId="0" xfId="0" applyAlignment="1" applyBorder="1" applyFill="1" applyFont="1">
      <alignment horizontal="center" readingOrder="0" shrinkToFit="0" wrapText="0"/>
    </xf>
    <xf borderId="6" fillId="0" fontId="2" numFmtId="0" xfId="0" applyBorder="1" applyFont="1"/>
    <xf borderId="5" fillId="7" fontId="6" numFmtId="0" xfId="0" applyAlignment="1" applyBorder="1" applyFill="1" applyFont="1">
      <alignment horizontal="center" shrinkToFit="0" wrapText="0"/>
    </xf>
    <xf borderId="7" fillId="7" fontId="6" numFmtId="0" xfId="0" applyAlignment="1" applyBorder="1" applyFont="1">
      <alignment horizontal="center" shrinkToFit="0" wrapText="0"/>
    </xf>
    <xf borderId="8" fillId="6" fontId="7" numFmtId="0" xfId="0" applyAlignment="1" applyBorder="1" applyFont="1">
      <alignment horizontal="center" shrinkToFit="0" wrapText="0"/>
    </xf>
    <xf borderId="9" fillId="6" fontId="7" numFmtId="0" xfId="0" applyAlignment="1" applyBorder="1" applyFont="1">
      <alignment horizontal="center" shrinkToFit="0" wrapText="0"/>
    </xf>
    <xf borderId="9" fillId="7" fontId="6" numFmtId="0" xfId="0" applyAlignment="1" applyBorder="1" applyFont="1">
      <alignment horizontal="center" shrinkToFit="0" wrapText="0"/>
    </xf>
    <xf borderId="10" fillId="7" fontId="6" numFmtId="0" xfId="0" applyAlignment="1" applyBorder="1" applyFont="1">
      <alignment horizontal="center" shrinkToFit="0" wrapText="0"/>
    </xf>
    <xf borderId="4" fillId="7" fontId="8" numFmtId="0" xfId="0" applyAlignment="1" applyBorder="1" applyFont="1">
      <alignment horizontal="left" shrinkToFit="0" wrapText="0"/>
    </xf>
    <xf borderId="4" fillId="7" fontId="8" numFmtId="1" xfId="0" applyAlignment="1" applyBorder="1" applyFont="1" applyNumberFormat="1">
      <alignment horizontal="left" shrinkToFit="0" wrapText="0"/>
    </xf>
    <xf borderId="4" fillId="6" fontId="7" numFmtId="0" xfId="0" applyAlignment="1" applyBorder="1" applyFont="1">
      <alignment horizontal="center" shrinkToFit="0" wrapText="0"/>
    </xf>
    <xf borderId="4" fillId="7" fontId="6" numFmtId="0" xfId="0" applyAlignment="1" applyBorder="1" applyFont="1">
      <alignment horizontal="center" readingOrder="0" shrinkToFit="0" wrapText="0"/>
    </xf>
    <xf borderId="4" fillId="7" fontId="6" numFmtId="0" xfId="0" applyAlignment="1" applyBorder="1" applyFont="1">
      <alignment horizontal="center" shrinkToFit="0" wrapText="0"/>
    </xf>
    <xf borderId="11" fillId="8" fontId="6" numFmtId="0" xfId="0" applyAlignment="1" applyBorder="1" applyFill="1" applyFont="1">
      <alignment horizontal="center" readingOrder="0" shrinkToFit="0" wrapText="0"/>
    </xf>
    <xf borderId="4" fillId="8" fontId="6" numFmtId="0" xfId="0" applyAlignment="1" applyBorder="1" applyFont="1">
      <alignment horizontal="center" readingOrder="0" shrinkToFit="0" wrapText="0"/>
    </xf>
    <xf borderId="4" fillId="8" fontId="6" numFmtId="0" xfId="0" applyAlignment="1" applyBorder="1" applyFont="1">
      <alignment horizontal="center" shrinkToFit="0" wrapText="0"/>
    </xf>
    <xf borderId="7" fillId="5" fontId="6" numFmtId="0" xfId="0" applyAlignment="1" applyBorder="1" applyFont="1">
      <alignment horizontal="center" readingOrder="0" shrinkToFit="0" wrapText="0"/>
    </xf>
    <xf borderId="4" fillId="5" fontId="6" numFmtId="0" xfId="0" applyAlignment="1" applyBorder="1" applyFont="1">
      <alignment horizontal="center" readingOrder="0" shrinkToFit="0" wrapText="0"/>
    </xf>
    <xf borderId="4" fillId="5" fontId="6" numFmtId="0" xfId="0" applyAlignment="1" applyBorder="1" applyFont="1">
      <alignment horizontal="center" shrinkToFit="0" wrapText="0"/>
    </xf>
    <xf borderId="12" fillId="5" fontId="6" numFmtId="0" xfId="0" applyAlignment="1" applyBorder="1" applyFont="1">
      <alignment horizontal="center" readingOrder="0" shrinkToFit="0" wrapText="0"/>
    </xf>
    <xf borderId="12" fillId="8" fontId="6" numFmtId="0" xfId="0" applyAlignment="1" applyBorder="1" applyFont="1">
      <alignment horizontal="center" readingOrder="0" shrinkToFit="0" wrapText="0"/>
    </xf>
    <xf borderId="4" fillId="5" fontId="6" numFmtId="1" xfId="0" applyAlignment="1" applyBorder="1" applyFont="1" applyNumberFormat="1">
      <alignment horizontal="center" readingOrder="0" shrinkToFit="0" wrapText="0"/>
    </xf>
    <xf borderId="13" fillId="5" fontId="6" numFmtId="0" xfId="0" applyAlignment="1" applyBorder="1" applyFont="1">
      <alignment horizontal="center" shrinkToFit="0" wrapText="0"/>
    </xf>
    <xf borderId="4" fillId="5" fontId="6" numFmtId="1" xfId="0" applyAlignment="1" applyBorder="1" applyFont="1" applyNumberFormat="1">
      <alignment horizontal="center" shrinkToFit="0" wrapText="0"/>
    </xf>
    <xf borderId="4" fillId="7" fontId="6" numFmtId="165" xfId="0" applyAlignment="1" applyBorder="1" applyFont="1" applyNumberFormat="1">
      <alignment horizontal="center" shrinkToFit="0" wrapText="0"/>
    </xf>
    <xf borderId="14" fillId="7" fontId="6" numFmtId="0" xfId="0" applyAlignment="1" applyBorder="1" applyFont="1">
      <alignment horizontal="center" shrinkToFit="0" wrapText="0"/>
    </xf>
    <xf borderId="7" fillId="9" fontId="9" numFmtId="0" xfId="0" applyAlignment="1" applyBorder="1" applyFill="1" applyFont="1">
      <alignment horizontal="center" readingOrder="0" shrinkToFit="0" wrapText="0"/>
    </xf>
    <xf borderId="4" fillId="9" fontId="9" numFmtId="0" xfId="0" applyAlignment="1" applyBorder="1" applyFont="1">
      <alignment horizontal="center" readingOrder="0" shrinkToFit="0" wrapText="0"/>
    </xf>
    <xf borderId="4" fillId="7" fontId="6" numFmtId="0" xfId="0" applyAlignment="1" applyBorder="1" applyFont="1">
      <alignment horizontal="center" readingOrder="0" shrinkToFit="0" wrapText="0"/>
    </xf>
    <xf borderId="15" fillId="7" fontId="8" numFmtId="0" xfId="0" applyAlignment="1" applyBorder="1" applyFont="1">
      <alignment horizontal="center" readingOrder="0" shrinkToFit="0" vertical="center" wrapText="1"/>
    </xf>
    <xf borderId="14" fillId="7" fontId="8" numFmtId="0" xfId="0" applyAlignment="1" applyBorder="1" applyFont="1">
      <alignment horizontal="center" shrinkToFit="0" vertical="center" wrapText="1"/>
    </xf>
    <xf borderId="11" fillId="8" fontId="6" numFmtId="0" xfId="0" applyAlignment="1" applyBorder="1" applyFont="1">
      <alignment horizontal="center" readingOrder="0" shrinkToFit="0" vertical="center" wrapText="0"/>
    </xf>
    <xf borderId="4" fillId="8" fontId="6" numFmtId="49" xfId="0" applyAlignment="1" applyBorder="1" applyFont="1" applyNumberFormat="1">
      <alignment horizontal="center" shrinkToFit="0" vertical="center" wrapText="0"/>
    </xf>
    <xf borderId="11" fillId="5" fontId="6" numFmtId="0" xfId="0" applyAlignment="1" applyBorder="1" applyFont="1">
      <alignment horizontal="center" readingOrder="0" shrinkToFit="0" vertical="center" wrapText="0"/>
    </xf>
    <xf borderId="4" fillId="5" fontId="6" numFmtId="49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0" fontId="6" numFmtId="166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4" fillId="7" fontId="8" numFmtId="0" xfId="0" applyAlignment="1" applyBorder="1" applyFont="1">
      <alignment horizontal="center" shrinkToFit="0" vertical="center" wrapText="1"/>
    </xf>
    <xf borderId="4" fillId="7" fontId="8" numFmtId="166" xfId="0" applyAlignment="1" applyBorder="1" applyFont="1" applyNumberFormat="1">
      <alignment horizontal="center" shrinkToFit="0" vertical="center" wrapText="1"/>
    </xf>
    <xf borderId="4" fillId="8" fontId="6" numFmtId="0" xfId="0" applyAlignment="1" applyBorder="1" applyFont="1">
      <alignment horizontal="center" shrinkToFit="0" vertical="center" wrapText="0"/>
    </xf>
    <xf borderId="4" fillId="8" fontId="6" numFmtId="167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vertical="center"/>
    </xf>
    <xf borderId="4" fillId="5" fontId="6" numFmtId="167" xfId="0" applyAlignment="1" applyBorder="1" applyFont="1" applyNumberFormat="1">
      <alignment horizontal="center" shrinkToFit="0" vertical="center" wrapText="0"/>
    </xf>
    <xf borderId="0" fillId="5" fontId="6" numFmtId="0" xfId="0" applyAlignment="1" applyFont="1">
      <alignment horizontal="center" shrinkToFit="0" vertical="center" wrapText="0"/>
    </xf>
    <xf borderId="0" fillId="5" fontId="6" numFmtId="0" xfId="0" applyAlignment="1" applyFont="1">
      <alignment horizontal="center" shrinkToFit="0" vertical="center" wrapText="0"/>
    </xf>
    <xf borderId="0" fillId="5" fontId="6" numFmtId="167" xfId="0" applyAlignment="1" applyFont="1" applyNumberFormat="1">
      <alignment horizontal="center" shrinkToFit="0" vertical="center" wrapText="0"/>
    </xf>
    <xf borderId="16" fillId="10" fontId="8" numFmtId="49" xfId="0" applyAlignment="1" applyBorder="1" applyFill="1" applyFont="1" applyNumberFormat="1">
      <alignment horizontal="center" readingOrder="0" shrinkToFit="0" vertical="center" wrapText="0"/>
    </xf>
    <xf borderId="12" fillId="0" fontId="2" numFmtId="0" xfId="0" applyBorder="1" applyFont="1"/>
    <xf borderId="4" fillId="10" fontId="8" numFmtId="49" xfId="0" applyAlignment="1" applyBorder="1" applyFont="1" applyNumberFormat="1">
      <alignment horizontal="center" readingOrder="0" shrinkToFit="0" vertical="center" wrapText="0"/>
    </xf>
    <xf borderId="5" fillId="10" fontId="8" numFmtId="49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17" fillId="0" fontId="2" numFmtId="0" xfId="0" applyBorder="1" applyFont="1"/>
    <xf borderId="15" fillId="0" fontId="2" numFmtId="0" xfId="0" applyBorder="1" applyFont="1"/>
    <xf borderId="4" fillId="11" fontId="6" numFmtId="49" xfId="0" applyAlignment="1" applyBorder="1" applyFill="1" applyFont="1" applyNumberFormat="1">
      <alignment horizontal="center" readingOrder="0" shrinkToFit="0" vertical="center" wrapText="0"/>
    </xf>
    <xf borderId="4" fillId="11" fontId="6" numFmtId="49" xfId="0" applyAlignment="1" applyBorder="1" applyFont="1" applyNumberFormat="1">
      <alignment horizontal="center" shrinkToFit="0" vertical="center" wrapText="0"/>
    </xf>
    <xf borderId="4" fillId="11" fontId="8" numFmtId="49" xfId="0" applyAlignment="1" applyBorder="1" applyFont="1" applyNumberFormat="1">
      <alignment horizontal="center" shrinkToFit="0" vertical="center" wrapText="0"/>
    </xf>
    <xf borderId="4" fillId="11" fontId="8" numFmtId="49" xfId="0" applyAlignment="1" applyBorder="1" applyFont="1" applyNumberFormat="1">
      <alignment horizontal="center" readingOrder="0" shrinkToFit="0" vertical="center" wrapText="0"/>
    </xf>
    <xf borderId="4" fillId="5" fontId="8" numFmtId="49" xfId="0" applyAlignment="1" applyBorder="1" applyFont="1" applyNumberFormat="1">
      <alignment horizontal="center" shrinkToFit="0" vertical="center" wrapText="0"/>
    </xf>
    <xf borderId="4" fillId="5" fontId="6" numFmtId="49" xfId="0" applyAlignment="1" applyBorder="1" applyFont="1" applyNumberFormat="1">
      <alignment horizontal="center" readingOrder="0" shrinkToFit="0" vertical="center" wrapText="0"/>
    </xf>
    <xf borderId="4" fillId="5" fontId="6" numFmtId="49" xfId="0" applyAlignment="1" applyBorder="1" applyFont="1" applyNumberFormat="1">
      <alignment horizontal="center" vertical="center"/>
    </xf>
    <xf borderId="4" fillId="5" fontId="8" numFmtId="164" xfId="0" applyAlignment="1" applyBorder="1" applyFont="1" applyNumberFormat="1">
      <alignment horizontal="center" shrinkToFit="0" vertical="center" wrapText="0"/>
    </xf>
    <xf borderId="4" fillId="12" fontId="8" numFmtId="49" xfId="0" applyAlignment="1" applyBorder="1" applyFill="1" applyFont="1" applyNumberFormat="1">
      <alignment horizontal="center" shrinkToFit="0" vertical="center" wrapText="0"/>
    </xf>
    <xf borderId="4" fillId="12" fontId="6" numFmtId="49" xfId="0" applyAlignment="1" applyBorder="1" applyFont="1" applyNumberFormat="1">
      <alignment horizontal="center" readingOrder="0" shrinkToFit="0" vertical="center" wrapText="0"/>
    </xf>
    <xf borderId="4" fillId="12" fontId="6" numFmtId="49" xfId="0" applyAlignment="1" applyBorder="1" applyFont="1" applyNumberFormat="1">
      <alignment horizontal="center" vertical="center"/>
    </xf>
    <xf borderId="4" fillId="12" fontId="6" numFmtId="49" xfId="0" applyAlignment="1" applyBorder="1" applyFont="1" applyNumberFormat="1">
      <alignment horizontal="center" shrinkToFit="0" vertical="center" wrapText="0"/>
    </xf>
    <xf borderId="4" fillId="12" fontId="8" numFmtId="164" xfId="0" applyAlignment="1" applyBorder="1" applyFont="1" applyNumberFormat="1">
      <alignment horizontal="center" shrinkToFit="0" vertical="center" wrapText="0"/>
    </xf>
    <xf borderId="14" fillId="4" fontId="8" numFmtId="165" xfId="0" applyAlignment="1" applyBorder="1" applyFont="1" applyNumberFormat="1">
      <alignment horizontal="center" readingOrder="0" vertical="center"/>
    </xf>
    <xf borderId="15" fillId="4" fontId="10" numFmtId="166" xfId="0" applyAlignment="1" applyBorder="1" applyFont="1" applyNumberFormat="1">
      <alignment horizontal="center" vertical="center"/>
    </xf>
    <xf borderId="15" fillId="4" fontId="8" numFmtId="168" xfId="0" applyAlignment="1" applyBorder="1" applyFont="1" applyNumberFormat="1">
      <alignment horizontal="center" readingOrder="0" vertical="center"/>
    </xf>
    <xf borderId="15" fillId="7" fontId="8" numFmtId="0" xfId="0" applyAlignment="1" applyBorder="1" applyFont="1">
      <alignment horizontal="center" readingOrder="0" shrinkToFit="0" vertical="center" wrapText="1"/>
    </xf>
    <xf borderId="15" fillId="7" fontId="8" numFmtId="0" xfId="0" applyAlignment="1" applyBorder="1" applyFont="1">
      <alignment horizontal="center" shrinkToFit="0" vertical="center" wrapText="1"/>
    </xf>
    <xf borderId="14" fillId="5" fontId="8" numFmtId="165" xfId="0" applyAlignment="1" applyBorder="1" applyFont="1" applyNumberFormat="1">
      <alignment horizontal="center" vertical="center"/>
    </xf>
    <xf borderId="15" fillId="5" fontId="8" numFmtId="165" xfId="0" applyAlignment="1" applyBorder="1" applyFont="1" applyNumberFormat="1">
      <alignment horizontal="center" readingOrder="0" vertical="center"/>
    </xf>
    <xf borderId="15" fillId="5" fontId="8" numFmtId="165" xfId="0" applyAlignment="1" applyBorder="1" applyFont="1" applyNumberFormat="1">
      <alignment horizontal="center" vertical="center"/>
    </xf>
    <xf borderId="15" fillId="8" fontId="9" numFmtId="0" xfId="0" applyAlignment="1" applyBorder="1" applyFont="1">
      <alignment readingOrder="0" vertical="center"/>
    </xf>
    <xf borderId="15" fillId="8" fontId="6" numFmtId="0" xfId="0" applyAlignment="1" applyBorder="1" applyFont="1">
      <alignment horizontal="center" vertical="center"/>
    </xf>
    <xf borderId="15" fillId="8" fontId="6" numFmtId="0" xfId="0" applyAlignment="1" applyBorder="1" applyFont="1">
      <alignment horizontal="center" readingOrder="0" vertical="center"/>
    </xf>
    <xf borderId="4" fillId="5" fontId="9" numFmtId="0" xfId="0" applyAlignment="1" applyBorder="1" applyFont="1">
      <alignment readingOrder="0" vertical="center"/>
    </xf>
    <xf borderId="4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readingOrder="0" vertical="center"/>
    </xf>
    <xf borderId="18" fillId="8" fontId="6" numFmtId="0" xfId="0" applyAlignment="1" applyBorder="1" applyFont="1">
      <alignment horizontal="center" readingOrder="0" vertical="center"/>
    </xf>
    <xf borderId="5" fillId="7" fontId="11" numFmtId="166" xfId="0" applyAlignment="1" applyBorder="1" applyFont="1" applyNumberFormat="1">
      <alignment horizontal="center" readingOrder="0" vertical="center"/>
    </xf>
    <xf borderId="6" fillId="7" fontId="11" numFmtId="0" xfId="0" applyAlignment="1" applyBorder="1" applyFont="1">
      <alignment horizontal="center" readingOrder="0" vertical="center"/>
    </xf>
    <xf borderId="7" fillId="7" fontId="11" numFmtId="166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7" fontId="11" numFmtId="0" xfId="0" applyAlignment="1" applyBorder="1" applyFont="1">
      <alignment horizontal="center" readingOrder="0" vertical="center"/>
    </xf>
    <xf borderId="4" fillId="13" fontId="10" numFmtId="0" xfId="0" applyAlignment="1" applyBorder="1" applyFill="1" applyFont="1">
      <alignment horizontal="center" readingOrder="0" vertical="center"/>
    </xf>
    <xf borderId="4" fillId="4" fontId="8" numFmtId="0" xfId="0" applyAlignment="1" applyBorder="1" applyFont="1">
      <alignment horizontal="center" readingOrder="0" shrinkToFit="0" vertical="center" wrapText="0"/>
    </xf>
    <xf borderId="4" fillId="8" fontId="12" numFmtId="0" xfId="0" applyAlignment="1" applyBorder="1" applyFont="1">
      <alignment horizontal="center" readingOrder="0" vertical="center"/>
    </xf>
    <xf borderId="4" fillId="8" fontId="12" numFmtId="166" xfId="0" applyAlignment="1" applyBorder="1" applyFont="1" applyNumberFormat="1">
      <alignment horizontal="center" readingOrder="0" vertical="center"/>
    </xf>
    <xf borderId="4" fillId="5" fontId="8" numFmtId="0" xfId="0" applyAlignment="1" applyBorder="1" applyFont="1">
      <alignment horizontal="center" readingOrder="0" shrinkToFit="0" vertical="center" wrapText="0"/>
    </xf>
    <xf borderId="5" fillId="5" fontId="6" numFmtId="166" xfId="0" applyAlignment="1" applyBorder="1" applyFont="1" applyNumberFormat="1">
      <alignment horizontal="center" vertical="center"/>
    </xf>
    <xf borderId="19" fillId="5" fontId="6" numFmtId="166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center" readingOrder="0" vertical="center"/>
    </xf>
    <xf borderId="4" fillId="0" fontId="12" numFmtId="166" xfId="0" applyAlignment="1" applyBorder="1" applyFont="1" applyNumberFormat="1">
      <alignment horizontal="center" readingOrder="0" vertical="center"/>
    </xf>
    <xf borderId="4" fillId="4" fontId="11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4" fillId="14" fontId="11" numFmtId="0" xfId="0" applyAlignment="1" applyBorder="1" applyFill="1" applyFont="1">
      <alignment horizontal="center" readingOrder="0" vertical="center"/>
    </xf>
    <xf borderId="0" fillId="5" fontId="12" numFmtId="0" xfId="0" applyAlignment="1" applyFont="1">
      <alignment horizontal="center" vertical="center"/>
    </xf>
    <xf borderId="0" fillId="0" fontId="2" numFmtId="168" xfId="0" applyFont="1" applyNumberFormat="1"/>
    <xf borderId="6" fillId="7" fontId="11" numFmtId="166" xfId="0" applyAlignment="1" applyBorder="1" applyFont="1" applyNumberFormat="1">
      <alignment horizontal="center" readingOrder="0" vertical="center"/>
    </xf>
    <xf borderId="15" fillId="0" fontId="11" numFmtId="0" xfId="0" applyAlignment="1" applyBorder="1" applyFont="1">
      <alignment horizontal="center" readingOrder="0" vertical="center"/>
    </xf>
    <xf borderId="7" fillId="7" fontId="11" numFmtId="0" xfId="0" applyAlignment="1" applyBorder="1" applyFont="1">
      <alignment horizontal="center" readingOrder="0" vertical="center"/>
    </xf>
    <xf borderId="4" fillId="7" fontId="11" numFmtId="168" xfId="0" applyAlignment="1" applyBorder="1" applyFont="1" applyNumberFormat="1">
      <alignment horizontal="center" readingOrder="0" vertical="center"/>
    </xf>
    <xf borderId="14" fillId="8" fontId="8" numFmtId="0" xfId="0" applyAlignment="1" applyBorder="1" applyFont="1">
      <alignment horizontal="center" readingOrder="0" shrinkToFit="0" vertical="center" wrapText="0"/>
    </xf>
    <xf borderId="4" fillId="8" fontId="12" numFmtId="166" xfId="0" applyAlignment="1" applyBorder="1" applyFont="1" applyNumberFormat="1">
      <alignment horizontal="center" vertical="center"/>
    </xf>
    <xf borderId="4" fillId="8" fontId="8" numFmtId="0" xfId="0" applyAlignment="1" applyBorder="1" applyFont="1">
      <alignment horizontal="center" readingOrder="0" shrinkToFit="0" vertical="center" wrapText="0"/>
    </xf>
    <xf borderId="4" fillId="8" fontId="6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5" fontId="12" numFmtId="166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readingOrder="0" vertical="center"/>
    </xf>
    <xf borderId="4" fillId="5" fontId="6" numFmtId="0" xfId="0" applyAlignment="1" applyBorder="1" applyFont="1">
      <alignment horizontal="center" vertical="center"/>
    </xf>
    <xf borderId="4" fillId="8" fontId="12" numFmtId="0" xfId="0" applyAlignment="1" applyBorder="1" applyFont="1">
      <alignment horizontal="center" vertical="center"/>
    </xf>
    <xf borderId="4" fillId="8" fontId="11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/>
    </xf>
    <xf borderId="20" fillId="0" fontId="2" numFmtId="0" xfId="0" applyBorder="1" applyFont="1"/>
    <xf borderId="4" fillId="8" fontId="5" numFmtId="0" xfId="0" applyAlignment="1" applyBorder="1" applyFont="1">
      <alignment horizontal="center" readingOrder="0" shrinkToFit="0" vertical="center" wrapText="0"/>
    </xf>
    <xf borderId="4" fillId="8" fontId="2" numFmtId="0" xfId="0" applyBorder="1" applyFont="1"/>
    <xf borderId="4" fillId="5" fontId="5" numFmtId="0" xfId="0" applyAlignment="1" applyBorder="1" applyFont="1">
      <alignment horizontal="center" readingOrder="0" shrinkToFit="0" vertical="center" wrapText="0"/>
    </xf>
    <xf borderId="4" fillId="0" fontId="2" numFmtId="0" xfId="0" applyBorder="1" applyFont="1"/>
    <xf borderId="4" fillId="7" fontId="14" numFmtId="0" xfId="0" applyAlignment="1" applyBorder="1" applyFont="1">
      <alignment horizontal="center" readingOrder="0" shrinkToFit="0" vertical="center" wrapText="1"/>
    </xf>
    <xf borderId="4" fillId="7" fontId="2" numFmtId="0" xfId="0" applyBorder="1" applyFont="1"/>
    <xf borderId="0" fillId="0" fontId="13" numFmtId="0" xfId="0" applyFont="1"/>
    <xf borderId="4" fillId="7" fontId="8" numFmtId="0" xfId="0" applyAlignment="1" applyBorder="1" applyFont="1">
      <alignment horizontal="center" readingOrder="0" shrinkToFit="0" vertical="center" wrapText="0"/>
    </xf>
    <xf borderId="4" fillId="9" fontId="8" numFmtId="0" xfId="0" applyAlignment="1" applyBorder="1" applyFont="1">
      <alignment horizontal="center" readingOrder="0" shrinkToFit="0" vertical="center" wrapText="0"/>
    </xf>
    <xf borderId="4" fillId="8" fontId="6" numFmtId="0" xfId="0" applyAlignment="1" applyBorder="1" applyFont="1">
      <alignment horizontal="center" readingOrder="0" shrinkToFit="0" vertical="center" wrapText="0"/>
    </xf>
    <xf borderId="4" fillId="4" fontId="6" numFmtId="169" xfId="0" applyAlignment="1" applyBorder="1" applyFont="1" applyNumberFormat="1">
      <alignment horizontal="center" readingOrder="0" shrinkToFit="0" vertical="center" wrapText="0"/>
    </xf>
    <xf borderId="4" fillId="5" fontId="6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7">
    <tableStyle count="2" pivot="0" name="BettingScoreboard-style">
      <tableStyleElement dxfId="2" type="firstRowStripe"/>
      <tableStyleElement dxfId="3" type="secondRowStripe"/>
    </tableStyle>
    <tableStyle count="2" pivot="0" name="BettingScoreboard-style 2">
      <tableStyleElement dxfId="2" type="firstRowStripe"/>
      <tableStyleElement dxfId="3" type="secondRowStripe"/>
    </tableStyle>
    <tableStyle count="2" pivot="0" name="BettingScoreboard-style 3">
      <tableStyleElement dxfId="2" type="firstRowStripe"/>
      <tableStyleElement dxfId="3" type="secondRowStripe"/>
    </tableStyle>
    <tableStyle count="2" pivot="0" name="Betting SETUP-style">
      <tableStyleElement dxfId="2" type="firstRowStripe"/>
      <tableStyleElement dxfId="3" type="secondRowStripe"/>
    </tableStyle>
    <tableStyle count="2" pivot="0" name="Betting SETUP-style 2">
      <tableStyleElement dxfId="2" type="firstRowStripe"/>
      <tableStyleElement dxfId="3" type="secondRowStripe"/>
    </tableStyle>
    <tableStyle count="2" pivot="0" name="Betting SETUP-style 3">
      <tableStyleElement dxfId="2" type="firstRowStripe"/>
      <tableStyleElement dxfId="3" type="secondRowStripe"/>
    </tableStyle>
    <tableStyle count="2" pivot="0" name="Betting SETUP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9" displayName="Table_1" name="Table_1" id="1">
  <tableColumns count="1">
    <tableColumn name="Column1" id="1"/>
  </tableColumns>
  <tableStyleInfo name="BettingScore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A21" displayName="Table_2" name="Table_2" id="2">
  <tableColumns count="1">
    <tableColumn name="Column1" id="1"/>
  </tableColumns>
  <tableStyleInfo name="BettingScoreboard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4:A31" displayName="Table_3" name="Table_3" id="3">
  <tableColumns count="1">
    <tableColumn name="Column1" id="1"/>
  </tableColumns>
  <tableStyleInfo name="BettingScoreboard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:B11" displayName="Table_4" name="Table_4" id="4">
  <tableColumns count="2">
    <tableColumn name="Column1" id="1"/>
    <tableColumn name="Column2" id="2"/>
  </tableColumns>
  <tableStyleInfo name="Betting SETUP-style" showColumnStripes="0" showFirstColumn="1" showLastColumn="1" showRowStripes="1"/>
</table>
</file>

<file path=xl/tables/table5.xml><?xml version="1.0" encoding="utf-8"?>
<table xmlns="http://schemas.openxmlformats.org/spreadsheetml/2006/main" headerRowCount="0" ref="C2:C11" displayName="Table_5" name="Table_5" id="5">
  <tableColumns count="1">
    <tableColumn name="Column1" id="1"/>
  </tableColumns>
  <tableStyleInfo name="Betting SETUP-style 2" showColumnStripes="0" showFirstColumn="1" showLastColumn="1" showRowStripes="1"/>
</table>
</file>

<file path=xl/tables/table6.xml><?xml version="1.0" encoding="utf-8"?>
<table xmlns="http://schemas.openxmlformats.org/spreadsheetml/2006/main" headerRowCount="0" ref="D2:D11" displayName="Table_6" name="Table_6" id="6">
  <tableColumns count="1">
    <tableColumn name="Column1" id="1"/>
  </tableColumns>
  <tableStyleInfo name="Betting SETUP-style 3" showColumnStripes="0" showFirstColumn="1" showLastColumn="1" showRowStripes="1"/>
</table>
</file>

<file path=xl/tables/table7.xml><?xml version="1.0" encoding="utf-8"?>
<table xmlns="http://schemas.openxmlformats.org/spreadsheetml/2006/main" headerRowCount="0" ref="E2:E11" displayName="Table_7" name="Table_7" id="7">
  <tableColumns count="1">
    <tableColumn name="Column1" id="1"/>
  </tableColumns>
  <tableStyleInfo name="Betting SETUP-style 4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3.0"/>
    <col customWidth="1" min="3" max="3" width="17.29"/>
    <col customWidth="1" min="4" max="4" width="13.0"/>
    <col customWidth="1" min="5" max="7" width="14.43"/>
  </cols>
  <sheetData>
    <row r="1" ht="39.0" customHeight="1">
      <c r="A1" s="1" t="s">
        <v>0</v>
      </c>
      <c r="B1" s="2"/>
      <c r="C1" s="2"/>
      <c r="D1" s="2"/>
      <c r="E1" s="2"/>
      <c r="F1" s="2"/>
      <c r="G1" s="3"/>
    </row>
    <row r="2" ht="23.25" customHeight="1">
      <c r="A2" s="4" t="s">
        <v>1</v>
      </c>
      <c r="B2" s="4" t="s">
        <v>2</v>
      </c>
      <c r="C2" s="5" t="s">
        <v>3</v>
      </c>
      <c r="D2" s="5" t="s">
        <v>4</v>
      </c>
      <c r="E2" s="6" t="str">
        <f>Scorecards!C1</f>
        <v>STOATIN BRAE</v>
      </c>
      <c r="F2" s="6" t="str">
        <f>Scorecards!C15</f>
        <v>STONEHEDGE N</v>
      </c>
      <c r="G2" s="6" t="str">
        <f>Scorecards!C29</f>
        <v>STOATIN BRAE</v>
      </c>
    </row>
    <row r="3" ht="26.25" customHeight="1">
      <c r="A3" s="7">
        <f t="array" ref="A3">index('Score Calcuations'!$M$3:$M$10,match(C3,'Score Calcuations'!$A$3:$A$10))</f>
        <v>0</v>
      </c>
      <c r="B3" s="8" t="str">
        <f>IFERROR(__xludf.DUMMYFUNCTION("query(index('Score Calcuations'!A3:M10&amp;""""),""select Col4,Col1,Col12,Col6,Col8,Col10 ORDER BY Col12"",0)"),"1")</f>
        <v>1</v>
      </c>
      <c r="C3" s="8" t="str">
        <f>IFERROR(__xludf.DUMMYFUNCTION("""COMPUTED_VALUE"""),"Brian K")</f>
        <v>Brian K</v>
      </c>
      <c r="D3" s="9" t="str">
        <f>IFERROR(__xludf.DUMMYFUNCTION("""COMPUTED_VALUE"""),"214")</f>
        <v>214</v>
      </c>
      <c r="E3" s="10" t="str">
        <f>IFERROR(__xludf.DUMMYFUNCTION("""COMPUTED_VALUE"""),"73")</f>
        <v>73</v>
      </c>
      <c r="F3" s="10" t="str">
        <f>IFERROR(__xludf.DUMMYFUNCTION("""COMPUTED_VALUE"""),"68")</f>
        <v>68</v>
      </c>
      <c r="G3" s="10" t="str">
        <f>IFERROR(__xludf.DUMMYFUNCTION("""COMPUTED_VALUE"""),"73")</f>
        <v>73</v>
      </c>
    </row>
    <row r="4" ht="26.25" customHeight="1">
      <c r="A4" s="7">
        <f t="array" ref="A4">index('Score Calcuations'!$M$3:$M$10,match(C4,'Score Calcuations'!$A$3:$A$10))</f>
        <v>9</v>
      </c>
      <c r="B4" s="8" t="str">
        <f>IFERROR(__xludf.DUMMYFUNCTION("""COMPUTED_VALUE"""),"2")</f>
        <v>2</v>
      </c>
      <c r="C4" s="8" t="str">
        <f>IFERROR(__xludf.DUMMYFUNCTION("""COMPUTED_VALUE"""),"Scott R")</f>
        <v>Scott R</v>
      </c>
      <c r="D4" s="9" t="str">
        <f>IFERROR(__xludf.DUMMYFUNCTION("""COMPUTED_VALUE"""),"223")</f>
        <v>223</v>
      </c>
      <c r="E4" s="10" t="str">
        <f>IFERROR(__xludf.DUMMYFUNCTION("""COMPUTED_VALUE"""),"70")</f>
        <v>70</v>
      </c>
      <c r="F4" s="10" t="str">
        <f>IFERROR(__xludf.DUMMYFUNCTION("""COMPUTED_VALUE"""),"74")</f>
        <v>74</v>
      </c>
      <c r="G4" s="10" t="str">
        <f>IFERROR(__xludf.DUMMYFUNCTION("""COMPUTED_VALUE"""),"79")</f>
        <v>79</v>
      </c>
    </row>
    <row r="5" ht="26.25" customHeight="1">
      <c r="A5" s="7">
        <f t="array" ref="A5">index('Score Calcuations'!$M$3:$M$10,match(C5,'Score Calcuations'!$A$3:$A$10))</f>
        <v>12</v>
      </c>
      <c r="B5" s="8" t="str">
        <f>IFERROR(__xludf.DUMMYFUNCTION("""COMPUTED_VALUE"""),"3")</f>
        <v>3</v>
      </c>
      <c r="C5" s="8" t="str">
        <f>IFERROR(__xludf.DUMMYFUNCTION("""COMPUTED_VALUE"""),"Eric O")</f>
        <v>Eric O</v>
      </c>
      <c r="D5" s="9" t="str">
        <f>IFERROR(__xludf.DUMMYFUNCTION("""COMPUTED_VALUE"""),"226")</f>
        <v>226</v>
      </c>
      <c r="E5" s="10" t="str">
        <f>IFERROR(__xludf.DUMMYFUNCTION("""COMPUTED_VALUE"""),"75")</f>
        <v>75</v>
      </c>
      <c r="F5" s="10" t="str">
        <f>IFERROR(__xludf.DUMMYFUNCTION("""COMPUTED_VALUE"""),"67")</f>
        <v>67</v>
      </c>
      <c r="G5" s="10" t="str">
        <f>IFERROR(__xludf.DUMMYFUNCTION("""COMPUTED_VALUE"""),"84")</f>
        <v>84</v>
      </c>
    </row>
    <row r="6" ht="26.25" customHeight="1">
      <c r="A6" s="7">
        <f t="array" ref="A6">index('Score Calcuations'!$M$3:$M$10,match(C6,'Score Calcuations'!$A$3:$A$10))</f>
        <v>13</v>
      </c>
      <c r="B6" s="8" t="str">
        <f>IFERROR(__xludf.DUMMYFUNCTION("""COMPUTED_VALUE"""),"T4")</f>
        <v>T4</v>
      </c>
      <c r="C6" s="8" t="str">
        <f>IFERROR(__xludf.DUMMYFUNCTION("""COMPUTED_VALUE"""),"Aaron J")</f>
        <v>Aaron J</v>
      </c>
      <c r="D6" s="9" t="str">
        <f>IFERROR(__xludf.DUMMYFUNCTION("""COMPUTED_VALUE"""),"227")</f>
        <v>227</v>
      </c>
      <c r="E6" s="10" t="str">
        <f>IFERROR(__xludf.DUMMYFUNCTION("""COMPUTED_VALUE"""),"79")</f>
        <v>79</v>
      </c>
      <c r="F6" s="10" t="str">
        <f>IFERROR(__xludf.DUMMYFUNCTION("""COMPUTED_VALUE"""),"74")</f>
        <v>74</v>
      </c>
      <c r="G6" s="10" t="str">
        <f>IFERROR(__xludf.DUMMYFUNCTION("""COMPUTED_VALUE"""),"74")</f>
        <v>74</v>
      </c>
    </row>
    <row r="7" ht="26.25" customHeight="1">
      <c r="A7" s="7">
        <f t="array" ref="A7">index('Score Calcuations'!$M$3:$M$10,match(C7,'Score Calcuations'!$A$3:$A$10))</f>
        <v>13</v>
      </c>
      <c r="B7" s="8" t="str">
        <f>IFERROR(__xludf.DUMMYFUNCTION("""COMPUTED_VALUE"""),"T4")</f>
        <v>T4</v>
      </c>
      <c r="C7" s="8" t="str">
        <f>IFERROR(__xludf.DUMMYFUNCTION("""COMPUTED_VALUE"""),"Andy V")</f>
        <v>Andy V</v>
      </c>
      <c r="D7" s="9" t="str">
        <f>IFERROR(__xludf.DUMMYFUNCTION("""COMPUTED_VALUE"""),"227")</f>
        <v>227</v>
      </c>
      <c r="E7" s="10" t="str">
        <f>IFERROR(__xludf.DUMMYFUNCTION("""COMPUTED_VALUE"""),"74")</f>
        <v>74</v>
      </c>
      <c r="F7" s="10" t="str">
        <f>IFERROR(__xludf.DUMMYFUNCTION("""COMPUTED_VALUE"""),"75")</f>
        <v>75</v>
      </c>
      <c r="G7" s="10" t="str">
        <f>IFERROR(__xludf.DUMMYFUNCTION("""COMPUTED_VALUE"""),"78")</f>
        <v>78</v>
      </c>
    </row>
    <row r="8" ht="26.25" customHeight="1">
      <c r="A8" s="7">
        <f t="array" ref="A8">index('Score Calcuations'!$M$3:$M$10,match(C8,'Score Calcuations'!$A$3:$A$10))</f>
        <v>15</v>
      </c>
      <c r="B8" s="8" t="str">
        <f>IFERROR(__xludf.DUMMYFUNCTION("""COMPUTED_VALUE"""),"6")</f>
        <v>6</v>
      </c>
      <c r="C8" s="8" t="str">
        <f>IFERROR(__xludf.DUMMYFUNCTION("""COMPUTED_VALUE"""),"Jeff B")</f>
        <v>Jeff B</v>
      </c>
      <c r="D8" s="9" t="str">
        <f>IFERROR(__xludf.DUMMYFUNCTION("""COMPUTED_VALUE"""),"229")</f>
        <v>229</v>
      </c>
      <c r="E8" s="10" t="str">
        <f>IFERROR(__xludf.DUMMYFUNCTION("""COMPUTED_VALUE"""),"74")</f>
        <v>74</v>
      </c>
      <c r="F8" s="10" t="str">
        <f>IFERROR(__xludf.DUMMYFUNCTION("""COMPUTED_VALUE"""),"79")</f>
        <v>79</v>
      </c>
      <c r="G8" s="10" t="str">
        <f>IFERROR(__xludf.DUMMYFUNCTION("""COMPUTED_VALUE"""),"76")</f>
        <v>76</v>
      </c>
    </row>
    <row r="9" ht="26.25" customHeight="1">
      <c r="A9" s="7">
        <f t="array" ref="A9">index('Score Calcuations'!$M$3:$M$10,match(C9,'Score Calcuations'!$A$3:$A$10))</f>
        <v>18</v>
      </c>
      <c r="B9" s="8" t="str">
        <f>IFERROR(__xludf.DUMMYFUNCTION("""COMPUTED_VALUE"""),"7")</f>
        <v>7</v>
      </c>
      <c r="C9" s="8" t="str">
        <f>IFERROR(__xludf.DUMMYFUNCTION("""COMPUTED_VALUE"""),"Bob B")</f>
        <v>Bob B</v>
      </c>
      <c r="D9" s="9" t="str">
        <f>IFERROR(__xludf.DUMMYFUNCTION("""COMPUTED_VALUE"""),"232")</f>
        <v>232</v>
      </c>
      <c r="E9" s="10" t="str">
        <f>IFERROR(__xludf.DUMMYFUNCTION("""COMPUTED_VALUE"""),"76")</f>
        <v>76</v>
      </c>
      <c r="F9" s="10" t="str">
        <f>IFERROR(__xludf.DUMMYFUNCTION("""COMPUTED_VALUE"""),"82")</f>
        <v>82</v>
      </c>
      <c r="G9" s="10" t="str">
        <f>IFERROR(__xludf.DUMMYFUNCTION("""COMPUTED_VALUE"""),"74")</f>
        <v>74</v>
      </c>
    </row>
    <row r="10" ht="26.25" customHeight="1">
      <c r="A10" s="7">
        <f t="array" ref="A10">index('Score Calcuations'!$M$3:$M$10,match(C10,'Score Calcuations'!$A$3:$A$10))</f>
        <v>21</v>
      </c>
      <c r="B10" s="8" t="str">
        <f>IFERROR(__xludf.DUMMYFUNCTION("""COMPUTED_VALUE"""),"8")</f>
        <v>8</v>
      </c>
      <c r="C10" s="8" t="str">
        <f>IFERROR(__xludf.DUMMYFUNCTION("""COMPUTED_VALUE"""),"Russ W")</f>
        <v>Russ W</v>
      </c>
      <c r="D10" s="9" t="str">
        <f>IFERROR(__xludf.DUMMYFUNCTION("""COMPUTED_VALUE"""),"235")</f>
        <v>235</v>
      </c>
      <c r="E10" s="10" t="str">
        <f>IFERROR(__xludf.DUMMYFUNCTION("""COMPUTED_VALUE"""),"76")</f>
        <v>76</v>
      </c>
      <c r="F10" s="10" t="str">
        <f>IFERROR(__xludf.DUMMYFUNCTION("""COMPUTED_VALUE"""),"75")</f>
        <v>75</v>
      </c>
      <c r="G10" s="10" t="str">
        <f>IFERROR(__xludf.DUMMYFUNCTION("""COMPUTED_VALUE"""),"84")</f>
        <v>84</v>
      </c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86"/>
    <col customWidth="1" min="2" max="21" width="5.0"/>
    <col customWidth="1" min="22" max="23" width="3.57"/>
    <col customWidth="1" min="24" max="25" width="7.43"/>
  </cols>
  <sheetData>
    <row r="1" ht="12.75" customHeight="1">
      <c r="A1" s="11"/>
      <c r="B1" s="12"/>
      <c r="C1" s="13" t="str">
        <f>SETUP!D1</f>
        <v>STOATIN BRAE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/>
      <c r="W1" s="16"/>
      <c r="X1" s="17">
        <f>SETUP!D2</f>
        <v>69.2</v>
      </c>
      <c r="Y1" s="18">
        <f>SETUP!D3</f>
        <v>119</v>
      </c>
    </row>
    <row r="2" ht="12.75" customHeight="1">
      <c r="A2" s="11"/>
      <c r="B2" s="12"/>
      <c r="C2" s="18" t="s">
        <v>5</v>
      </c>
      <c r="D2" s="19">
        <v>1.0</v>
      </c>
      <c r="E2" s="19">
        <v>2.0</v>
      </c>
      <c r="F2" s="19">
        <v>3.0</v>
      </c>
      <c r="G2" s="19">
        <v>4.0</v>
      </c>
      <c r="H2" s="19">
        <v>5.0</v>
      </c>
      <c r="I2" s="19">
        <v>6.0</v>
      </c>
      <c r="J2" s="19">
        <v>7.0</v>
      </c>
      <c r="K2" s="19">
        <v>8.0</v>
      </c>
      <c r="L2" s="19">
        <v>9.0</v>
      </c>
      <c r="M2" s="19">
        <v>10.0</v>
      </c>
      <c r="N2" s="19">
        <v>11.0</v>
      </c>
      <c r="O2" s="19">
        <v>12.0</v>
      </c>
      <c r="P2" s="19">
        <v>13.0</v>
      </c>
      <c r="Q2" s="19">
        <v>14.0</v>
      </c>
      <c r="R2" s="19">
        <v>15.0</v>
      </c>
      <c r="S2" s="19">
        <v>16.0</v>
      </c>
      <c r="T2" s="19">
        <v>17.0</v>
      </c>
      <c r="U2" s="19">
        <v>18.0</v>
      </c>
      <c r="V2" s="20" t="s">
        <v>6</v>
      </c>
      <c r="W2" s="20" t="s">
        <v>7</v>
      </c>
      <c r="X2" s="19" t="s">
        <v>8</v>
      </c>
      <c r="Y2" s="19" t="s">
        <v>9</v>
      </c>
    </row>
    <row r="3" ht="12.75" customHeight="1">
      <c r="A3" s="21" t="s">
        <v>10</v>
      </c>
      <c r="B3" s="22" t="s">
        <v>11</v>
      </c>
      <c r="C3" s="23" t="s">
        <v>12</v>
      </c>
      <c r="D3" s="24">
        <v>4.0</v>
      </c>
      <c r="E3" s="24">
        <v>3.0</v>
      </c>
      <c r="F3" s="24">
        <v>4.0</v>
      </c>
      <c r="G3" s="24">
        <v>4.0</v>
      </c>
      <c r="H3" s="24">
        <v>4.0</v>
      </c>
      <c r="I3" s="24">
        <v>5.0</v>
      </c>
      <c r="J3" s="24">
        <v>3.0</v>
      </c>
      <c r="K3" s="24">
        <v>4.0</v>
      </c>
      <c r="L3" s="24">
        <v>5.0</v>
      </c>
      <c r="M3" s="24">
        <v>4.0</v>
      </c>
      <c r="N3" s="24">
        <v>3.0</v>
      </c>
      <c r="O3" s="24">
        <v>4.0</v>
      </c>
      <c r="P3" s="24">
        <v>4.0</v>
      </c>
      <c r="Q3" s="24">
        <v>3.0</v>
      </c>
      <c r="R3" s="24">
        <v>4.0</v>
      </c>
      <c r="S3" s="24">
        <v>5.0</v>
      </c>
      <c r="T3" s="24">
        <v>3.0</v>
      </c>
      <c r="U3" s="24">
        <v>5.0</v>
      </c>
      <c r="V3" s="25">
        <f t="shared" ref="V3:V11" si="1">SUM(D3:L3)</f>
        <v>36</v>
      </c>
      <c r="W3" s="25">
        <f t="shared" ref="W3:W11" si="2">SUM(M3:U3)</f>
        <v>35</v>
      </c>
      <c r="X3" s="25">
        <f>V3+W3</f>
        <v>71</v>
      </c>
      <c r="Y3" s="25"/>
    </row>
    <row r="4" ht="12.75" customHeight="1">
      <c r="A4" s="26" t="s">
        <v>13</v>
      </c>
      <c r="B4" s="26">
        <f t="array" ref="B4">index(SETUP!D:D,match(A4,SETUP!A:A,0))</f>
        <v>5</v>
      </c>
      <c r="C4" s="23"/>
      <c r="D4" s="27">
        <v>4.0</v>
      </c>
      <c r="E4" s="27">
        <v>3.0</v>
      </c>
      <c r="F4" s="27">
        <v>5.0</v>
      </c>
      <c r="G4" s="27">
        <v>4.0</v>
      </c>
      <c r="H4" s="27">
        <v>5.0</v>
      </c>
      <c r="I4" s="27">
        <v>5.0</v>
      </c>
      <c r="J4" s="27">
        <v>5.0</v>
      </c>
      <c r="K4" s="27">
        <v>6.0</v>
      </c>
      <c r="L4" s="27">
        <v>6.0</v>
      </c>
      <c r="M4" s="27">
        <v>4.0</v>
      </c>
      <c r="N4" s="27">
        <v>3.0</v>
      </c>
      <c r="O4" s="27">
        <v>5.0</v>
      </c>
      <c r="P4" s="27">
        <v>6.0</v>
      </c>
      <c r="Q4" s="27">
        <v>3.0</v>
      </c>
      <c r="R4" s="27">
        <v>4.0</v>
      </c>
      <c r="S4" s="27">
        <v>5.0</v>
      </c>
      <c r="T4" s="27">
        <v>5.0</v>
      </c>
      <c r="U4" s="27">
        <v>6.0</v>
      </c>
      <c r="V4" s="28">
        <f t="shared" si="1"/>
        <v>43</v>
      </c>
      <c r="W4" s="28">
        <f t="shared" si="2"/>
        <v>41</v>
      </c>
      <c r="X4" s="28">
        <f t="shared" ref="X4:X11" si="3">IF(W4&gt;0,V4+W4,"")</f>
        <v>84</v>
      </c>
      <c r="Y4" s="28">
        <f t="shared" ref="Y4:Y11" si="4">IF(W4=0,"",X4-B4)</f>
        <v>79</v>
      </c>
    </row>
    <row r="5" ht="12.75" customHeight="1">
      <c r="A5" s="29" t="s">
        <v>14</v>
      </c>
      <c r="B5" s="29">
        <f t="array" ref="B5">index(SETUP!D:D,match(A5,SETUP!A:A,0))</f>
        <v>11</v>
      </c>
      <c r="C5" s="23"/>
      <c r="D5" s="30">
        <v>4.0</v>
      </c>
      <c r="E5" s="30">
        <v>5.0</v>
      </c>
      <c r="F5" s="30">
        <v>5.0</v>
      </c>
      <c r="G5" s="30">
        <v>5.0</v>
      </c>
      <c r="H5" s="30">
        <v>4.0</v>
      </c>
      <c r="I5" s="30">
        <v>5.0</v>
      </c>
      <c r="J5" s="30">
        <v>6.0</v>
      </c>
      <c r="K5" s="30">
        <v>4.0</v>
      </c>
      <c r="L5" s="30">
        <v>5.0</v>
      </c>
      <c r="M5" s="30">
        <v>5.0</v>
      </c>
      <c r="N5" s="30">
        <v>4.0</v>
      </c>
      <c r="O5" s="30">
        <v>4.0</v>
      </c>
      <c r="P5" s="30">
        <v>6.0</v>
      </c>
      <c r="Q5" s="30">
        <v>4.0</v>
      </c>
      <c r="R5" s="30">
        <v>4.0</v>
      </c>
      <c r="S5" s="30">
        <v>5.0</v>
      </c>
      <c r="T5" s="30">
        <v>5.0</v>
      </c>
      <c r="U5" s="30">
        <v>5.0</v>
      </c>
      <c r="V5" s="31">
        <f t="shared" si="1"/>
        <v>43</v>
      </c>
      <c r="W5" s="31">
        <f t="shared" si="2"/>
        <v>42</v>
      </c>
      <c r="X5" s="31">
        <f t="shared" si="3"/>
        <v>85</v>
      </c>
      <c r="Y5" s="31">
        <f t="shared" si="4"/>
        <v>74</v>
      </c>
    </row>
    <row r="6" ht="12.75" customHeight="1">
      <c r="A6" s="26" t="s">
        <v>15</v>
      </c>
      <c r="B6" s="26">
        <f t="array" ref="B6">index(SETUP!D:D,match(A6,SETUP!A:A,0))</f>
        <v>14</v>
      </c>
      <c r="C6" s="23"/>
      <c r="D6" s="27">
        <v>6.0</v>
      </c>
      <c r="E6" s="27">
        <v>4.0</v>
      </c>
      <c r="F6" s="27">
        <v>4.0</v>
      </c>
      <c r="G6" s="27">
        <v>5.0</v>
      </c>
      <c r="H6" s="27">
        <v>5.0</v>
      </c>
      <c r="I6" s="27">
        <v>6.0</v>
      </c>
      <c r="J6" s="27">
        <v>4.0</v>
      </c>
      <c r="K6" s="27">
        <v>5.0</v>
      </c>
      <c r="L6" s="27">
        <v>6.0</v>
      </c>
      <c r="M6" s="27">
        <v>5.0</v>
      </c>
      <c r="N6" s="27">
        <v>4.0</v>
      </c>
      <c r="O6" s="27">
        <v>4.0</v>
      </c>
      <c r="P6" s="27">
        <v>6.0</v>
      </c>
      <c r="Q6" s="27">
        <v>3.0</v>
      </c>
      <c r="R6" s="27">
        <v>5.0</v>
      </c>
      <c r="S6" s="27">
        <v>7.0</v>
      </c>
      <c r="T6" s="27">
        <v>4.0</v>
      </c>
      <c r="U6" s="27">
        <v>7.0</v>
      </c>
      <c r="V6" s="28">
        <f t="shared" si="1"/>
        <v>45</v>
      </c>
      <c r="W6" s="28">
        <f t="shared" si="2"/>
        <v>45</v>
      </c>
      <c r="X6" s="28">
        <f t="shared" si="3"/>
        <v>90</v>
      </c>
      <c r="Y6" s="28">
        <f t="shared" si="4"/>
        <v>76</v>
      </c>
    </row>
    <row r="7" ht="12.75" customHeight="1">
      <c r="A7" s="29" t="s">
        <v>16</v>
      </c>
      <c r="B7" s="29">
        <v>11.0</v>
      </c>
      <c r="C7" s="23"/>
      <c r="D7" s="30">
        <v>4.0</v>
      </c>
      <c r="E7" s="30">
        <v>4.0</v>
      </c>
      <c r="F7" s="30">
        <v>7.0</v>
      </c>
      <c r="G7" s="30">
        <v>4.0</v>
      </c>
      <c r="H7" s="30">
        <v>5.0</v>
      </c>
      <c r="I7" s="30">
        <v>5.0</v>
      </c>
      <c r="J7" s="30">
        <v>5.0</v>
      </c>
      <c r="K7" s="30">
        <v>5.0</v>
      </c>
      <c r="L7" s="30">
        <v>6.0</v>
      </c>
      <c r="M7" s="30">
        <v>3.0</v>
      </c>
      <c r="N7" s="30">
        <v>3.0</v>
      </c>
      <c r="O7" s="30">
        <v>5.0</v>
      </c>
      <c r="P7" s="30">
        <v>5.0</v>
      </c>
      <c r="Q7" s="30">
        <v>3.0</v>
      </c>
      <c r="R7" s="30">
        <v>4.0</v>
      </c>
      <c r="S7" s="30">
        <v>6.0</v>
      </c>
      <c r="T7" s="30">
        <v>4.0</v>
      </c>
      <c r="U7" s="30">
        <v>6.0</v>
      </c>
      <c r="V7" s="31">
        <f t="shared" si="1"/>
        <v>45</v>
      </c>
      <c r="W7" s="31">
        <f t="shared" si="2"/>
        <v>39</v>
      </c>
      <c r="X7" s="31">
        <f t="shared" si="3"/>
        <v>84</v>
      </c>
      <c r="Y7" s="31">
        <f t="shared" si="4"/>
        <v>73</v>
      </c>
    </row>
    <row r="8" ht="12.75" customHeight="1">
      <c r="A8" s="26" t="s">
        <v>17</v>
      </c>
      <c r="B8" s="26">
        <f t="array" ref="B8">index(SETUP!D:D,match(A8,SETUP!A:A,0))</f>
        <v>13</v>
      </c>
      <c r="C8" s="23"/>
      <c r="D8" s="27">
        <v>4.0</v>
      </c>
      <c r="E8" s="27">
        <v>3.0</v>
      </c>
      <c r="F8" s="27">
        <v>5.0</v>
      </c>
      <c r="G8" s="27">
        <v>4.0</v>
      </c>
      <c r="H8" s="27">
        <v>5.0</v>
      </c>
      <c r="I8" s="27">
        <v>5.0</v>
      </c>
      <c r="J8" s="27">
        <v>5.0</v>
      </c>
      <c r="K8" s="27">
        <v>7.0</v>
      </c>
      <c r="L8" s="27">
        <v>7.0</v>
      </c>
      <c r="M8" s="27">
        <v>5.0</v>
      </c>
      <c r="N8" s="27">
        <v>4.0</v>
      </c>
      <c r="O8" s="27">
        <v>7.0</v>
      </c>
      <c r="P8" s="27">
        <v>5.0</v>
      </c>
      <c r="Q8" s="27">
        <v>5.0</v>
      </c>
      <c r="R8" s="27">
        <v>4.0</v>
      </c>
      <c r="S8" s="27">
        <v>5.0</v>
      </c>
      <c r="T8" s="27">
        <v>3.0</v>
      </c>
      <c r="U8" s="27">
        <v>5.0</v>
      </c>
      <c r="V8" s="28">
        <f t="shared" si="1"/>
        <v>45</v>
      </c>
      <c r="W8" s="28">
        <f t="shared" si="2"/>
        <v>43</v>
      </c>
      <c r="X8" s="28">
        <f t="shared" si="3"/>
        <v>88</v>
      </c>
      <c r="Y8" s="28">
        <f t="shared" si="4"/>
        <v>75</v>
      </c>
    </row>
    <row r="9" ht="12.75" customHeight="1">
      <c r="A9" s="32" t="s">
        <v>18</v>
      </c>
      <c r="B9" s="32">
        <f t="array" ref="B9">index(SETUP!D:D,match(A9,SETUP!A:A,0))</f>
        <v>14</v>
      </c>
      <c r="C9" s="23"/>
      <c r="D9" s="30">
        <v>5.0</v>
      </c>
      <c r="E9" s="30">
        <v>5.0</v>
      </c>
      <c r="F9" s="30">
        <v>5.0</v>
      </c>
      <c r="G9" s="30">
        <v>4.0</v>
      </c>
      <c r="H9" s="30">
        <v>5.0</v>
      </c>
      <c r="I9" s="30">
        <v>6.0</v>
      </c>
      <c r="J9" s="30">
        <v>7.0</v>
      </c>
      <c r="K9" s="30">
        <v>4.0</v>
      </c>
      <c r="L9" s="30">
        <v>8.0</v>
      </c>
      <c r="M9" s="30">
        <v>4.0</v>
      </c>
      <c r="N9" s="30">
        <v>2.0</v>
      </c>
      <c r="O9" s="30">
        <v>5.0</v>
      </c>
      <c r="P9" s="30">
        <v>5.0</v>
      </c>
      <c r="Q9" s="30">
        <v>5.0</v>
      </c>
      <c r="R9" s="30">
        <v>4.0</v>
      </c>
      <c r="S9" s="30">
        <v>5.0</v>
      </c>
      <c r="T9" s="30">
        <v>4.0</v>
      </c>
      <c r="U9" s="30">
        <v>5.0</v>
      </c>
      <c r="V9" s="31">
        <f t="shared" si="1"/>
        <v>49</v>
      </c>
      <c r="W9" s="31">
        <f t="shared" si="2"/>
        <v>39</v>
      </c>
      <c r="X9" s="31">
        <f t="shared" si="3"/>
        <v>88</v>
      </c>
      <c r="Y9" s="31">
        <f t="shared" si="4"/>
        <v>74</v>
      </c>
    </row>
    <row r="10" ht="12.75" customHeight="1">
      <c r="A10" s="33" t="s">
        <v>19</v>
      </c>
      <c r="B10" s="33">
        <f t="array" ref="B10">index(SETUP!D:D,match(A10,SETUP!A:A,0))</f>
        <v>11</v>
      </c>
      <c r="C10" s="23"/>
      <c r="D10" s="27">
        <v>5.0</v>
      </c>
      <c r="E10" s="27">
        <v>2.0</v>
      </c>
      <c r="F10" s="27">
        <v>5.0</v>
      </c>
      <c r="G10" s="27">
        <v>5.0</v>
      </c>
      <c r="H10" s="27">
        <v>5.0</v>
      </c>
      <c r="I10" s="27">
        <v>9.0</v>
      </c>
      <c r="J10" s="27">
        <v>3.0</v>
      </c>
      <c r="K10" s="27">
        <v>5.0</v>
      </c>
      <c r="L10" s="27">
        <v>7.0</v>
      </c>
      <c r="M10" s="27">
        <v>4.0</v>
      </c>
      <c r="N10" s="27">
        <v>4.0</v>
      </c>
      <c r="O10" s="27">
        <v>5.0</v>
      </c>
      <c r="P10" s="27">
        <v>6.0</v>
      </c>
      <c r="Q10" s="27">
        <v>3.0</v>
      </c>
      <c r="R10" s="27">
        <v>5.0</v>
      </c>
      <c r="S10" s="27">
        <v>5.0</v>
      </c>
      <c r="T10" s="27">
        <v>4.0</v>
      </c>
      <c r="U10" s="27">
        <v>5.0</v>
      </c>
      <c r="V10" s="28">
        <f t="shared" si="1"/>
        <v>46</v>
      </c>
      <c r="W10" s="28">
        <f t="shared" si="2"/>
        <v>41</v>
      </c>
      <c r="X10" s="28">
        <f t="shared" si="3"/>
        <v>87</v>
      </c>
      <c r="Y10" s="28">
        <f t="shared" si="4"/>
        <v>76</v>
      </c>
    </row>
    <row r="11" ht="12.75" customHeight="1">
      <c r="A11" s="34" t="s">
        <v>20</v>
      </c>
      <c r="B11" s="34">
        <v>5.0</v>
      </c>
      <c r="C11" s="23"/>
      <c r="D11" s="30">
        <v>4.0</v>
      </c>
      <c r="E11" s="30">
        <v>4.0</v>
      </c>
      <c r="F11" s="30">
        <v>3.0</v>
      </c>
      <c r="G11" s="30">
        <v>5.0</v>
      </c>
      <c r="H11" s="30">
        <v>5.0</v>
      </c>
      <c r="I11" s="30">
        <v>6.0</v>
      </c>
      <c r="J11" s="30">
        <v>3.0</v>
      </c>
      <c r="K11" s="30">
        <v>5.0</v>
      </c>
      <c r="L11" s="30">
        <v>4.0</v>
      </c>
      <c r="M11" s="30">
        <v>5.0</v>
      </c>
      <c r="N11" s="30">
        <v>3.0</v>
      </c>
      <c r="O11" s="30">
        <v>4.0</v>
      </c>
      <c r="P11" s="30">
        <v>4.0</v>
      </c>
      <c r="Q11" s="30">
        <v>3.0</v>
      </c>
      <c r="R11" s="30">
        <v>4.0</v>
      </c>
      <c r="S11" s="30">
        <v>5.0</v>
      </c>
      <c r="T11" s="30">
        <v>3.0</v>
      </c>
      <c r="U11" s="30">
        <v>5.0</v>
      </c>
      <c r="V11" s="35">
        <f t="shared" si="1"/>
        <v>39</v>
      </c>
      <c r="W11" s="35">
        <f t="shared" si="2"/>
        <v>36</v>
      </c>
      <c r="X11" s="31">
        <f t="shared" si="3"/>
        <v>75</v>
      </c>
      <c r="Y11" s="36">
        <f t="shared" si="4"/>
        <v>70</v>
      </c>
    </row>
    <row r="12" ht="12.75" customHeight="1">
      <c r="A12" s="11"/>
      <c r="B12" s="12"/>
      <c r="C12" s="23" t="s">
        <v>21</v>
      </c>
      <c r="D12" s="25" t="str">
        <f t="array" ref="D12">IF(SUM(IF(IF('Betting SETUP'!$D$4:$D$11="Y", D4:D11, 10)=MIN(IF('Betting SETUP'!$D$4:$D$11="Y", D4:D11, 10)), 1, 0)) &gt; 1, "", INDEX('Betting SETUP'!$A$4:$A$11,MATCH(MIN(IF('Betting SETUP'!$D$4:$D$11="Y",D4:D11,10)),IF('Betting SETUP'!$D$4:$D$11="Y",D4:D11,10),0)))</f>
        <v/>
      </c>
      <c r="E12" s="25" t="str">
        <f t="array" ref="E12">IF(SUM(IF(IF('Betting SETUP'!$D$4:$D$11="Y", E4:E11, 10)=MIN(IF('Betting SETUP'!$D$4:$D$11="Y", E4:E11, 10)), 1, 0)) &gt; 1, "", INDEX('Betting SETUP'!$A$4:$A$11,MATCH(MIN(IF('Betting SETUP'!$D$4:$D$11="Y",E4:E11,10)),IF('Betting SETUP'!$D$4:$D$11="Y",E4:E11,10),0)))</f>
        <v>RW</v>
      </c>
      <c r="F12" s="25" t="str">
        <f t="array" ref="F12">IF(SUM(IF(IF('Betting SETUP'!$D$4:$D$11="Y", F4:F11, 10)=MIN(IF('Betting SETUP'!$D$4:$D$11="Y", F4:F11, 10)), 1, 0)) &gt; 1, "", INDEX('Betting SETUP'!$A$4:$A$11,MATCH(MIN(IF('Betting SETUP'!$D$4:$D$11="Y",F4:F11,10)),IF('Betting SETUP'!$D$4:$D$11="Y",F4:F11,10),0)))</f>
        <v>SR</v>
      </c>
      <c r="G12" s="25" t="str">
        <f t="array" ref="G12">IF(SUM(IF(IF('Betting SETUP'!$D$4:$D$11="Y", G4:G11, 10)=MIN(IF('Betting SETUP'!$D$4:$D$11="Y", G4:G11, 10)), 1, 0)) &gt; 1, "", INDEX('Betting SETUP'!$A$4:$A$11,MATCH(MIN(IF('Betting SETUP'!$D$4:$D$11="Y",G4:G11,10)),IF('Betting SETUP'!$D$4:$D$11="Y",G4:G11,10),0)))</f>
        <v/>
      </c>
      <c r="H12" s="25" t="str">
        <f t="array" ref="H12">IF(SUM(IF(IF('Betting SETUP'!$D$4:$D$11="Y", H4:H11, 10)=MIN(IF('Betting SETUP'!$D$4:$D$11="Y", H4:H11, 10)), 1, 0)) &gt; 1, "", INDEX('Betting SETUP'!$A$4:$A$11,MATCH(MIN(IF('Betting SETUP'!$D$4:$D$11="Y",H4:H11,10)),IF('Betting SETUP'!$D$4:$D$11="Y",H4:H11,10),0)))</f>
        <v>AV</v>
      </c>
      <c r="I12" s="25" t="str">
        <f t="array" ref="I12">IF(SUM(IF(IF('Betting SETUP'!$D$4:$D$11="Y", I4:I11, 10)=MIN(IF('Betting SETUP'!$D$4:$D$11="Y", I4:I11, 10)), 1, 0)) &gt; 1, "", INDEX('Betting SETUP'!$A$4:$A$11,MATCH(MIN(IF('Betting SETUP'!$D$4:$D$11="Y",I4:I11,10)),IF('Betting SETUP'!$D$4:$D$11="Y",I4:I11,10),0)))</f>
        <v/>
      </c>
      <c r="J12" s="25" t="str">
        <f t="array" ref="J12">IF(SUM(IF(IF('Betting SETUP'!$D$4:$D$11="Y", J4:J11, 10)=MIN(IF('Betting SETUP'!$D$4:$D$11="Y", J4:J11, 10)), 1, 0)) &gt; 1, "", INDEX('Betting SETUP'!$A$4:$A$11,MATCH(MIN(IF('Betting SETUP'!$D$4:$D$11="Y",J4:J11,10)),IF('Betting SETUP'!$D$4:$D$11="Y",J4:J11,10),0)))</f>
        <v/>
      </c>
      <c r="K12" s="25" t="str">
        <f t="array" ref="K12">IF(SUM(IF(IF('Betting SETUP'!$D$4:$D$11="Y", K4:K11, 10)=MIN(IF('Betting SETUP'!$D$4:$D$11="Y", K4:K11, 10)), 1, 0)) &gt; 1, "", INDEX('Betting SETUP'!$A$4:$A$11,MATCH(MIN(IF('Betting SETUP'!$D$4:$D$11="Y",K4:K11,10)),IF('Betting SETUP'!$D$4:$D$11="Y",K4:K11,10),0)))</f>
        <v/>
      </c>
      <c r="L12" s="25" t="str">
        <f t="array" ref="L12">IF(SUM(IF(IF('Betting SETUP'!$D$4:$D$11="Y", L4:L11, 10)=MIN(IF('Betting SETUP'!$D$4:$D$11="Y", L4:L11, 10)), 1, 0)) &gt; 1, "", INDEX('Betting SETUP'!$A$4:$A$11,MATCH(MIN(IF('Betting SETUP'!$D$4:$D$11="Y",L4:L11,10)),IF('Betting SETUP'!$D$4:$D$11="Y",L4:L11,10),0)))</f>
        <v>SR</v>
      </c>
      <c r="M12" s="25" t="str">
        <f t="array" ref="M12">IF(SUM(IF(IF('Betting SETUP'!$D$4:$D$11="Y", M4:M11, 10)=MIN(IF('Betting SETUP'!$D$4:$D$11="Y", M4:M11, 10)), 1, 0)) &gt; 1, "", INDEX('Betting SETUP'!$A$4:$A$11,MATCH(MIN(IF('Betting SETUP'!$D$4:$D$11="Y",M4:M11,10)),IF('Betting SETUP'!$D$4:$D$11="Y",M4:M11,10),0)))</f>
        <v>BK</v>
      </c>
      <c r="N12" s="25" t="str">
        <f t="array" ref="N12">IF(SUM(IF(IF('Betting SETUP'!$D$4:$D$11="Y", N4:N11, 10)=MIN(IF('Betting SETUP'!$D$4:$D$11="Y", N4:N11, 10)), 1, 0)) &gt; 1, "", INDEX('Betting SETUP'!$A$4:$A$11,MATCH(MIN(IF('Betting SETUP'!$D$4:$D$11="Y",N4:N11,10)),IF('Betting SETUP'!$D$4:$D$11="Y",N4:N11,10),0)))</f>
        <v>JB</v>
      </c>
      <c r="O12" s="25" t="str">
        <f t="array" ref="O12">IF(SUM(IF(IF('Betting SETUP'!$D$4:$D$11="Y", O4:O11, 10)=MIN(IF('Betting SETUP'!$D$4:$D$11="Y", O4:O11, 10)), 1, 0)) &gt; 1, "", INDEX('Betting SETUP'!$A$4:$A$11,MATCH(MIN(IF('Betting SETUP'!$D$4:$D$11="Y",O4:O11,10)),IF('Betting SETUP'!$D$4:$D$11="Y",O4:O11,10),0)))</f>
        <v/>
      </c>
      <c r="P12" s="25" t="str">
        <f t="array" ref="P12">IF(SUM(IF(IF('Betting SETUP'!$D$4:$D$11="Y", P4:P11, 10)=MIN(IF('Betting SETUP'!$D$4:$D$11="Y", P4:P11, 10)), 1, 0)) &gt; 1, "", INDEX('Betting SETUP'!$A$4:$A$11,MATCH(MIN(IF('Betting SETUP'!$D$4:$D$11="Y",P4:P11,10)),IF('Betting SETUP'!$D$4:$D$11="Y",P4:P11,10),0)))</f>
        <v>SR</v>
      </c>
      <c r="Q12" s="25" t="str">
        <f t="array" ref="Q12">IF(SUM(IF(IF('Betting SETUP'!$D$4:$D$11="Y", Q4:Q11, 10)=MIN(IF('Betting SETUP'!$D$4:$D$11="Y", Q4:Q11, 10)), 1, 0)) &gt; 1, "", INDEX('Betting SETUP'!$A$4:$A$11,MATCH(MIN(IF('Betting SETUP'!$D$4:$D$11="Y",Q4:Q11,10)),IF('Betting SETUP'!$D$4:$D$11="Y",Q4:Q11,10),0)))</f>
        <v/>
      </c>
      <c r="R12" s="25" t="str">
        <f t="array" ref="R12">IF(SUM(IF(IF('Betting SETUP'!$D$4:$D$11="Y", R4:R11, 10)=MIN(IF('Betting SETUP'!$D$4:$D$11="Y", R4:R11, 10)), 1, 0)) &gt; 1, "", INDEX('Betting SETUP'!$A$4:$A$11,MATCH(MIN(IF('Betting SETUP'!$D$4:$D$11="Y",R4:R11,10)),IF('Betting SETUP'!$D$4:$D$11="Y",R4:R11,10),0)))</f>
        <v/>
      </c>
      <c r="S12" s="25" t="str">
        <f t="array" ref="S12">IF(SUM(IF(IF('Betting SETUP'!$D$4:$D$11="Y", S4:S11, 10)=MIN(IF('Betting SETUP'!$D$4:$D$11="Y", S4:S11, 10)), 1, 0)) &gt; 1, "", INDEX('Betting SETUP'!$A$4:$A$11,MATCH(MIN(IF('Betting SETUP'!$D$4:$D$11="Y",S4:S11,10)),IF('Betting SETUP'!$D$4:$D$11="Y",S4:S11,10),0)))</f>
        <v/>
      </c>
      <c r="T12" s="25" t="str">
        <f t="array" ref="T12">IF(SUM(IF(IF('Betting SETUP'!$D$4:$D$11="Y", T4:T11, 10)=MIN(IF('Betting SETUP'!$D$4:$D$11="Y", T4:T11, 10)), 1, 0)) &gt; 1, "", INDEX('Betting SETUP'!$A$4:$A$11,MATCH(MIN(IF('Betting SETUP'!$D$4:$D$11="Y",T4:T11,10)),IF('Betting SETUP'!$D$4:$D$11="Y",T4:T11,10),0)))</f>
        <v/>
      </c>
      <c r="U12" s="25" t="str">
        <f t="array" ref="U12">IF(SUM(IF(IF('Betting SETUP'!$D$4:$D$11="Y", U4:U11, 10)=MIN(IF('Betting SETUP'!$D$4:$D$11="Y", U4:U11, 10)), 1, 0)) &gt; 1, "", INDEX('Betting SETUP'!$A$4:$A$11,MATCH(MIN(IF('Betting SETUP'!$D$4:$D$11="Y",U4:U11,10)),IF('Betting SETUP'!$D$4:$D$11="Y",U4:U11,10),0)))</f>
        <v/>
      </c>
      <c r="V12" s="15"/>
      <c r="W12" s="16"/>
      <c r="X12" s="16">
        <f>18-COUNTBLANK(D12:U12)</f>
        <v>7</v>
      </c>
      <c r="Y12" s="37"/>
    </row>
    <row r="13" ht="12.75" customHeight="1">
      <c r="A13" s="11"/>
      <c r="B13" s="12"/>
      <c r="C13" s="23" t="s">
        <v>22</v>
      </c>
      <c r="D13" s="25"/>
      <c r="E13" s="24" t="s">
        <v>23</v>
      </c>
      <c r="F13" s="24"/>
      <c r="G13" s="24"/>
      <c r="H13" s="24"/>
      <c r="I13" s="25"/>
      <c r="J13" s="24" t="s">
        <v>24</v>
      </c>
      <c r="K13" s="24"/>
      <c r="L13" s="24"/>
      <c r="M13" s="25"/>
      <c r="N13" s="24" t="s">
        <v>25</v>
      </c>
      <c r="O13" s="24"/>
      <c r="P13" s="25"/>
      <c r="Q13" s="24" t="s">
        <v>24</v>
      </c>
      <c r="R13" s="24"/>
      <c r="S13" s="24"/>
      <c r="T13" s="24" t="s">
        <v>25</v>
      </c>
      <c r="U13" s="24"/>
      <c r="V13" s="38">
        <f>countif(D3:L3,3)</f>
        <v>2</v>
      </c>
      <c r="W13" s="38">
        <f>countif(M3:U3,3)</f>
        <v>3</v>
      </c>
      <c r="X13" s="25">
        <f>COUNTA(D13:U13)</f>
        <v>5</v>
      </c>
      <c r="Y13" s="37"/>
    </row>
    <row r="14" ht="12.75" customHeight="1">
      <c r="A14" s="11"/>
      <c r="B14" s="12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customHeight="1">
      <c r="A15" s="11"/>
      <c r="B15" s="12"/>
      <c r="C15" s="13" t="str">
        <f>SETUP!E1</f>
        <v>STONEHEDGE N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5"/>
      <c r="W15" s="16"/>
      <c r="X15" s="39">
        <f>SETUP!E2</f>
        <v>71</v>
      </c>
      <c r="Y15" s="40">
        <f>SETUP!E3</f>
        <v>129</v>
      </c>
    </row>
    <row r="16" ht="12.75" customHeight="1">
      <c r="A16" s="11"/>
      <c r="B16" s="12"/>
      <c r="C16" s="18" t="s">
        <v>5</v>
      </c>
      <c r="D16" s="19">
        <v>1.0</v>
      </c>
      <c r="E16" s="19">
        <v>2.0</v>
      </c>
      <c r="F16" s="19">
        <v>3.0</v>
      </c>
      <c r="G16" s="19">
        <v>4.0</v>
      </c>
      <c r="H16" s="19">
        <v>5.0</v>
      </c>
      <c r="I16" s="19">
        <v>6.0</v>
      </c>
      <c r="J16" s="19">
        <v>7.0</v>
      </c>
      <c r="K16" s="19">
        <v>8.0</v>
      </c>
      <c r="L16" s="19">
        <v>9.0</v>
      </c>
      <c r="M16" s="19">
        <v>10.0</v>
      </c>
      <c r="N16" s="19">
        <v>11.0</v>
      </c>
      <c r="O16" s="19">
        <v>12.0</v>
      </c>
      <c r="P16" s="19">
        <v>13.0</v>
      </c>
      <c r="Q16" s="19">
        <v>14.0</v>
      </c>
      <c r="R16" s="19">
        <v>15.0</v>
      </c>
      <c r="S16" s="19">
        <v>16.0</v>
      </c>
      <c r="T16" s="19">
        <v>17.0</v>
      </c>
      <c r="U16" s="19">
        <v>18.0</v>
      </c>
      <c r="V16" s="19" t="s">
        <v>6</v>
      </c>
      <c r="W16" s="19" t="s">
        <v>7</v>
      </c>
      <c r="X16" s="19" t="s">
        <v>8</v>
      </c>
      <c r="Y16" s="19" t="s">
        <v>9</v>
      </c>
    </row>
    <row r="17" ht="12.75" customHeight="1">
      <c r="A17" s="21" t="s">
        <v>10</v>
      </c>
      <c r="B17" s="22" t="s">
        <v>11</v>
      </c>
      <c r="C17" s="23" t="s">
        <v>12</v>
      </c>
      <c r="D17" s="24">
        <v>5.0</v>
      </c>
      <c r="E17" s="24">
        <v>3.0</v>
      </c>
      <c r="F17" s="24">
        <v>4.0</v>
      </c>
      <c r="G17" s="24">
        <v>3.0</v>
      </c>
      <c r="H17" s="24">
        <v>5.0</v>
      </c>
      <c r="I17" s="24">
        <v>4.0</v>
      </c>
      <c r="J17" s="24">
        <v>4.0</v>
      </c>
      <c r="K17" s="24">
        <v>3.0</v>
      </c>
      <c r="L17" s="24">
        <v>5.0</v>
      </c>
      <c r="M17" s="24">
        <v>4.0</v>
      </c>
      <c r="N17" s="24">
        <v>3.0</v>
      </c>
      <c r="O17" s="24">
        <v>5.0</v>
      </c>
      <c r="P17" s="24">
        <v>3.0</v>
      </c>
      <c r="Q17" s="24">
        <v>5.0</v>
      </c>
      <c r="R17" s="24">
        <v>4.0</v>
      </c>
      <c r="S17" s="24">
        <v>4.0</v>
      </c>
      <c r="T17" s="24">
        <v>3.0</v>
      </c>
      <c r="U17" s="24">
        <v>5.0</v>
      </c>
      <c r="V17" s="25">
        <f t="shared" ref="V17:V25" si="5">SUM(D17:L17)</f>
        <v>36</v>
      </c>
      <c r="W17" s="25">
        <f t="shared" ref="W17:W25" si="6">SUM(M17:U17)</f>
        <v>36</v>
      </c>
      <c r="X17" s="25">
        <f>V17+W17</f>
        <v>72</v>
      </c>
      <c r="Y17" s="25"/>
    </row>
    <row r="18" ht="12.75" customHeight="1">
      <c r="A18" s="26" t="s">
        <v>13</v>
      </c>
      <c r="B18" s="26">
        <f t="array" ref="B18">index(SETUP!E:E,match(A18,SETUP!A:A,0))</f>
        <v>7</v>
      </c>
      <c r="C18" s="23"/>
      <c r="D18" s="27">
        <v>6.0</v>
      </c>
      <c r="E18" s="27">
        <v>3.0</v>
      </c>
      <c r="F18" s="27">
        <v>5.0</v>
      </c>
      <c r="G18" s="27">
        <v>3.0</v>
      </c>
      <c r="H18" s="27">
        <v>5.0</v>
      </c>
      <c r="I18" s="27">
        <v>4.0</v>
      </c>
      <c r="J18" s="27">
        <v>4.0</v>
      </c>
      <c r="K18" s="27">
        <v>4.0</v>
      </c>
      <c r="L18" s="27">
        <v>7.0</v>
      </c>
      <c r="M18" s="27">
        <v>4.0</v>
      </c>
      <c r="N18" s="27">
        <v>3.0</v>
      </c>
      <c r="O18" s="27">
        <v>6.0</v>
      </c>
      <c r="P18" s="27">
        <v>2.0</v>
      </c>
      <c r="Q18" s="27">
        <v>7.0</v>
      </c>
      <c r="R18" s="27">
        <v>4.0</v>
      </c>
      <c r="S18" s="27">
        <v>4.0</v>
      </c>
      <c r="T18" s="27">
        <v>3.0</v>
      </c>
      <c r="U18" s="27">
        <v>7.0</v>
      </c>
      <c r="V18" s="28">
        <f t="shared" si="5"/>
        <v>41</v>
      </c>
      <c r="W18" s="28">
        <f t="shared" si="6"/>
        <v>40</v>
      </c>
      <c r="X18" s="28">
        <f t="shared" ref="X18:X25" si="7">IF(W18&gt;0,V18+W18,"")</f>
        <v>81</v>
      </c>
      <c r="Y18" s="28">
        <f t="shared" ref="Y18:Y25" si="8">IF(W18=0,"",X18-B18)</f>
        <v>74</v>
      </c>
    </row>
    <row r="19" ht="12.75" customHeight="1">
      <c r="A19" s="29" t="s">
        <v>14</v>
      </c>
      <c r="B19" s="29">
        <f t="array" ref="B19">index(SETUP!E:E,match(A19,SETUP!A:A,0))</f>
        <v>13</v>
      </c>
      <c r="C19" s="23"/>
      <c r="D19" s="30">
        <v>6.0</v>
      </c>
      <c r="E19" s="30">
        <v>3.0</v>
      </c>
      <c r="F19" s="30">
        <v>7.0</v>
      </c>
      <c r="G19" s="30">
        <v>3.0</v>
      </c>
      <c r="H19" s="30">
        <v>7.0</v>
      </c>
      <c r="I19" s="30">
        <v>5.0</v>
      </c>
      <c r="J19" s="30">
        <v>4.0</v>
      </c>
      <c r="K19" s="30">
        <v>4.0</v>
      </c>
      <c r="L19" s="30">
        <v>5.0</v>
      </c>
      <c r="M19" s="30">
        <v>5.0</v>
      </c>
      <c r="N19" s="30">
        <v>4.0</v>
      </c>
      <c r="O19" s="30">
        <v>7.0</v>
      </c>
      <c r="P19" s="30">
        <v>3.0</v>
      </c>
      <c r="Q19" s="30">
        <v>5.0</v>
      </c>
      <c r="R19" s="30">
        <v>6.0</v>
      </c>
      <c r="S19" s="30">
        <v>4.0</v>
      </c>
      <c r="T19" s="30">
        <v>4.0</v>
      </c>
      <c r="U19" s="30">
        <v>6.0</v>
      </c>
      <c r="V19" s="31">
        <f t="shared" si="5"/>
        <v>44</v>
      </c>
      <c r="W19" s="31">
        <f t="shared" si="6"/>
        <v>44</v>
      </c>
      <c r="X19" s="31">
        <f t="shared" si="7"/>
        <v>88</v>
      </c>
      <c r="Y19" s="31">
        <f t="shared" si="8"/>
        <v>75</v>
      </c>
    </row>
    <row r="20" ht="12.75" customHeight="1">
      <c r="A20" s="26" t="s">
        <v>15</v>
      </c>
      <c r="B20" s="26">
        <f t="array" ref="B20">index(SETUP!E:E,match(A20,SETUP!A:A,0))</f>
        <v>16</v>
      </c>
      <c r="C20" s="23"/>
      <c r="D20" s="27">
        <v>6.0</v>
      </c>
      <c r="E20" s="27">
        <v>3.0</v>
      </c>
      <c r="F20" s="27">
        <v>5.0</v>
      </c>
      <c r="G20" s="27">
        <v>4.0</v>
      </c>
      <c r="H20" s="27">
        <v>7.0</v>
      </c>
      <c r="I20" s="27">
        <v>5.0</v>
      </c>
      <c r="J20" s="27">
        <v>7.0</v>
      </c>
      <c r="K20" s="27">
        <v>4.0</v>
      </c>
      <c r="L20" s="27">
        <v>7.0</v>
      </c>
      <c r="M20" s="27">
        <v>5.0</v>
      </c>
      <c r="N20" s="27">
        <v>4.0</v>
      </c>
      <c r="O20" s="27">
        <v>6.0</v>
      </c>
      <c r="P20" s="27">
        <v>3.0</v>
      </c>
      <c r="Q20" s="27">
        <v>5.0</v>
      </c>
      <c r="R20" s="27">
        <v>9.0</v>
      </c>
      <c r="S20" s="27">
        <v>5.0</v>
      </c>
      <c r="T20" s="27">
        <v>5.0</v>
      </c>
      <c r="U20" s="27">
        <v>8.0</v>
      </c>
      <c r="V20" s="28">
        <f t="shared" si="5"/>
        <v>48</v>
      </c>
      <c r="W20" s="28">
        <f t="shared" si="6"/>
        <v>50</v>
      </c>
      <c r="X20" s="28">
        <f t="shared" si="7"/>
        <v>98</v>
      </c>
      <c r="Y20" s="28">
        <f t="shared" si="8"/>
        <v>82</v>
      </c>
    </row>
    <row r="21" ht="12.75" customHeight="1">
      <c r="A21" s="29" t="s">
        <v>16</v>
      </c>
      <c r="B21" s="29">
        <f t="array" ref="B21">index(SETUP!E:E,match(A21,SETUP!A:A,0))</f>
        <v>12</v>
      </c>
      <c r="C21" s="23"/>
      <c r="D21" s="30">
        <v>6.0</v>
      </c>
      <c r="E21" s="30">
        <v>3.0</v>
      </c>
      <c r="F21" s="30">
        <v>6.0</v>
      </c>
      <c r="G21" s="30">
        <v>3.0</v>
      </c>
      <c r="H21" s="30">
        <v>5.0</v>
      </c>
      <c r="I21" s="30">
        <v>4.0</v>
      </c>
      <c r="J21" s="30">
        <v>5.0</v>
      </c>
      <c r="K21" s="30">
        <v>4.0</v>
      </c>
      <c r="L21" s="30">
        <v>6.0</v>
      </c>
      <c r="M21" s="30">
        <v>5.0</v>
      </c>
      <c r="N21" s="30">
        <v>3.0</v>
      </c>
      <c r="O21" s="30">
        <v>5.0</v>
      </c>
      <c r="P21" s="30">
        <v>2.0</v>
      </c>
      <c r="Q21" s="30">
        <v>5.0</v>
      </c>
      <c r="R21" s="30">
        <v>6.0</v>
      </c>
      <c r="S21" s="30">
        <v>4.0</v>
      </c>
      <c r="T21" s="30">
        <v>2.0</v>
      </c>
      <c r="U21" s="30">
        <v>6.0</v>
      </c>
      <c r="V21" s="31">
        <f t="shared" si="5"/>
        <v>42</v>
      </c>
      <c r="W21" s="31">
        <f t="shared" si="6"/>
        <v>38</v>
      </c>
      <c r="X21" s="31">
        <f t="shared" si="7"/>
        <v>80</v>
      </c>
      <c r="Y21" s="31">
        <f t="shared" si="8"/>
        <v>68</v>
      </c>
    </row>
    <row r="22" ht="12.75" customHeight="1">
      <c r="A22" s="26" t="s">
        <v>17</v>
      </c>
      <c r="B22" s="26">
        <v>16.0</v>
      </c>
      <c r="C22" s="23"/>
      <c r="D22" s="27">
        <v>5.0</v>
      </c>
      <c r="E22" s="27">
        <v>3.0</v>
      </c>
      <c r="F22" s="27">
        <v>6.0</v>
      </c>
      <c r="G22" s="27">
        <v>4.0</v>
      </c>
      <c r="H22" s="27">
        <v>6.0</v>
      </c>
      <c r="I22" s="27">
        <v>5.0</v>
      </c>
      <c r="J22" s="27">
        <v>6.0</v>
      </c>
      <c r="K22" s="27">
        <v>3.0</v>
      </c>
      <c r="L22" s="27">
        <v>5.0</v>
      </c>
      <c r="M22" s="27">
        <v>4.0</v>
      </c>
      <c r="N22" s="27">
        <v>3.0</v>
      </c>
      <c r="O22" s="27">
        <v>6.0</v>
      </c>
      <c r="P22" s="27">
        <v>5.0</v>
      </c>
      <c r="Q22" s="27">
        <v>5.0</v>
      </c>
      <c r="R22" s="27">
        <v>4.0</v>
      </c>
      <c r="S22" s="27">
        <v>4.0</v>
      </c>
      <c r="T22" s="27">
        <v>2.0</v>
      </c>
      <c r="U22" s="27">
        <v>7.0</v>
      </c>
      <c r="V22" s="28">
        <f t="shared" si="5"/>
        <v>43</v>
      </c>
      <c r="W22" s="28">
        <f t="shared" si="6"/>
        <v>40</v>
      </c>
      <c r="X22" s="28">
        <f t="shared" si="7"/>
        <v>83</v>
      </c>
      <c r="Y22" s="28">
        <f t="shared" si="8"/>
        <v>67</v>
      </c>
    </row>
    <row r="23" ht="12.75" customHeight="1">
      <c r="A23" s="32" t="s">
        <v>18</v>
      </c>
      <c r="B23" s="32">
        <v>17.0</v>
      </c>
      <c r="C23" s="23"/>
      <c r="D23" s="30">
        <v>5.0</v>
      </c>
      <c r="E23" s="30">
        <v>4.0</v>
      </c>
      <c r="F23" s="30">
        <v>5.0</v>
      </c>
      <c r="G23" s="30">
        <v>4.0</v>
      </c>
      <c r="H23" s="30">
        <v>7.0</v>
      </c>
      <c r="I23" s="30">
        <v>5.0</v>
      </c>
      <c r="J23" s="30">
        <v>5.0</v>
      </c>
      <c r="K23" s="30">
        <v>4.0</v>
      </c>
      <c r="L23" s="30">
        <v>5.0</v>
      </c>
      <c r="M23" s="30">
        <v>6.0</v>
      </c>
      <c r="N23" s="30">
        <v>5.0</v>
      </c>
      <c r="O23" s="30">
        <v>6.0</v>
      </c>
      <c r="P23" s="30">
        <v>6.0</v>
      </c>
      <c r="Q23" s="30">
        <v>5.0</v>
      </c>
      <c r="R23" s="30">
        <v>4.0</v>
      </c>
      <c r="S23" s="30">
        <v>8.0</v>
      </c>
      <c r="T23" s="30">
        <v>5.0</v>
      </c>
      <c r="U23" s="30">
        <v>7.0</v>
      </c>
      <c r="V23" s="31">
        <f t="shared" si="5"/>
        <v>44</v>
      </c>
      <c r="W23" s="31">
        <f t="shared" si="6"/>
        <v>52</v>
      </c>
      <c r="X23" s="31">
        <f t="shared" si="7"/>
        <v>96</v>
      </c>
      <c r="Y23" s="31">
        <f t="shared" si="8"/>
        <v>79</v>
      </c>
    </row>
    <row r="24" ht="12.75" customHeight="1">
      <c r="A24" s="33" t="s">
        <v>19</v>
      </c>
      <c r="B24" s="33">
        <f t="array" ref="B24">index(SETUP!E:E,match(A24,SETUP!A:A,0))</f>
        <v>13</v>
      </c>
      <c r="C24" s="23"/>
      <c r="D24" s="27">
        <v>5.0</v>
      </c>
      <c r="E24" s="27">
        <v>4.0</v>
      </c>
      <c r="F24" s="27">
        <v>5.0</v>
      </c>
      <c r="G24" s="27">
        <v>5.0</v>
      </c>
      <c r="H24" s="27">
        <v>4.0</v>
      </c>
      <c r="I24" s="27">
        <v>5.0</v>
      </c>
      <c r="J24" s="27">
        <v>7.0</v>
      </c>
      <c r="K24" s="27">
        <v>3.0</v>
      </c>
      <c r="L24" s="27">
        <v>7.0</v>
      </c>
      <c r="M24" s="27">
        <v>4.0</v>
      </c>
      <c r="N24" s="27">
        <v>5.0</v>
      </c>
      <c r="O24" s="27">
        <v>5.0</v>
      </c>
      <c r="P24" s="27">
        <v>4.0</v>
      </c>
      <c r="Q24" s="27">
        <v>7.0</v>
      </c>
      <c r="R24" s="27">
        <v>5.0</v>
      </c>
      <c r="S24" s="27">
        <v>4.0</v>
      </c>
      <c r="T24" s="27">
        <v>3.0</v>
      </c>
      <c r="U24" s="27">
        <v>6.0</v>
      </c>
      <c r="V24" s="28">
        <f t="shared" si="5"/>
        <v>45</v>
      </c>
      <c r="W24" s="28">
        <f t="shared" si="6"/>
        <v>43</v>
      </c>
      <c r="X24" s="28">
        <f t="shared" si="7"/>
        <v>88</v>
      </c>
      <c r="Y24" s="28">
        <f t="shared" si="8"/>
        <v>75</v>
      </c>
    </row>
    <row r="25" ht="12.75" customHeight="1">
      <c r="A25" s="34" t="s">
        <v>20</v>
      </c>
      <c r="B25" s="34">
        <v>5.0</v>
      </c>
      <c r="C25" s="23"/>
      <c r="D25" s="30">
        <v>6.0</v>
      </c>
      <c r="E25" s="30">
        <v>3.0</v>
      </c>
      <c r="F25" s="30">
        <v>4.0</v>
      </c>
      <c r="G25" s="30">
        <v>3.0</v>
      </c>
      <c r="H25" s="30">
        <v>7.0</v>
      </c>
      <c r="I25" s="30">
        <v>5.0</v>
      </c>
      <c r="J25" s="30">
        <v>4.0</v>
      </c>
      <c r="K25" s="30">
        <v>3.0</v>
      </c>
      <c r="L25" s="30">
        <v>6.0</v>
      </c>
      <c r="M25" s="30">
        <v>5.0</v>
      </c>
      <c r="N25" s="30">
        <v>3.0</v>
      </c>
      <c r="O25" s="30">
        <v>5.0</v>
      </c>
      <c r="P25" s="30">
        <v>3.0</v>
      </c>
      <c r="Q25" s="30">
        <v>5.0</v>
      </c>
      <c r="R25" s="30">
        <v>4.0</v>
      </c>
      <c r="S25" s="30">
        <v>4.0</v>
      </c>
      <c r="T25" s="30">
        <v>2.0</v>
      </c>
      <c r="U25" s="30">
        <v>7.0</v>
      </c>
      <c r="V25" s="31">
        <f t="shared" si="5"/>
        <v>41</v>
      </c>
      <c r="W25" s="31">
        <f t="shared" si="6"/>
        <v>38</v>
      </c>
      <c r="X25" s="31">
        <f t="shared" si="7"/>
        <v>79</v>
      </c>
      <c r="Y25" s="36">
        <f t="shared" si="8"/>
        <v>74</v>
      </c>
    </row>
    <row r="26" ht="12.75" customHeight="1">
      <c r="A26" s="11"/>
      <c r="B26" s="12"/>
      <c r="C26" s="23" t="s">
        <v>21</v>
      </c>
      <c r="D26" s="25" t="str">
        <f t="array" ref="D26">IF(SUM(IF(IF('Betting SETUP'!$D$4:$D$11="Y", D18:D25, 10)=MIN(IF('Betting SETUP'!$D$4:$D$11="Y", D18:D25, 10)), 1, 0)) &gt; 1, "", INDEX('Betting SETUP'!$A$4:$A$11,MATCH(MIN(IF('Betting SETUP'!$D$4:$D$11="Y",D18:D25,10)),IF('Betting SETUP'!$D$4:$D$11="Y",D18:D25,10),0)))</f>
        <v/>
      </c>
      <c r="E26" s="25" t="str">
        <f t="array" ref="E26">IF(SUM(IF(IF('Betting SETUP'!$D$4:$D$11="Y", E18:E25, 10)=MIN(IF('Betting SETUP'!$D$4:$D$11="Y", E18:E25, 10)), 1, 0)) &gt; 1, "", INDEX('Betting SETUP'!$A$4:$A$11,MATCH(MIN(IF('Betting SETUP'!$D$4:$D$11="Y",E18:E25,10)),IF('Betting SETUP'!$D$4:$D$11="Y",E18:E25,10),0)))</f>
        <v/>
      </c>
      <c r="F26" s="25" t="str">
        <f t="array" ref="F26">IF(SUM(IF(IF('Betting SETUP'!$D$4:$D$11="Y", F18:F25, 10)=MIN(IF('Betting SETUP'!$D$4:$D$11="Y", F18:F25, 10)), 1, 0)) &gt; 1, "", INDEX('Betting SETUP'!$A$4:$A$11,MATCH(MIN(IF('Betting SETUP'!$D$4:$D$11="Y",F18:F25,10)),IF('Betting SETUP'!$D$4:$D$11="Y",F18:F25,10),0)))</f>
        <v>SR</v>
      </c>
      <c r="G26" s="25" t="str">
        <f t="array" ref="G26">IF(SUM(IF(IF('Betting SETUP'!$D$4:$D$11="Y", G18:G25, 10)=MIN(IF('Betting SETUP'!$D$4:$D$11="Y", G18:G25, 10)), 1, 0)) &gt; 1, "", INDEX('Betting SETUP'!$A$4:$A$11,MATCH(MIN(IF('Betting SETUP'!$D$4:$D$11="Y",G18:G25,10)),IF('Betting SETUP'!$D$4:$D$11="Y",G18:G25,10),0)))</f>
        <v/>
      </c>
      <c r="H26" s="25" t="str">
        <f t="array" ref="H26">IF(SUM(IF(IF('Betting SETUP'!$D$4:$D$11="Y", H18:H25, 10)=MIN(IF('Betting SETUP'!$D$4:$D$11="Y", H18:H25, 10)), 1, 0)) &gt; 1, "", INDEX('Betting SETUP'!$A$4:$A$11,MATCH(MIN(IF('Betting SETUP'!$D$4:$D$11="Y",H18:H25,10)),IF('Betting SETUP'!$D$4:$D$11="Y",H18:H25,10),0)))</f>
        <v>RW</v>
      </c>
      <c r="I26" s="25" t="str">
        <f t="array" ref="I26">IF(SUM(IF(IF('Betting SETUP'!$D$4:$D$11="Y", I18:I25, 10)=MIN(IF('Betting SETUP'!$D$4:$D$11="Y", I18:I25, 10)), 1, 0)) &gt; 1, "", INDEX('Betting SETUP'!$A$4:$A$11,MATCH(MIN(IF('Betting SETUP'!$D$4:$D$11="Y",I18:I25,10)),IF('Betting SETUP'!$D$4:$D$11="Y",I18:I25,10),0)))</f>
        <v/>
      </c>
      <c r="J26" s="25" t="str">
        <f t="array" ref="J26">IF(SUM(IF(IF('Betting SETUP'!$D$4:$D$11="Y", J18:J25, 10)=MIN(IF('Betting SETUP'!$D$4:$D$11="Y", J18:J25, 10)), 1, 0)) &gt; 1, "", INDEX('Betting SETUP'!$A$4:$A$11,MATCH(MIN(IF('Betting SETUP'!$D$4:$D$11="Y",J18:J25,10)),IF('Betting SETUP'!$D$4:$D$11="Y",J18:J25,10),0)))</f>
        <v/>
      </c>
      <c r="K26" s="25" t="str">
        <f t="array" ref="K26">IF(SUM(IF(IF('Betting SETUP'!$D$4:$D$11="Y", K18:K25, 10)=MIN(IF('Betting SETUP'!$D$4:$D$11="Y", K18:K25, 10)), 1, 0)) &gt; 1, "", INDEX('Betting SETUP'!$A$4:$A$11,MATCH(MIN(IF('Betting SETUP'!$D$4:$D$11="Y",K18:K25,10)),IF('Betting SETUP'!$D$4:$D$11="Y",K18:K25,10),0)))</f>
        <v/>
      </c>
      <c r="L26" s="25" t="str">
        <f t="array" ref="L26">IF(SUM(IF(IF('Betting SETUP'!$D$4:$D$11="Y", L18:L25, 10)=MIN(IF('Betting SETUP'!$D$4:$D$11="Y", L18:L25, 10)), 1, 0)) &gt; 1, "", INDEX('Betting SETUP'!$A$4:$A$11,MATCH(MIN(IF('Betting SETUP'!$D$4:$D$11="Y",L18:L25,10)),IF('Betting SETUP'!$D$4:$D$11="Y",L18:L25,10),0)))</f>
        <v/>
      </c>
      <c r="M26" s="25" t="str">
        <f t="array" ref="M26">IF(SUM(IF(IF('Betting SETUP'!$D$4:$D$11="Y", M18:M25, 10)=MIN(IF('Betting SETUP'!$D$4:$D$11="Y", M18:M25, 10)), 1, 0)) &gt; 1, "", INDEX('Betting SETUP'!$A$4:$A$11,MATCH(MIN(IF('Betting SETUP'!$D$4:$D$11="Y",M18:M25,10)),IF('Betting SETUP'!$D$4:$D$11="Y",M18:M25,10),0)))</f>
        <v/>
      </c>
      <c r="N26" s="25" t="str">
        <f t="array" ref="N26">IF(SUM(IF(IF('Betting SETUP'!$D$4:$D$11="Y", N18:N25, 10)=MIN(IF('Betting SETUP'!$D$4:$D$11="Y", N18:N25, 10)), 1, 0)) &gt; 1, "", INDEX('Betting SETUP'!$A$4:$A$11,MATCH(MIN(IF('Betting SETUP'!$D$4:$D$11="Y",N18:N25,10)),IF('Betting SETUP'!$D$4:$D$11="Y",N18:N25,10),0)))</f>
        <v/>
      </c>
      <c r="O26" s="25" t="str">
        <f t="array" ref="O26">IF(SUM(IF(IF('Betting SETUP'!$D$4:$D$11="Y", O18:O25, 10)=MIN(IF('Betting SETUP'!$D$4:$D$11="Y", O18:O25, 10)), 1, 0)) &gt; 1, "", INDEX('Betting SETUP'!$A$4:$A$11,MATCH(MIN(IF('Betting SETUP'!$D$4:$D$11="Y",O18:O25,10)),IF('Betting SETUP'!$D$4:$D$11="Y",O18:O25,10),0)))</f>
        <v/>
      </c>
      <c r="P26" s="25" t="str">
        <f t="array" ref="P26">IF(SUM(IF(IF('Betting SETUP'!$D$4:$D$11="Y", P18:P25, 10)=MIN(IF('Betting SETUP'!$D$4:$D$11="Y", P18:P25, 10)), 1, 0)) &gt; 1, "", INDEX('Betting SETUP'!$A$4:$A$11,MATCH(MIN(IF('Betting SETUP'!$D$4:$D$11="Y",P18:P25,10)),IF('Betting SETUP'!$D$4:$D$11="Y",P18:P25,10),0)))</f>
        <v/>
      </c>
      <c r="Q26" s="25" t="str">
        <f t="array" ref="Q26">IF(SUM(IF(IF('Betting SETUP'!$D$4:$D$11="Y", Q18:Q25, 10)=MIN(IF('Betting SETUP'!$D$4:$D$11="Y", Q18:Q25, 10)), 1, 0)) &gt; 1, "", INDEX('Betting SETUP'!$A$4:$A$11,MATCH(MIN(IF('Betting SETUP'!$D$4:$D$11="Y",Q18:Q25,10)),IF('Betting SETUP'!$D$4:$D$11="Y",Q18:Q25,10),0)))</f>
        <v/>
      </c>
      <c r="R26" s="25" t="str">
        <f t="array" ref="R26">IF(SUM(IF(IF('Betting SETUP'!$D$4:$D$11="Y", R18:R25, 10)=MIN(IF('Betting SETUP'!$D$4:$D$11="Y", R18:R25, 10)), 1, 0)) &gt; 1, "", INDEX('Betting SETUP'!$A$4:$A$11,MATCH(MIN(IF('Betting SETUP'!$D$4:$D$11="Y",R18:R25,10)),IF('Betting SETUP'!$D$4:$D$11="Y",R18:R25,10),0)))</f>
        <v/>
      </c>
      <c r="S26" s="25" t="str">
        <f t="array" ref="S26">IF(SUM(IF(IF('Betting SETUP'!$D$4:$D$11="Y", S18:S25, 10)=MIN(IF('Betting SETUP'!$D$4:$D$11="Y", S18:S25, 10)), 1, 0)) &gt; 1, "", INDEX('Betting SETUP'!$A$4:$A$11,MATCH(MIN(IF('Betting SETUP'!$D$4:$D$11="Y",S18:S25,10)),IF('Betting SETUP'!$D$4:$D$11="Y",S18:S25,10),0)))</f>
        <v/>
      </c>
      <c r="T26" s="25" t="str">
        <f t="array" ref="T26">IF(SUM(IF(IF('Betting SETUP'!$D$4:$D$11="Y", T18:T25, 10)=MIN(IF('Betting SETUP'!$D$4:$D$11="Y", T18:T25, 10)), 1, 0)) &gt; 1, "", INDEX('Betting SETUP'!$A$4:$A$11,MATCH(MIN(IF('Betting SETUP'!$D$4:$D$11="Y",T18:T25,10)),IF('Betting SETUP'!$D$4:$D$11="Y",T18:T25,10),0)))</f>
        <v/>
      </c>
      <c r="U26" s="25" t="str">
        <f t="array" ref="U26">IF(SUM(IF(IF('Betting SETUP'!$D$4:$D$11="Y", U18:U25, 10)=MIN(IF('Betting SETUP'!$D$4:$D$11="Y", U18:U25, 10)), 1, 0)) &gt; 1, "", INDEX('Betting SETUP'!$A$4:$A$11,MATCH(MIN(IF('Betting SETUP'!$D$4:$D$11="Y",U18:U25,10)),IF('Betting SETUP'!$D$4:$D$11="Y",U18:U25,10),0)))</f>
        <v/>
      </c>
      <c r="V26" s="15"/>
      <c r="W26" s="16"/>
      <c r="X26" s="25">
        <f>18-COUNTBLANK(D26:U26)</f>
        <v>2</v>
      </c>
      <c r="Y26" s="37"/>
    </row>
    <row r="27" ht="12.75" customHeight="1">
      <c r="A27" s="11"/>
      <c r="B27" s="12"/>
      <c r="C27" s="23" t="s">
        <v>22</v>
      </c>
      <c r="D27" s="25"/>
      <c r="E27" s="24" t="s">
        <v>26</v>
      </c>
      <c r="F27" s="24"/>
      <c r="G27" s="24" t="s">
        <v>23</v>
      </c>
      <c r="H27" s="41"/>
      <c r="I27" s="24"/>
      <c r="J27" s="24"/>
      <c r="K27" s="24" t="s">
        <v>26</v>
      </c>
      <c r="L27" s="24"/>
      <c r="M27" s="25"/>
      <c r="N27" s="24" t="s">
        <v>26</v>
      </c>
      <c r="O27" s="25"/>
      <c r="P27" s="24" t="s">
        <v>27</v>
      </c>
      <c r="Q27" s="24"/>
      <c r="R27" s="25"/>
      <c r="S27" s="24"/>
      <c r="T27" s="24" t="s">
        <v>26</v>
      </c>
      <c r="U27" s="24"/>
      <c r="V27" s="25">
        <f>countif(D17:L17,3)</f>
        <v>3</v>
      </c>
      <c r="W27" s="25">
        <f>countif(M17:U17,3)</f>
        <v>3</v>
      </c>
      <c r="X27" s="25">
        <f>COUNTA(D27:U27)</f>
        <v>6</v>
      </c>
      <c r="Y27" s="37"/>
    </row>
    <row r="28" ht="12.75" customHeight="1">
      <c r="A28" s="11"/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2.75" customHeight="1">
      <c r="A29" s="11"/>
      <c r="B29" s="12"/>
      <c r="C29" s="13" t="str">
        <f>SETUP!F1</f>
        <v>STOATIN BRAE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5"/>
      <c r="W29" s="16"/>
      <c r="X29" s="17">
        <f>SETUP!F2</f>
        <v>69.2</v>
      </c>
      <c r="Y29" s="18">
        <f>SETUP!F3</f>
        <v>119</v>
      </c>
    </row>
    <row r="30" ht="12.75" customHeight="1">
      <c r="A30" s="11"/>
      <c r="B30" s="12"/>
      <c r="C30" s="18" t="s">
        <v>5</v>
      </c>
      <c r="D30" s="19">
        <v>1.0</v>
      </c>
      <c r="E30" s="19">
        <v>2.0</v>
      </c>
      <c r="F30" s="19">
        <v>3.0</v>
      </c>
      <c r="G30" s="19">
        <v>4.0</v>
      </c>
      <c r="H30" s="19">
        <v>5.0</v>
      </c>
      <c r="I30" s="19">
        <v>6.0</v>
      </c>
      <c r="J30" s="19">
        <v>7.0</v>
      </c>
      <c r="K30" s="19">
        <v>8.0</v>
      </c>
      <c r="L30" s="19">
        <v>9.0</v>
      </c>
      <c r="M30" s="19">
        <v>10.0</v>
      </c>
      <c r="N30" s="19">
        <v>11.0</v>
      </c>
      <c r="O30" s="19">
        <v>12.0</v>
      </c>
      <c r="P30" s="19">
        <v>13.0</v>
      </c>
      <c r="Q30" s="19">
        <v>14.0</v>
      </c>
      <c r="R30" s="19">
        <v>15.0</v>
      </c>
      <c r="S30" s="19">
        <v>16.0</v>
      </c>
      <c r="T30" s="19">
        <v>17.0</v>
      </c>
      <c r="U30" s="19">
        <v>18.0</v>
      </c>
      <c r="V30" s="19" t="s">
        <v>6</v>
      </c>
      <c r="W30" s="19" t="s">
        <v>7</v>
      </c>
      <c r="X30" s="19" t="s">
        <v>8</v>
      </c>
      <c r="Y30" s="19" t="s">
        <v>9</v>
      </c>
    </row>
    <row r="31" ht="12.75" customHeight="1">
      <c r="A31" s="21" t="s">
        <v>10</v>
      </c>
      <c r="B31" s="22" t="s">
        <v>11</v>
      </c>
      <c r="C31" s="23" t="s">
        <v>12</v>
      </c>
      <c r="D31" s="24">
        <v>4.0</v>
      </c>
      <c r="E31" s="24">
        <v>3.0</v>
      </c>
      <c r="F31" s="24">
        <v>4.0</v>
      </c>
      <c r="G31" s="24">
        <v>4.0</v>
      </c>
      <c r="H31" s="24">
        <v>4.0</v>
      </c>
      <c r="I31" s="24">
        <v>5.0</v>
      </c>
      <c r="J31" s="24">
        <v>3.0</v>
      </c>
      <c r="K31" s="24">
        <v>4.0</v>
      </c>
      <c r="L31" s="24">
        <v>5.0</v>
      </c>
      <c r="M31" s="24">
        <v>4.0</v>
      </c>
      <c r="N31" s="24">
        <v>3.0</v>
      </c>
      <c r="O31" s="24">
        <v>4.0</v>
      </c>
      <c r="P31" s="24">
        <v>4.0</v>
      </c>
      <c r="Q31" s="24">
        <v>3.0</v>
      </c>
      <c r="R31" s="24">
        <v>4.0</v>
      </c>
      <c r="S31" s="24">
        <v>5.0</v>
      </c>
      <c r="T31" s="24">
        <v>3.0</v>
      </c>
      <c r="U31" s="24">
        <v>5.0</v>
      </c>
      <c r="V31" s="25">
        <f t="shared" ref="V31:V39" si="9">SUM(D31:L31)</f>
        <v>36</v>
      </c>
      <c r="W31" s="25">
        <f t="shared" ref="W31:W39" si="10">SUM(M31:U31)</f>
        <v>35</v>
      </c>
      <c r="X31" s="25">
        <f>V31+W31</f>
        <v>71</v>
      </c>
      <c r="Y31" s="25"/>
    </row>
    <row r="32" ht="12.75" customHeight="1">
      <c r="A32" s="26" t="s">
        <v>13</v>
      </c>
      <c r="B32" s="26">
        <f t="array" ref="B32">index(SETUP!F:F,match(A32,SETUP!A:A,0))</f>
        <v>5</v>
      </c>
      <c r="C32" s="23"/>
      <c r="D32" s="27">
        <v>5.0</v>
      </c>
      <c r="E32" s="27">
        <v>3.0</v>
      </c>
      <c r="F32" s="27">
        <v>6.0</v>
      </c>
      <c r="G32" s="27">
        <v>6.0</v>
      </c>
      <c r="H32" s="27">
        <v>4.0</v>
      </c>
      <c r="I32" s="27">
        <v>4.0</v>
      </c>
      <c r="J32" s="27">
        <v>5.0</v>
      </c>
      <c r="K32" s="27">
        <v>4.0</v>
      </c>
      <c r="L32" s="27">
        <v>4.0</v>
      </c>
      <c r="M32" s="27">
        <v>4.0</v>
      </c>
      <c r="N32" s="27">
        <v>3.0</v>
      </c>
      <c r="O32" s="27">
        <v>4.0</v>
      </c>
      <c r="P32" s="27">
        <v>5.0</v>
      </c>
      <c r="Q32" s="27">
        <v>4.0</v>
      </c>
      <c r="R32" s="27">
        <v>5.0</v>
      </c>
      <c r="S32" s="27">
        <v>4.0</v>
      </c>
      <c r="T32" s="27">
        <v>3.0</v>
      </c>
      <c r="U32" s="27">
        <v>6.0</v>
      </c>
      <c r="V32" s="28">
        <f t="shared" si="9"/>
        <v>41</v>
      </c>
      <c r="W32" s="28">
        <f t="shared" si="10"/>
        <v>38</v>
      </c>
      <c r="X32" s="28">
        <f t="shared" ref="X32:X39" si="11">IF(W32&gt;0,V32+W32,"")</f>
        <v>79</v>
      </c>
      <c r="Y32" s="28">
        <f t="shared" ref="Y32:Y39" si="12">IF(W32=0,"",X32-B32)</f>
        <v>74</v>
      </c>
    </row>
    <row r="33" ht="12.75" customHeight="1">
      <c r="A33" s="29" t="s">
        <v>14</v>
      </c>
      <c r="B33" s="29">
        <v>14.0</v>
      </c>
      <c r="C33" s="23"/>
      <c r="D33" s="30">
        <v>5.0</v>
      </c>
      <c r="E33" s="30">
        <v>3.0</v>
      </c>
      <c r="F33" s="30">
        <v>7.0</v>
      </c>
      <c r="G33" s="30">
        <v>5.0</v>
      </c>
      <c r="H33" s="30">
        <v>5.0</v>
      </c>
      <c r="I33" s="30">
        <v>5.0</v>
      </c>
      <c r="J33" s="30">
        <v>3.0</v>
      </c>
      <c r="K33" s="30">
        <v>4.0</v>
      </c>
      <c r="L33" s="30">
        <v>7.0</v>
      </c>
      <c r="M33" s="30">
        <v>4.0</v>
      </c>
      <c r="N33" s="30">
        <v>4.0</v>
      </c>
      <c r="O33" s="30">
        <v>4.0</v>
      </c>
      <c r="P33" s="30">
        <v>5.0</v>
      </c>
      <c r="Q33" s="30">
        <v>6.0</v>
      </c>
      <c r="R33" s="30">
        <v>6.0</v>
      </c>
      <c r="S33" s="30">
        <v>6.0</v>
      </c>
      <c r="T33" s="30">
        <v>6.0</v>
      </c>
      <c r="U33" s="30">
        <v>7.0</v>
      </c>
      <c r="V33" s="31">
        <f t="shared" si="9"/>
        <v>44</v>
      </c>
      <c r="W33" s="31">
        <f t="shared" si="10"/>
        <v>48</v>
      </c>
      <c r="X33" s="31">
        <f t="shared" si="11"/>
        <v>92</v>
      </c>
      <c r="Y33" s="31">
        <f t="shared" si="12"/>
        <v>78</v>
      </c>
    </row>
    <row r="34" ht="12.75" customHeight="1">
      <c r="A34" s="26" t="s">
        <v>15</v>
      </c>
      <c r="B34" s="26">
        <f t="array" ref="B34">index(SETUP!F:F,match(A34,SETUP!A:A,0))</f>
        <v>14</v>
      </c>
      <c r="C34" s="23"/>
      <c r="D34" s="27">
        <v>5.0</v>
      </c>
      <c r="E34" s="27">
        <v>5.0</v>
      </c>
      <c r="F34" s="27">
        <v>4.0</v>
      </c>
      <c r="G34" s="27">
        <v>6.0</v>
      </c>
      <c r="H34" s="27">
        <v>5.0</v>
      </c>
      <c r="I34" s="27">
        <v>5.0</v>
      </c>
      <c r="J34" s="27">
        <v>4.0</v>
      </c>
      <c r="K34" s="27">
        <v>4.0</v>
      </c>
      <c r="L34" s="27">
        <v>6.0</v>
      </c>
      <c r="M34" s="27">
        <v>6.0</v>
      </c>
      <c r="N34" s="27">
        <v>4.0</v>
      </c>
      <c r="O34" s="27">
        <v>6.0</v>
      </c>
      <c r="P34" s="27">
        <v>5.0</v>
      </c>
      <c r="Q34" s="27">
        <v>4.0</v>
      </c>
      <c r="R34" s="27">
        <v>4.0</v>
      </c>
      <c r="S34" s="27">
        <v>6.0</v>
      </c>
      <c r="T34" s="27">
        <v>3.0</v>
      </c>
      <c r="U34" s="27">
        <v>6.0</v>
      </c>
      <c r="V34" s="28">
        <f t="shared" si="9"/>
        <v>44</v>
      </c>
      <c r="W34" s="28">
        <f t="shared" si="10"/>
        <v>44</v>
      </c>
      <c r="X34" s="28">
        <f t="shared" si="11"/>
        <v>88</v>
      </c>
      <c r="Y34" s="28">
        <f t="shared" si="12"/>
        <v>74</v>
      </c>
    </row>
    <row r="35" ht="12.75" customHeight="1">
      <c r="A35" s="29" t="s">
        <v>16</v>
      </c>
      <c r="B35" s="29">
        <f t="array" ref="B35">index(SETUP!F:F,match(A35,SETUP!A:A,0))</f>
        <v>10</v>
      </c>
      <c r="C35" s="23"/>
      <c r="D35" s="30">
        <v>5.0</v>
      </c>
      <c r="E35" s="30">
        <v>5.0</v>
      </c>
      <c r="F35" s="30">
        <v>5.0</v>
      </c>
      <c r="G35" s="30">
        <v>4.0</v>
      </c>
      <c r="H35" s="30">
        <v>4.0</v>
      </c>
      <c r="I35" s="30">
        <v>5.0</v>
      </c>
      <c r="J35" s="30">
        <v>4.0</v>
      </c>
      <c r="K35" s="30">
        <v>4.0</v>
      </c>
      <c r="L35" s="30">
        <v>8.0</v>
      </c>
      <c r="M35" s="30">
        <v>5.0</v>
      </c>
      <c r="N35" s="30">
        <v>3.0</v>
      </c>
      <c r="O35" s="30">
        <v>6.0</v>
      </c>
      <c r="P35" s="30">
        <v>5.0</v>
      </c>
      <c r="Q35" s="30">
        <v>3.0</v>
      </c>
      <c r="R35" s="30">
        <v>3.0</v>
      </c>
      <c r="S35" s="30">
        <v>5.0</v>
      </c>
      <c r="T35" s="30">
        <v>4.0</v>
      </c>
      <c r="U35" s="30">
        <v>5.0</v>
      </c>
      <c r="V35" s="31">
        <f t="shared" si="9"/>
        <v>44</v>
      </c>
      <c r="W35" s="31">
        <f t="shared" si="10"/>
        <v>39</v>
      </c>
      <c r="X35" s="31">
        <f t="shared" si="11"/>
        <v>83</v>
      </c>
      <c r="Y35" s="31">
        <f t="shared" si="12"/>
        <v>73</v>
      </c>
    </row>
    <row r="36" ht="12.75" customHeight="1">
      <c r="A36" s="26" t="s">
        <v>17</v>
      </c>
      <c r="B36" s="26">
        <f t="array" ref="B36">index(SETUP!F:F,match(A36,SETUP!A:A,0))</f>
        <v>13</v>
      </c>
      <c r="C36" s="23"/>
      <c r="D36" s="27">
        <v>4.0</v>
      </c>
      <c r="E36" s="27">
        <v>5.0</v>
      </c>
      <c r="F36" s="27">
        <v>6.0</v>
      </c>
      <c r="G36" s="27">
        <v>6.0</v>
      </c>
      <c r="H36" s="27">
        <v>5.0</v>
      </c>
      <c r="I36" s="27">
        <v>5.0</v>
      </c>
      <c r="J36" s="27">
        <v>6.0</v>
      </c>
      <c r="K36" s="27">
        <v>5.0</v>
      </c>
      <c r="L36" s="27">
        <v>6.0</v>
      </c>
      <c r="M36" s="27">
        <v>6.0</v>
      </c>
      <c r="N36" s="27">
        <v>4.0</v>
      </c>
      <c r="O36" s="27">
        <v>5.0</v>
      </c>
      <c r="P36" s="27">
        <v>7.0</v>
      </c>
      <c r="Q36" s="27">
        <v>7.0</v>
      </c>
      <c r="R36" s="27">
        <v>4.0</v>
      </c>
      <c r="S36" s="27">
        <v>6.0</v>
      </c>
      <c r="T36" s="27">
        <v>5.0</v>
      </c>
      <c r="U36" s="27">
        <v>5.0</v>
      </c>
      <c r="V36" s="28">
        <f t="shared" si="9"/>
        <v>48</v>
      </c>
      <c r="W36" s="28">
        <f t="shared" si="10"/>
        <v>49</v>
      </c>
      <c r="X36" s="28">
        <f t="shared" si="11"/>
        <v>97</v>
      </c>
      <c r="Y36" s="28">
        <f t="shared" si="12"/>
        <v>84</v>
      </c>
    </row>
    <row r="37" ht="12.75" customHeight="1">
      <c r="A37" s="32" t="s">
        <v>18</v>
      </c>
      <c r="B37" s="32">
        <v>15.0</v>
      </c>
      <c r="C37" s="23"/>
      <c r="D37" s="30">
        <v>5.0</v>
      </c>
      <c r="E37" s="30">
        <v>4.0</v>
      </c>
      <c r="F37" s="30">
        <v>6.0</v>
      </c>
      <c r="G37" s="30">
        <v>5.0</v>
      </c>
      <c r="H37" s="30">
        <v>5.0</v>
      </c>
      <c r="I37" s="30">
        <v>6.0</v>
      </c>
      <c r="J37" s="30">
        <v>5.0</v>
      </c>
      <c r="K37" s="30">
        <v>5.0</v>
      </c>
      <c r="L37" s="30">
        <v>6.0</v>
      </c>
      <c r="M37" s="30">
        <v>3.0</v>
      </c>
      <c r="N37" s="30">
        <v>4.0</v>
      </c>
      <c r="O37" s="30">
        <v>5.0</v>
      </c>
      <c r="P37" s="30">
        <v>5.0</v>
      </c>
      <c r="Q37" s="30">
        <v>6.0</v>
      </c>
      <c r="R37" s="30">
        <v>4.0</v>
      </c>
      <c r="S37" s="30">
        <v>7.0</v>
      </c>
      <c r="T37" s="30">
        <v>4.0</v>
      </c>
      <c r="U37" s="30">
        <v>6.0</v>
      </c>
      <c r="V37" s="31">
        <f t="shared" si="9"/>
        <v>47</v>
      </c>
      <c r="W37" s="31">
        <f t="shared" si="10"/>
        <v>44</v>
      </c>
      <c r="X37" s="31">
        <f t="shared" si="11"/>
        <v>91</v>
      </c>
      <c r="Y37" s="31">
        <f t="shared" si="12"/>
        <v>76</v>
      </c>
    </row>
    <row r="38" ht="12.75" customHeight="1">
      <c r="A38" s="33" t="s">
        <v>19</v>
      </c>
      <c r="B38" s="33">
        <f t="array" ref="B38">index(SETUP!F:F,match(A38,SETUP!A:A,0))</f>
        <v>11</v>
      </c>
      <c r="C38" s="23"/>
      <c r="D38" s="27">
        <v>8.0</v>
      </c>
      <c r="E38" s="27">
        <v>4.0</v>
      </c>
      <c r="F38" s="27">
        <v>5.0</v>
      </c>
      <c r="G38" s="27">
        <v>6.0</v>
      </c>
      <c r="H38" s="27">
        <v>7.0</v>
      </c>
      <c r="I38" s="27">
        <v>6.0</v>
      </c>
      <c r="J38" s="27">
        <v>4.0</v>
      </c>
      <c r="K38" s="27">
        <v>5.0</v>
      </c>
      <c r="L38" s="27">
        <v>6.0</v>
      </c>
      <c r="M38" s="27">
        <v>5.0</v>
      </c>
      <c r="N38" s="27">
        <v>4.0</v>
      </c>
      <c r="O38" s="27">
        <v>4.0</v>
      </c>
      <c r="P38" s="27">
        <v>7.0</v>
      </c>
      <c r="Q38" s="27">
        <v>3.0</v>
      </c>
      <c r="R38" s="27">
        <v>4.0</v>
      </c>
      <c r="S38" s="27">
        <v>6.0</v>
      </c>
      <c r="T38" s="27">
        <v>4.0</v>
      </c>
      <c r="U38" s="27">
        <v>7.0</v>
      </c>
      <c r="V38" s="28">
        <f t="shared" si="9"/>
        <v>51</v>
      </c>
      <c r="W38" s="28">
        <f t="shared" si="10"/>
        <v>44</v>
      </c>
      <c r="X38" s="28">
        <f t="shared" si="11"/>
        <v>95</v>
      </c>
      <c r="Y38" s="28">
        <f t="shared" si="12"/>
        <v>84</v>
      </c>
    </row>
    <row r="39" ht="12.75" customHeight="1">
      <c r="A39" s="34" t="s">
        <v>20</v>
      </c>
      <c r="B39" s="34">
        <v>4.0</v>
      </c>
      <c r="C39" s="23"/>
      <c r="D39" s="30">
        <v>5.0</v>
      </c>
      <c r="E39" s="30">
        <v>4.0</v>
      </c>
      <c r="F39" s="30">
        <v>5.0</v>
      </c>
      <c r="G39" s="30">
        <v>4.0</v>
      </c>
      <c r="H39" s="30">
        <v>5.0</v>
      </c>
      <c r="I39" s="30">
        <v>5.0</v>
      </c>
      <c r="J39" s="30">
        <v>4.0</v>
      </c>
      <c r="K39" s="30">
        <v>6.0</v>
      </c>
      <c r="L39" s="30">
        <v>4.0</v>
      </c>
      <c r="M39" s="30">
        <v>5.0</v>
      </c>
      <c r="N39" s="30">
        <v>3.0</v>
      </c>
      <c r="O39" s="30">
        <v>5.0</v>
      </c>
      <c r="P39" s="30">
        <v>4.0</v>
      </c>
      <c r="Q39" s="30">
        <v>4.0</v>
      </c>
      <c r="R39" s="30">
        <v>4.0</v>
      </c>
      <c r="S39" s="30">
        <v>6.0</v>
      </c>
      <c r="T39" s="30">
        <v>4.0</v>
      </c>
      <c r="U39" s="30">
        <v>6.0</v>
      </c>
      <c r="V39" s="31">
        <f t="shared" si="9"/>
        <v>42</v>
      </c>
      <c r="W39" s="31">
        <f t="shared" si="10"/>
        <v>41</v>
      </c>
      <c r="X39" s="31">
        <f t="shared" si="11"/>
        <v>83</v>
      </c>
      <c r="Y39" s="36">
        <f t="shared" si="12"/>
        <v>79</v>
      </c>
    </row>
    <row r="40" ht="12.75" customHeight="1">
      <c r="A40" s="11"/>
      <c r="B40" s="12"/>
      <c r="C40" s="23" t="s">
        <v>21</v>
      </c>
      <c r="D40" s="25" t="str">
        <f t="array" ref="D40">IF(SUM(IF(IF('Betting SETUP'!$D$4:$D$11="Y", D32:D39, 10)=MIN(IF('Betting SETUP'!$D$4:$D$11="Y", D32:D39, 10)), 1, 0)) &gt; 1, "", INDEX('Betting SETUP'!$A$4:$A$11,MATCH(MIN(IF('Betting SETUP'!$D$4:$D$11="Y",D32:D39,10)),IF('Betting SETUP'!$D$4:$D$11="Y",D32:D39,10),0)))</f>
        <v>EO</v>
      </c>
      <c r="E40" s="25" t="str">
        <f t="array" ref="E40">IF(SUM(IF(IF('Betting SETUP'!$D$4:$D$11="Y", E32:E39, 10)=MIN(IF('Betting SETUP'!$D$4:$D$11="Y", E32:E39, 10)), 1, 0)) &gt; 1, "", INDEX('Betting SETUP'!$A$4:$A$11,MATCH(MIN(IF('Betting SETUP'!$D$4:$D$11="Y",E32:E39,10)),IF('Betting SETUP'!$D$4:$D$11="Y",E32:E39,10),0)))</f>
        <v/>
      </c>
      <c r="F40" s="25" t="str">
        <f t="array" ref="F40">IF(SUM(IF(IF('Betting SETUP'!$D$4:$D$11="Y", F32:F39, 10)=MIN(IF('Betting SETUP'!$D$4:$D$11="Y", F32:F39, 10)), 1, 0)) &gt; 1, "", INDEX('Betting SETUP'!$A$4:$A$11,MATCH(MIN(IF('Betting SETUP'!$D$4:$D$11="Y",F32:F39,10)),IF('Betting SETUP'!$D$4:$D$11="Y",F32:F39,10),0)))</f>
        <v>BB</v>
      </c>
      <c r="G40" s="25" t="str">
        <f t="array" ref="G40">IF(SUM(IF(IF('Betting SETUP'!$D$4:$D$11="Y", G32:G39, 10)=MIN(IF('Betting SETUP'!$D$4:$D$11="Y", G32:G39, 10)), 1, 0)) &gt; 1, "", INDEX('Betting SETUP'!$A$4:$A$11,MATCH(MIN(IF('Betting SETUP'!$D$4:$D$11="Y",G32:G39,10)),IF('Betting SETUP'!$D$4:$D$11="Y",G32:G39,10),0)))</f>
        <v/>
      </c>
      <c r="H40" s="25" t="str">
        <f t="array" ref="H40">IF(SUM(IF(IF('Betting SETUP'!$D$4:$D$11="Y", H32:H39, 10)=MIN(IF('Betting SETUP'!$D$4:$D$11="Y", H32:H39, 10)), 1, 0)) &gt; 1, "", INDEX('Betting SETUP'!$A$4:$A$11,MATCH(MIN(IF('Betting SETUP'!$D$4:$D$11="Y",H32:H39,10)),IF('Betting SETUP'!$D$4:$D$11="Y",H32:H39,10),0)))</f>
        <v/>
      </c>
      <c r="I40" s="25" t="str">
        <f t="array" ref="I40">IF(SUM(IF(IF('Betting SETUP'!$D$4:$D$11="Y", I32:I39, 10)=MIN(IF('Betting SETUP'!$D$4:$D$11="Y", I32:I39, 10)), 1, 0)) &gt; 1, "", INDEX('Betting SETUP'!$A$4:$A$11,MATCH(MIN(IF('Betting SETUP'!$D$4:$D$11="Y",I32:I39,10)),IF('Betting SETUP'!$D$4:$D$11="Y",I32:I39,10),0)))</f>
        <v>AJ</v>
      </c>
      <c r="J40" s="25" t="str">
        <f t="array" ref="J40">IF(SUM(IF(IF('Betting SETUP'!$D$4:$D$11="Y", J32:J39, 10)=MIN(IF('Betting SETUP'!$D$4:$D$11="Y", J32:J39, 10)), 1, 0)) &gt; 1, "", INDEX('Betting SETUP'!$A$4:$A$11,MATCH(MIN(IF('Betting SETUP'!$D$4:$D$11="Y",J32:J39,10)),IF('Betting SETUP'!$D$4:$D$11="Y",J32:J39,10),0)))</f>
        <v>AV</v>
      </c>
      <c r="K40" s="25" t="str">
        <f t="array" ref="K40">IF(SUM(IF(IF('Betting SETUP'!$D$4:$D$11="Y", K32:K39, 10)=MIN(IF('Betting SETUP'!$D$4:$D$11="Y", K32:K39, 10)), 1, 0)) &gt; 1, "", INDEX('Betting SETUP'!$A$4:$A$11,MATCH(MIN(IF('Betting SETUP'!$D$4:$D$11="Y",K32:K39,10)),IF('Betting SETUP'!$D$4:$D$11="Y",K32:K39,10),0)))</f>
        <v/>
      </c>
      <c r="L40" s="25" t="str">
        <f t="array" ref="L40">IF(SUM(IF(IF('Betting SETUP'!$D$4:$D$11="Y", L32:L39, 10)=MIN(IF('Betting SETUP'!$D$4:$D$11="Y", L32:L39, 10)), 1, 0)) &gt; 1, "", INDEX('Betting SETUP'!$A$4:$A$11,MATCH(MIN(IF('Betting SETUP'!$D$4:$D$11="Y",L32:L39,10)),IF('Betting SETUP'!$D$4:$D$11="Y",L32:L39,10),0)))</f>
        <v/>
      </c>
      <c r="M40" s="25" t="str">
        <f t="array" ref="M40">IF(SUM(IF(IF('Betting SETUP'!$D$4:$D$11="Y", M32:M39, 10)=MIN(IF('Betting SETUP'!$D$4:$D$11="Y", M32:M39, 10)), 1, 0)) &gt; 1, "", INDEX('Betting SETUP'!$A$4:$A$11,MATCH(MIN(IF('Betting SETUP'!$D$4:$D$11="Y",M32:M39,10)),IF('Betting SETUP'!$D$4:$D$11="Y",M32:M39,10),0)))</f>
        <v>JB</v>
      </c>
      <c r="N40" s="25" t="str">
        <f t="array" ref="N40">IF(SUM(IF(IF('Betting SETUP'!$D$4:$D$11="Y", N32:N39, 10)=MIN(IF('Betting SETUP'!$D$4:$D$11="Y", N32:N39, 10)), 1, 0)) &gt; 1, "", INDEX('Betting SETUP'!$A$4:$A$11,MATCH(MIN(IF('Betting SETUP'!$D$4:$D$11="Y",N32:N39,10)),IF('Betting SETUP'!$D$4:$D$11="Y",N32:N39,10),0)))</f>
        <v/>
      </c>
      <c r="O40" s="25" t="str">
        <f t="array" ref="O40">IF(SUM(IF(IF('Betting SETUP'!$D$4:$D$11="Y", O32:O39, 10)=MIN(IF('Betting SETUP'!$D$4:$D$11="Y", O32:O39, 10)), 1, 0)) &gt; 1, "", INDEX('Betting SETUP'!$A$4:$A$11,MATCH(MIN(IF('Betting SETUP'!$D$4:$D$11="Y",O32:O39,10)),IF('Betting SETUP'!$D$4:$D$11="Y",O32:O39,10),0)))</f>
        <v/>
      </c>
      <c r="P40" s="25" t="str">
        <f t="array" ref="P40">IF(SUM(IF(IF('Betting SETUP'!$D$4:$D$11="Y", P32:P39, 10)=MIN(IF('Betting SETUP'!$D$4:$D$11="Y", P32:P39, 10)), 1, 0)) &gt; 1, "", INDEX('Betting SETUP'!$A$4:$A$11,MATCH(MIN(IF('Betting SETUP'!$D$4:$D$11="Y",P32:P39,10)),IF('Betting SETUP'!$D$4:$D$11="Y",P32:P39,10),0)))</f>
        <v>SR</v>
      </c>
      <c r="Q40" s="25" t="str">
        <f t="array" ref="Q40">IF(SUM(IF(IF('Betting SETUP'!$D$4:$D$11="Y", Q32:Q39, 10)=MIN(IF('Betting SETUP'!$D$4:$D$11="Y", Q32:Q39, 10)), 1, 0)) &gt; 1, "", INDEX('Betting SETUP'!$A$4:$A$11,MATCH(MIN(IF('Betting SETUP'!$D$4:$D$11="Y",Q32:Q39,10)),IF('Betting SETUP'!$D$4:$D$11="Y",Q32:Q39,10),0)))</f>
        <v/>
      </c>
      <c r="R40" s="25" t="str">
        <f t="array" ref="R40">IF(SUM(IF(IF('Betting SETUP'!$D$4:$D$11="Y", R32:R39, 10)=MIN(IF('Betting SETUP'!$D$4:$D$11="Y", R32:R39, 10)), 1, 0)) &gt; 1, "", INDEX('Betting SETUP'!$A$4:$A$11,MATCH(MIN(IF('Betting SETUP'!$D$4:$D$11="Y",R32:R39,10)),IF('Betting SETUP'!$D$4:$D$11="Y",R32:R39,10),0)))</f>
        <v>BK</v>
      </c>
      <c r="S40" s="25" t="str">
        <f t="array" ref="S40">IF(SUM(IF(IF('Betting SETUP'!$D$4:$D$11="Y", S32:S39, 10)=MIN(IF('Betting SETUP'!$D$4:$D$11="Y", S32:S39, 10)), 1, 0)) &gt; 1, "", INDEX('Betting SETUP'!$A$4:$A$11,MATCH(MIN(IF('Betting SETUP'!$D$4:$D$11="Y",S32:S39,10)),IF('Betting SETUP'!$D$4:$D$11="Y",S32:S39,10),0)))</f>
        <v>AJ</v>
      </c>
      <c r="T40" s="25" t="str">
        <f t="array" ref="T40">IF(SUM(IF(IF('Betting SETUP'!$D$4:$D$11="Y", T32:T39, 10)=MIN(IF('Betting SETUP'!$D$4:$D$11="Y", T32:T39, 10)), 1, 0)) &gt; 1, "", INDEX('Betting SETUP'!$A$4:$A$11,MATCH(MIN(IF('Betting SETUP'!$D$4:$D$11="Y",T32:T39,10)),IF('Betting SETUP'!$D$4:$D$11="Y",T32:T39,10),0)))</f>
        <v/>
      </c>
      <c r="U40" s="25" t="str">
        <f t="array" ref="U40">IF(SUM(IF(IF('Betting SETUP'!$D$4:$D$11="Y", U32:U39, 10)=MIN(IF('Betting SETUP'!$D$4:$D$11="Y", U32:U39, 10)), 1, 0)) &gt; 1, "", INDEX('Betting SETUP'!$A$4:$A$11,MATCH(MIN(IF('Betting SETUP'!$D$4:$D$11="Y",U32:U39,10)),IF('Betting SETUP'!$D$4:$D$11="Y",U32:U39,10),0)))</f>
        <v/>
      </c>
      <c r="V40" s="15"/>
      <c r="W40" s="16"/>
      <c r="X40" s="25">
        <f>18-COUNTBLANK(D40:U40)</f>
        <v>8</v>
      </c>
      <c r="Y40" s="37"/>
    </row>
    <row r="41" ht="12.75" customHeight="1">
      <c r="A41" s="11"/>
      <c r="B41" s="12"/>
      <c r="C41" s="23" t="s">
        <v>22</v>
      </c>
      <c r="D41" s="25"/>
      <c r="E41" s="24" t="s">
        <v>28</v>
      </c>
      <c r="F41" s="24"/>
      <c r="G41" s="25"/>
      <c r="H41" s="24"/>
      <c r="I41" s="24"/>
      <c r="J41" s="24" t="s">
        <v>28</v>
      </c>
      <c r="K41" s="25"/>
      <c r="L41" s="24"/>
      <c r="M41" s="25"/>
      <c r="N41" s="24" t="s">
        <v>23</v>
      </c>
      <c r="O41" s="24"/>
      <c r="P41" s="24"/>
      <c r="Q41" s="24" t="s">
        <v>25</v>
      </c>
      <c r="R41" s="24"/>
      <c r="S41" s="25"/>
      <c r="T41" s="24" t="s">
        <v>29</v>
      </c>
      <c r="U41" s="25"/>
      <c r="V41" s="25">
        <f>countif(D31:L31,3)</f>
        <v>2</v>
      </c>
      <c r="W41" s="25">
        <f>countif(M31:U31,3)</f>
        <v>3</v>
      </c>
      <c r="X41" s="25">
        <f>COUNTA(D41:U41)</f>
        <v>5</v>
      </c>
      <c r="Y41" s="37"/>
    </row>
  </sheetData>
  <mergeCells count="3">
    <mergeCell ref="C1:U1"/>
    <mergeCell ref="C15:U15"/>
    <mergeCell ref="C29:U29"/>
  </mergeCells>
  <conditionalFormatting sqref="D13:U13 U27 U41">
    <cfRule type="expression" dxfId="0" priority="1">
      <formula>D3=3</formula>
    </cfRule>
  </conditionalFormatting>
  <conditionalFormatting sqref="D27:U27">
    <cfRule type="expression" dxfId="0" priority="2">
      <formula>D17=3</formula>
    </cfRule>
  </conditionalFormatting>
  <conditionalFormatting sqref="D41:U41">
    <cfRule type="expression" dxfId="0" priority="3">
      <formula>D31=3</formula>
    </cfRule>
  </conditionalFormatting>
  <dataValidations>
    <dataValidation type="list" allowBlank="1" showErrorMessage="1" sqref="A4:A11 A18:A25 A32:A39">
      <formula1>SETUP!$A$5:$A$12</formula1>
    </dataValidation>
    <dataValidation type="list" allowBlank="1" showErrorMessage="1" sqref="D13:U13 D27:U27 D41:U41">
      <formula1>SETUP!$B$5:$B$12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4" width="11.57"/>
  </cols>
  <sheetData>
    <row r="1">
      <c r="A1" s="42" t="s">
        <v>30</v>
      </c>
      <c r="B1" s="43" t="str">
        <f>Scorecards!C1</f>
        <v>STOATIN BRAE</v>
      </c>
      <c r="C1" s="43" t="str">
        <f>Scorecards!C15</f>
        <v>STONEHEDGE N</v>
      </c>
      <c r="D1" s="43" t="str">
        <f>Scorecards!C29</f>
        <v>STOATIN BRAE</v>
      </c>
    </row>
    <row r="2">
      <c r="A2" s="44" t="str">
        <f>'Betting SETUP'!$A$4</f>
        <v>AJ</v>
      </c>
      <c r="B2" s="45">
        <f t="array" ref="B2">IF(index('Betting SETUP'!C:C,match(A2,'Betting SETUP'!A:A,0))="Y",(index('Score Calcuations'!F:F,match(A2,'Score Calcuations'!B:B))), "out")</f>
        <v>79</v>
      </c>
      <c r="C2" s="45">
        <f t="array" ref="C2">IF(index('Betting SETUP'!C:C,match(A2,'Betting SETUP'!A:A,0))="Y",(index('Score Calcuations'!H:H,match(A2,'Score Calcuations'!B:B))), "out")</f>
        <v>74</v>
      </c>
      <c r="D2" s="45">
        <f t="array" ref="D2">IF(index('Betting SETUP'!C:C,match(A2,'Betting SETUP'!A:A,0))="Y",(index('Score Calcuations'!J:J,match(A2,'Score Calcuations'!B:B))), "out")</f>
        <v>74</v>
      </c>
    </row>
    <row r="3">
      <c r="A3" s="46" t="str">
        <f>'Betting SETUP'!$A$5</f>
        <v>AV</v>
      </c>
      <c r="B3" s="47">
        <f t="array" ref="B3">IF(index('Betting SETUP'!C:C,match(A3,'Betting SETUP'!A:A,0))="Y",(index('Score Calcuations'!F:F,match(A3,'Score Calcuations'!B:B))), "out")</f>
        <v>74</v>
      </c>
      <c r="C3" s="47">
        <f t="array" ref="C3">IF(index('Betting SETUP'!C:C,match(A3,'Betting SETUP'!A:A,0))="Y",(index('Score Calcuations'!H:H,match(A3,'Score Calcuations'!B:B))), "out")</f>
        <v>75</v>
      </c>
      <c r="D3" s="47">
        <f t="array" ref="D3">IF(index('Betting SETUP'!C:C,match(A3,'Betting SETUP'!A:A,0))="Y",(index('Score Calcuations'!J:J,match(A3,'Score Calcuations'!B:B))), "out")</f>
        <v>78</v>
      </c>
    </row>
    <row r="4">
      <c r="A4" s="44" t="str">
        <f>'Betting SETUP'!$A$6</f>
        <v>BB</v>
      </c>
      <c r="B4" s="45">
        <f t="array" ref="B4">IF(index('Betting SETUP'!C:C,match(A4,'Betting SETUP'!A:A,0))="Y",(index('Score Calcuations'!F:F,match(A4,'Score Calcuations'!B:B))), "out")</f>
        <v>76</v>
      </c>
      <c r="C4" s="45">
        <f t="array" ref="C4">IF(index('Betting SETUP'!C:C,match(A4,'Betting SETUP'!A:A,0))="Y",(index('Score Calcuations'!H:H,match(A4,'Score Calcuations'!B:B))), "out")</f>
        <v>82</v>
      </c>
      <c r="D4" s="45">
        <f t="array" ref="D4">IF(index('Betting SETUP'!C:C,match(A4,'Betting SETUP'!A:A,0))="Y",(index('Score Calcuations'!J:J,match(A4,'Score Calcuations'!B:B))), "out")</f>
        <v>74</v>
      </c>
    </row>
    <row r="5">
      <c r="A5" s="46" t="str">
        <f>'Betting SETUP'!$A$7</f>
        <v>BK</v>
      </c>
      <c r="B5" s="47">
        <f t="array" ref="B5">IF(index('Betting SETUP'!C:C,match(A5,'Betting SETUP'!A:A,0))="Y",(index('Score Calcuations'!F:F,match(A5,'Score Calcuations'!B:B))), "out")</f>
        <v>73</v>
      </c>
      <c r="C5" s="47">
        <f t="array" ref="C5">IF(index('Betting SETUP'!C:C,match(A5,'Betting SETUP'!A:A,0))="Y",(index('Score Calcuations'!H:H,match(A5,'Score Calcuations'!B:B))), "out")</f>
        <v>68</v>
      </c>
      <c r="D5" s="47">
        <f t="array" ref="D5">IF(index('Betting SETUP'!C:C,match(A5,'Betting SETUP'!A:A,0))="Y",(index('Score Calcuations'!J:J,match(A5,'Score Calcuations'!B:B))), "out")</f>
        <v>73</v>
      </c>
    </row>
    <row r="6">
      <c r="A6" s="44" t="str">
        <f>'Betting SETUP'!$A$8</f>
        <v>EO</v>
      </c>
      <c r="B6" s="45">
        <f t="array" ref="B6">IF(index('Betting SETUP'!C:C,match(A6,'Betting SETUP'!A:A,0))="Y",(index('Score Calcuations'!F:F,match(A6,'Score Calcuations'!B:B))), "out")</f>
        <v>75</v>
      </c>
      <c r="C6" s="45">
        <f t="array" ref="C6">IF(index('Betting SETUP'!C:C,match(A6,'Betting SETUP'!A:A,0))="Y",(index('Score Calcuations'!H:H,match(A6,'Score Calcuations'!B:B))), "out")</f>
        <v>67</v>
      </c>
      <c r="D6" s="45">
        <f t="array" ref="D6">IF(index('Betting SETUP'!C:C,match(A6,'Betting SETUP'!A:A,0))="Y",(index('Score Calcuations'!J:J,match(A6,'Score Calcuations'!B:B))), "out")</f>
        <v>84</v>
      </c>
    </row>
    <row r="7">
      <c r="A7" s="46" t="str">
        <f>'Betting SETUP'!$A$9</f>
        <v>JB</v>
      </c>
      <c r="B7" s="47">
        <f t="array" ref="B7">IF(index('Betting SETUP'!C:C,match(A7,'Betting SETUP'!A:A,0))="Y",(index('Score Calcuations'!F:F,match(A7,'Score Calcuations'!B:B))), "out")</f>
        <v>74</v>
      </c>
      <c r="C7" s="47">
        <f t="array" ref="C7">IF(index('Betting SETUP'!C:C,match(A7,'Betting SETUP'!A:A,0))="Y",(index('Score Calcuations'!H:H,match(A7,'Score Calcuations'!B:B))), "out")</f>
        <v>79</v>
      </c>
      <c r="D7" s="47">
        <f t="array" ref="D7">IF(index('Betting SETUP'!C:C,match(A7,'Betting SETUP'!A:A,0))="Y",(index('Score Calcuations'!J:J,match(A7,'Score Calcuations'!B:B))), "out")</f>
        <v>76</v>
      </c>
    </row>
    <row r="8">
      <c r="A8" s="44" t="str">
        <f>'Betting SETUP'!$A$10</f>
        <v>RW</v>
      </c>
      <c r="B8" s="45">
        <f t="array" ref="B8">IF(index('Betting SETUP'!C:C,match(A8,'Betting SETUP'!A:A,0))="Y",(index('Score Calcuations'!F:F,match(A8,'Score Calcuations'!B:B))), "out")</f>
        <v>76</v>
      </c>
      <c r="C8" s="45">
        <f t="array" ref="C8">IF(index('Betting SETUP'!C:C,match(A8,'Betting SETUP'!A:A,0))="Y",(index('Score Calcuations'!H:H,match(A8,'Score Calcuations'!B:B))), "out")</f>
        <v>75</v>
      </c>
      <c r="D8" s="45">
        <f t="array" ref="D8">IF(index('Betting SETUP'!C:C,match(A8,'Betting SETUP'!A:A,0))="Y",(index('Score Calcuations'!J:J,match(A8,'Score Calcuations'!B:B))), "out")</f>
        <v>84</v>
      </c>
    </row>
    <row r="9">
      <c r="A9" s="46" t="str">
        <f>'Betting SETUP'!$A$11</f>
        <v>SR</v>
      </c>
      <c r="B9" s="47">
        <f t="array" ref="B9">IF(index('Betting SETUP'!C:C,match(A9,'Betting SETUP'!A:A,0))="Y",(index('Score Calcuations'!F:F,match(A9,'Score Calcuations'!B:B))), "out")</f>
        <v>70</v>
      </c>
      <c r="C9" s="47">
        <f t="array" ref="C9">IF(index('Betting SETUP'!C:C,match(A9,'Betting SETUP'!A:A,0))="Y",(index('Score Calcuations'!H:H,match(A9,'Score Calcuations'!B:B))), "out")</f>
        <v>74</v>
      </c>
      <c r="D9" s="47">
        <f t="array" ref="D9">IF(index('Betting SETUP'!C:C,match(A9,'Betting SETUP'!A:A,0))="Y",(index('Score Calcuations'!J:J,match(A9,'Score Calcuations'!B:B))), "out")</f>
        <v>79</v>
      </c>
    </row>
    <row r="10">
      <c r="A10" s="48" t="s">
        <v>31</v>
      </c>
      <c r="B10" s="48">
        <f>COUNTIF(BettingScoreboard!$B$2:$B$9,MIN(BettingScoreboard!$B$2:$B$9))</f>
        <v>1</v>
      </c>
      <c r="C10" s="48">
        <f>COUNTIF(BettingScoreboard!$C$2:$C$9,MIN(BettingScoreboard!$C$2:$C$9))</f>
        <v>1</v>
      </c>
      <c r="D10" s="48">
        <f>COUNTIF(BettingScoreboard!$D$2:$D$9,MIN(BettingScoreboard!$D$2:$D$9))</f>
        <v>1</v>
      </c>
    </row>
    <row r="11">
      <c r="A11" s="49" t="s">
        <v>32</v>
      </c>
      <c r="B11" s="50">
        <f>if(B10=0,"",'Betting SETUP'!$C$3/B10)</f>
        <v>20</v>
      </c>
      <c r="C11" s="50">
        <f>if(C10=0,"",'Betting SETUP'!$C$3/C10)</f>
        <v>20</v>
      </c>
      <c r="D11" s="50">
        <f>if(D10=0,"",'Betting SETUP'!$C$3/D10)</f>
        <v>20</v>
      </c>
    </row>
    <row r="12">
      <c r="A12" s="51"/>
      <c r="B12" s="51"/>
      <c r="C12" s="51"/>
      <c r="D12" s="51"/>
    </row>
    <row r="13">
      <c r="A13" s="52" t="s">
        <v>10</v>
      </c>
      <c r="B13" s="52" t="s">
        <v>33</v>
      </c>
      <c r="C13" s="52" t="s">
        <v>34</v>
      </c>
      <c r="D13" s="53">
        <f>'Betting SETUP'!D3/sum(Scorecards!X12,Scorecards!X26,Scorecards!X40)</f>
        <v>15.29411765</v>
      </c>
    </row>
    <row r="14">
      <c r="A14" s="44" t="str">
        <f>'Betting SETUP'!$A$4</f>
        <v>AJ</v>
      </c>
      <c r="B14" s="54">
        <f>SUM(COUNTIF(Scorecards!$D$12:$U$12,BettingScoreboard!$A14),COUNTIF(Scorecards!$D$26:$U$26,BettingScoreboard!$A14),COUNTIF(Scorecards!$D$40:$U$40,BettingScoreboard!$A14))</f>
        <v>2</v>
      </c>
      <c r="C14" s="55">
        <f>B14*'Betting SETUP'!$D$3/(sum($B$14:$B$21))</f>
        <v>30.58823529</v>
      </c>
      <c r="D14" s="56"/>
    </row>
    <row r="15">
      <c r="A15" s="46" t="str">
        <f>'Betting SETUP'!$A$5</f>
        <v>AV</v>
      </c>
      <c r="B15" s="48">
        <f>SUM(COUNTIF(Scorecards!$D$12:$U$12,BettingScoreboard!$A15),COUNTIF(Scorecards!$D$26:$U$26,BettingScoreboard!$A15),COUNTIF(Scorecards!$D$40:$U$40,BettingScoreboard!$A15))</f>
        <v>2</v>
      </c>
      <c r="C15" s="57">
        <f>B15*'Betting SETUP'!$D$3/(sum($B$14:$B$21))</f>
        <v>30.58823529</v>
      </c>
      <c r="D15" s="56"/>
    </row>
    <row r="16">
      <c r="A16" s="44" t="str">
        <f>'Betting SETUP'!$A$6</f>
        <v>BB</v>
      </c>
      <c r="B16" s="54">
        <f>SUM(COUNTIF(Scorecards!$D$12:$U$12,BettingScoreboard!$A16),COUNTIF(Scorecards!$D$26:$U$26,BettingScoreboard!$A16),COUNTIF(Scorecards!$D$40:$U$40,BettingScoreboard!$A16))</f>
        <v>1</v>
      </c>
      <c r="C16" s="55">
        <f>B16*'Betting SETUP'!$D$3/(sum($B$14:$B$21))</f>
        <v>15.29411765</v>
      </c>
      <c r="D16" s="56"/>
    </row>
    <row r="17">
      <c r="A17" s="46" t="str">
        <f>'Betting SETUP'!$A$7</f>
        <v>BK</v>
      </c>
      <c r="B17" s="48">
        <f>SUM(COUNTIF(Scorecards!$D$12:$U$12,BettingScoreboard!$A17),COUNTIF(Scorecards!$D$26:$U$26,BettingScoreboard!$A17),COUNTIF(Scorecards!$D$40:$U$40,BettingScoreboard!$A17))</f>
        <v>2</v>
      </c>
      <c r="C17" s="57">
        <f>B17*'Betting SETUP'!$D$3/(sum($B$14:$B$21))</f>
        <v>30.58823529</v>
      </c>
      <c r="D17" s="56"/>
    </row>
    <row r="18">
      <c r="A18" s="44" t="str">
        <f>'Betting SETUP'!$A$8</f>
        <v>EO</v>
      </c>
      <c r="B18" s="54">
        <f>SUM(COUNTIF(Scorecards!$D$12:$U$12,BettingScoreboard!$A18),COUNTIF(Scorecards!$D$26:$U$26,BettingScoreboard!$A18),COUNTIF(Scorecards!$D$40:$U$40,BettingScoreboard!$A18))</f>
        <v>1</v>
      </c>
      <c r="C18" s="55">
        <f>B18*'Betting SETUP'!$D$3/(sum($B$14:$B$21))</f>
        <v>15.29411765</v>
      </c>
      <c r="D18" s="56"/>
    </row>
    <row r="19">
      <c r="A19" s="46" t="str">
        <f>'Betting SETUP'!$A$9</f>
        <v>JB</v>
      </c>
      <c r="B19" s="48">
        <f>SUM(COUNTIF(Scorecards!$D$12:$U$12,BettingScoreboard!$A19),COUNTIF(Scorecards!$D$26:$U$26,BettingScoreboard!$A19),COUNTIF(Scorecards!$D$40:$U$40,BettingScoreboard!$A19))</f>
        <v>2</v>
      </c>
      <c r="C19" s="57">
        <f>B19*'Betting SETUP'!$D$3/(sum($B$14:$B$21))</f>
        <v>30.58823529</v>
      </c>
      <c r="D19" s="56"/>
    </row>
    <row r="20">
      <c r="A20" s="44" t="str">
        <f>'Betting SETUP'!$A$10</f>
        <v>RW</v>
      </c>
      <c r="B20" s="54">
        <f>SUM(COUNTIF(Scorecards!$D$12:$U$12,BettingScoreboard!$A20),COUNTIF(Scorecards!$D$26:$U$26,BettingScoreboard!$A20),COUNTIF(Scorecards!$D$40:$U$40,BettingScoreboard!$A20))</f>
        <v>2</v>
      </c>
      <c r="C20" s="55">
        <f>B20*'Betting SETUP'!$D$3/(sum($B$14:$B$21))</f>
        <v>30.58823529</v>
      </c>
      <c r="D20" s="56"/>
    </row>
    <row r="21">
      <c r="A21" s="46" t="str">
        <f>'Betting SETUP'!$A$11</f>
        <v>SR</v>
      </c>
      <c r="B21" s="48">
        <f>SUM(COUNTIF(Scorecards!$D$12:$U$12,BettingScoreboard!$A21),COUNTIF(Scorecards!$D$26:$U$26,BettingScoreboard!$A21),COUNTIF(Scorecards!$D$40:$U$40,BettingScoreboard!$A21))</f>
        <v>5</v>
      </c>
      <c r="C21" s="57">
        <f>B21*'Betting SETUP'!$D$3/(sum($B$14:$B$21))</f>
        <v>76.47058824</v>
      </c>
      <c r="D21" s="56"/>
    </row>
    <row r="22">
      <c r="A22" s="58"/>
      <c r="B22" s="59"/>
      <c r="C22" s="60"/>
      <c r="D22" s="59"/>
    </row>
    <row r="23">
      <c r="A23" s="52" t="s">
        <v>10</v>
      </c>
      <c r="B23" s="52" t="s">
        <v>22</v>
      </c>
      <c r="C23" s="52" t="s">
        <v>35</v>
      </c>
      <c r="D23" s="53">
        <f>'Betting SETUP'!E3</f>
        <v>10</v>
      </c>
    </row>
    <row r="24">
      <c r="A24" s="44" t="str">
        <f>'Betting SETUP'!$A$4</f>
        <v>AJ</v>
      </c>
      <c r="B24" s="54">
        <f>SUM(COUNTIF(Scorecards!$D$13:$U$13,BettingScoreboard!$A24),COUNTIF(Scorecards!$D$27:$U$27,BettingScoreboard!$A24),COUNTIF(Scorecards!$D$41:$U$41,BettingScoreboard!$A24),COUNTIF(#REF!,BettingScoreboard!$A24))</f>
        <v>1</v>
      </c>
      <c r="C24" s="55">
        <f t="shared" ref="C24:C31" si="1">B24*$D$23</f>
        <v>10</v>
      </c>
      <c r="D24" s="59"/>
    </row>
    <row r="25">
      <c r="A25" s="46" t="str">
        <f>'Betting SETUP'!$A$5</f>
        <v>AV</v>
      </c>
      <c r="B25" s="48">
        <f>SUM(COUNTIF(Scorecards!$D$13:$U$13,BettingScoreboard!$A25),COUNTIF(Scorecards!$D$27:$U$27,BettingScoreboard!$A25),COUNTIF(Scorecards!$D$41:$U$41,BettingScoreboard!$A25),COUNTIF(#REF!,BettingScoreboard!$A25))</f>
        <v>2</v>
      </c>
      <c r="C25" s="57">
        <f t="shared" si="1"/>
        <v>20</v>
      </c>
      <c r="D25" s="59"/>
    </row>
    <row r="26">
      <c r="A26" s="44" t="str">
        <f>'Betting SETUP'!$A$6</f>
        <v>BB</v>
      </c>
      <c r="B26" s="54">
        <f>SUM(COUNTIF(Scorecards!$D$13:$U$13,BettingScoreboard!$A26),COUNTIF(Scorecards!$D$27:$U$27,BettingScoreboard!$A26),COUNTIF(Scorecards!$D$41:$U$41,BettingScoreboard!$A26),COUNTIF(#REF!,BettingScoreboard!$A26))</f>
        <v>1</v>
      </c>
      <c r="C26" s="55">
        <f t="shared" si="1"/>
        <v>10</v>
      </c>
      <c r="D26" s="59"/>
    </row>
    <row r="27">
      <c r="A27" s="46" t="str">
        <f>'Betting SETUP'!$A$7</f>
        <v>BK</v>
      </c>
      <c r="B27" s="48">
        <f>SUM(COUNTIF(Scorecards!$D$13:$U$13,BettingScoreboard!$A27),COUNTIF(Scorecards!$D$27:$U$27,BettingScoreboard!$A27),COUNTIF(Scorecards!$D$41:$U$41,BettingScoreboard!$A27),COUNTIF(#REF!,BettingScoreboard!$A27))</f>
        <v>3</v>
      </c>
      <c r="C27" s="57">
        <f t="shared" si="1"/>
        <v>30</v>
      </c>
      <c r="D27" s="59"/>
    </row>
    <row r="28">
      <c r="A28" s="44" t="str">
        <f>'Betting SETUP'!$A$8</f>
        <v>EO</v>
      </c>
      <c r="B28" s="54">
        <f>SUM(COUNTIF(Scorecards!$D$13:$U$13,BettingScoreboard!$A28),COUNTIF(Scorecards!$D$27:$U$27,BettingScoreboard!$A28),COUNTIF(Scorecards!$D$41:$U$41,BettingScoreboard!$A28),COUNTIF(#REF!,BettingScoreboard!$A28))</f>
        <v>4</v>
      </c>
      <c r="C28" s="55">
        <f t="shared" si="1"/>
        <v>40</v>
      </c>
      <c r="D28" s="59"/>
    </row>
    <row r="29">
      <c r="A29" s="46" t="str">
        <f>'Betting SETUP'!$A$9</f>
        <v>JB</v>
      </c>
      <c r="B29" s="48">
        <f>SUM(COUNTIF(Scorecards!$D$13:$U$13,BettingScoreboard!$A29),COUNTIF(Scorecards!$D$27:$U$27,BettingScoreboard!$A29),COUNTIF(Scorecards!$D$41:$U$41,BettingScoreboard!$A29),COUNTIF(#REF!,BettingScoreboard!$A29))</f>
        <v>0</v>
      </c>
      <c r="C29" s="57">
        <f t="shared" si="1"/>
        <v>0</v>
      </c>
      <c r="D29" s="59"/>
    </row>
    <row r="30">
      <c r="A30" s="44" t="str">
        <f>'Betting SETUP'!$A$10</f>
        <v>RW</v>
      </c>
      <c r="B30" s="54">
        <f>SUM(COUNTIF(Scorecards!$D$13:$U$13,BettingScoreboard!$A30),COUNTIF(Scorecards!$D$27:$U$27,BettingScoreboard!$A30),COUNTIF(Scorecards!$D$41:$U$41,BettingScoreboard!$A30),COUNTIF(#REF!,BettingScoreboard!$A30))</f>
        <v>2</v>
      </c>
      <c r="C30" s="55">
        <f t="shared" si="1"/>
        <v>20</v>
      </c>
      <c r="D30" s="59"/>
    </row>
    <row r="31">
      <c r="A31" s="46" t="str">
        <f>'Betting SETUP'!$A$11</f>
        <v>SR</v>
      </c>
      <c r="B31" s="48">
        <f>SUM(COUNTIF(Scorecards!$D$13:$U$13,BettingScoreboard!$A31),COUNTIF(Scorecards!$D$27:$U$27,BettingScoreboard!$A31),COUNTIF(Scorecards!$D$41:$U$41,BettingScoreboard!$A31),COUNTIF(#REF!,BettingScoreboard!$A31))</f>
        <v>3</v>
      </c>
      <c r="C31" s="57">
        <f t="shared" si="1"/>
        <v>30</v>
      </c>
      <c r="D31" s="59"/>
    </row>
  </sheetData>
  <conditionalFormatting sqref="B2:B9">
    <cfRule type="expression" dxfId="4" priority="1">
      <formula>B2=MIN($B$2:$B$9)</formula>
    </cfRule>
  </conditionalFormatting>
  <conditionalFormatting sqref="C2:C9">
    <cfRule type="expression" dxfId="4" priority="2">
      <formula>C2=MIN($C$2:$C$9)</formula>
    </cfRule>
  </conditionalFormatting>
  <conditionalFormatting sqref="D2:D9">
    <cfRule type="expression" dxfId="4" priority="3">
      <formula>D2=MIN($D$2:$D$9)</formula>
    </cfRule>
  </conditionalFormatting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71"/>
    <col customWidth="1" min="2" max="13" width="8.86"/>
  </cols>
  <sheetData>
    <row r="1" ht="12.75" customHeight="1">
      <c r="A1" s="61" t="s">
        <v>10</v>
      </c>
      <c r="B1" s="62"/>
      <c r="C1" s="63" t="s">
        <v>36</v>
      </c>
      <c r="D1" s="63" t="s">
        <v>36</v>
      </c>
      <c r="E1" s="64" t="str">
        <f>Scorecards!C1</f>
        <v>STOATIN BRAE</v>
      </c>
      <c r="F1" s="65"/>
      <c r="G1" s="64" t="str">
        <f>Scorecards!C15</f>
        <v>STONEHEDGE N</v>
      </c>
      <c r="H1" s="65"/>
      <c r="I1" s="64" t="str">
        <f>Scorecards!C29</f>
        <v>STOATIN BRAE</v>
      </c>
      <c r="J1" s="65"/>
      <c r="K1" s="64" t="s">
        <v>8</v>
      </c>
      <c r="L1" s="14"/>
      <c r="M1" s="14"/>
    </row>
    <row r="2" ht="12.75" customHeight="1">
      <c r="A2" s="66"/>
      <c r="B2" s="67"/>
      <c r="C2" s="68" t="s">
        <v>37</v>
      </c>
      <c r="D2" s="68" t="s">
        <v>38</v>
      </c>
      <c r="E2" s="69" t="s">
        <v>39</v>
      </c>
      <c r="F2" s="69" t="s">
        <v>9</v>
      </c>
      <c r="G2" s="69" t="s">
        <v>39</v>
      </c>
      <c r="H2" s="69" t="s">
        <v>9</v>
      </c>
      <c r="I2" s="69" t="s">
        <v>39</v>
      </c>
      <c r="J2" s="69" t="s">
        <v>9</v>
      </c>
      <c r="K2" s="70" t="s">
        <v>39</v>
      </c>
      <c r="L2" s="70" t="s">
        <v>9</v>
      </c>
      <c r="M2" s="71" t="s">
        <v>1</v>
      </c>
    </row>
    <row r="3" ht="12.75" customHeight="1">
      <c r="A3" s="72" t="str">
        <f>SETUP!A5</f>
        <v>Aaron J</v>
      </c>
      <c r="B3" s="73" t="s">
        <v>27</v>
      </c>
      <c r="C3" s="74">
        <f t="shared" ref="C3:C10" si="2">RANK(L3,$L$3:$L$10,1)+COUNTIF($L$3:L3,L3)-1</f>
        <v>4</v>
      </c>
      <c r="D3" s="47" t="str">
        <f t="shared" ref="D3:D10" si="3">if(countif($L$3:$L$10,L3)=1,RANK(L3,$L$3:$L$10,1),"T"&amp;RANK(L3,$L$3:$L$10,1))</f>
        <v>T4</v>
      </c>
      <c r="E3" s="47">
        <f t="array" ref="E3">index(Scorecards!$X$4:$X$11,match($A3,Scorecards!$A$4:$A$11,0))</f>
        <v>84</v>
      </c>
      <c r="F3" s="47">
        <f t="array" ref="F3">index(Scorecards!$Y$4:$Y$11,match($A3,Scorecards!$A$4:$A$11,0))</f>
        <v>79</v>
      </c>
      <c r="G3" s="47">
        <f t="array" ref="G3">index(Scorecards!$X$18:$X$25,match($A3,Scorecards!$A$18:$A$25,0))</f>
        <v>81</v>
      </c>
      <c r="H3" s="47">
        <f t="array" ref="H3">index(Scorecards!$Y$18:$Y$25,match($A3,Scorecards!$A$18:$A$25,0))</f>
        <v>74</v>
      </c>
      <c r="I3" s="47">
        <f t="array" ref="I3">index(Scorecards!$X$32:$X$39,match($A3,Scorecards!$A$32:$A$39,0))</f>
        <v>79</v>
      </c>
      <c r="J3" s="47">
        <f t="array" ref="J3">index(Scorecards!$Y$32:$Y$39,match($A3,Scorecards!$A$32:$A$39,0))</f>
        <v>74</v>
      </c>
      <c r="K3" s="72">
        <f t="shared" ref="K3:L3" si="1">SUM(E3,G3,I3)</f>
        <v>244</v>
      </c>
      <c r="L3" s="72">
        <f t="shared" si="1"/>
        <v>227</v>
      </c>
      <c r="M3" s="75">
        <f>if(COUNT($E3:$J3)=6,$L3-sum(SETUP!$D$4:$F$4),if(count($E3:$H3)=4,$L3-sum(SETUP!$D$4:$E$4),if(count($E3:$J3)=2,$L3-SETUP!$D$4,"TBD")))</f>
        <v>13</v>
      </c>
    </row>
    <row r="4" ht="12.75" customHeight="1">
      <c r="A4" s="76" t="str">
        <f>SETUP!A6</f>
        <v>Andy V</v>
      </c>
      <c r="B4" s="77" t="s">
        <v>28</v>
      </c>
      <c r="C4" s="78">
        <f t="shared" si="2"/>
        <v>5</v>
      </c>
      <c r="D4" s="47" t="str">
        <f t="shared" si="3"/>
        <v>T4</v>
      </c>
      <c r="E4" s="79">
        <f t="array" ref="E4">index(Scorecards!$X$4:$X$11,match($A4,Scorecards!$A$4:$A$11,0))</f>
        <v>85</v>
      </c>
      <c r="F4" s="79">
        <f t="array" ref="F4">index(Scorecards!$Y$4:$Y$11,match($A4,Scorecards!$A$4:$A$11,0))</f>
        <v>74</v>
      </c>
      <c r="G4" s="79">
        <f t="array" ref="G4">index(Scorecards!$X$18:$X$25,match($A4,Scorecards!$A$18:$A$25,0))</f>
        <v>88</v>
      </c>
      <c r="H4" s="79">
        <f t="array" ref="H4">index(Scorecards!$Y$18:$Y$25,match($A4,Scorecards!$A$18:$A$25,0))</f>
        <v>75</v>
      </c>
      <c r="I4" s="79">
        <f t="array" ref="I4">index(Scorecards!$X$32:$X$39,match($A4,Scorecards!$A$32:$A$39,0))</f>
        <v>92</v>
      </c>
      <c r="J4" s="79">
        <f t="array" ref="J4">index(Scorecards!$Y$32:$Y$39,match($A4,Scorecards!$A$32:$A$39,0))</f>
        <v>78</v>
      </c>
      <c r="K4" s="76">
        <f t="shared" ref="K4:L4" si="4">SUM(E4,G4,I4)</f>
        <v>265</v>
      </c>
      <c r="L4" s="76">
        <f t="shared" si="4"/>
        <v>227</v>
      </c>
      <c r="M4" s="80">
        <f>if(COUNT($E4:$J4)=6,$L4-sum(SETUP!$D$4:$F$4),if(count($E4:$H4)=4,$L4-sum(SETUP!$D$4:$E$4),if(count($E4:$J4)=2,$L4-SETUP!$D$4,"TBD")))</f>
        <v>13</v>
      </c>
    </row>
    <row r="5" ht="12.75" customHeight="1">
      <c r="A5" s="72" t="str">
        <f>SETUP!A7</f>
        <v>Bob B</v>
      </c>
      <c r="B5" s="73" t="s">
        <v>29</v>
      </c>
      <c r="C5" s="74">
        <f t="shared" si="2"/>
        <v>7</v>
      </c>
      <c r="D5" s="47">
        <f t="shared" si="3"/>
        <v>7</v>
      </c>
      <c r="E5" s="47">
        <f t="array" ref="E5">index(Scorecards!$X$4:$X$11,match($A5,Scorecards!$A$4:$A$11,0))</f>
        <v>90</v>
      </c>
      <c r="F5" s="47">
        <f t="array" ref="F5">index(Scorecards!$Y$4:$Y$11,match($A5,Scorecards!$A$4:$A$11,0))</f>
        <v>76</v>
      </c>
      <c r="G5" s="47">
        <f t="array" ref="G5">index(Scorecards!$X$18:$X$25,match($A5,Scorecards!$A$18:$A$25,0))</f>
        <v>98</v>
      </c>
      <c r="H5" s="47">
        <f t="array" ref="H5">index(Scorecards!$Y$18:$Y$25,match($A5,Scorecards!$A$18:$A$25,0))</f>
        <v>82</v>
      </c>
      <c r="I5" s="47">
        <f t="array" ref="I5">index(Scorecards!$X$32:$X$39,match($A5,Scorecards!$A$32:$A$39,0))</f>
        <v>88</v>
      </c>
      <c r="J5" s="47">
        <f t="array" ref="J5">index(Scorecards!$Y$32:$Y$39,match($A5,Scorecards!$A$32:$A$39,0))</f>
        <v>74</v>
      </c>
      <c r="K5" s="72">
        <f t="shared" ref="K5:L5" si="5">SUM(E5,G5,I5)</f>
        <v>276</v>
      </c>
      <c r="L5" s="72">
        <f t="shared" si="5"/>
        <v>232</v>
      </c>
      <c r="M5" s="75">
        <f>if(COUNT($E5:$J5)=6,$L5-sum(SETUP!$D$4:$F$4),if(count($E5:$H5)=4,$L5-sum(SETUP!$D$4:$E$4),if(count($E5:$J5)=2,$L5-SETUP!$D$4,"TBD")))</f>
        <v>18</v>
      </c>
    </row>
    <row r="6" ht="12.75" customHeight="1">
      <c r="A6" s="76" t="str">
        <f>SETUP!A8</f>
        <v>Brian K</v>
      </c>
      <c r="B6" s="77" t="s">
        <v>25</v>
      </c>
      <c r="C6" s="78">
        <f t="shared" si="2"/>
        <v>1</v>
      </c>
      <c r="D6" s="47">
        <f t="shared" si="3"/>
        <v>1</v>
      </c>
      <c r="E6" s="79">
        <f t="array" ref="E6">index(Scorecards!$X$4:$X$11,match($A6,Scorecards!$A$4:$A$11,0))</f>
        <v>84</v>
      </c>
      <c r="F6" s="79">
        <f t="array" ref="F6">index(Scorecards!$Y$4:$Y$11,match($A6,Scorecards!$A$4:$A$11,0))</f>
        <v>73</v>
      </c>
      <c r="G6" s="79">
        <f t="array" ref="G6">index(Scorecards!$X$18:$X$25,match($A6,Scorecards!$A$18:$A$25,0))</f>
        <v>80</v>
      </c>
      <c r="H6" s="79">
        <f t="array" ref="H6">index(Scorecards!$Y$18:$Y$25,match($A6,Scorecards!$A$18:$A$25,0))</f>
        <v>68</v>
      </c>
      <c r="I6" s="79">
        <f t="array" ref="I6">index(Scorecards!$X$32:$X$39,match($A6,Scorecards!$A$32:$A$39,0))</f>
        <v>83</v>
      </c>
      <c r="J6" s="79">
        <f t="array" ref="J6">index(Scorecards!$Y$32:$Y$39,match($A6,Scorecards!$A$32:$A$39,0))</f>
        <v>73</v>
      </c>
      <c r="K6" s="76">
        <f t="shared" ref="K6:L6" si="6">SUM(E6,G6,I6)</f>
        <v>247</v>
      </c>
      <c r="L6" s="76">
        <f t="shared" si="6"/>
        <v>214</v>
      </c>
      <c r="M6" s="80">
        <f>if(COUNT($E6:$J6)=6,$L6-sum(SETUP!$D$4:$F$4),if(count($E6:$H6)=4,$L6-sum(SETUP!$D$4:$E$4),if(count($E6:$J6)=2,$L6-SETUP!$D$4,"TBD")))</f>
        <v>0</v>
      </c>
    </row>
    <row r="7" ht="12.75" customHeight="1">
      <c r="A7" s="72" t="str">
        <f>SETUP!A9</f>
        <v>Eric O</v>
      </c>
      <c r="B7" s="73" t="s">
        <v>26</v>
      </c>
      <c r="C7" s="74">
        <f t="shared" si="2"/>
        <v>3</v>
      </c>
      <c r="D7" s="47">
        <f t="shared" si="3"/>
        <v>3</v>
      </c>
      <c r="E7" s="47">
        <f t="array" ref="E7">index(Scorecards!$X$4:$X$11,match($A7,Scorecards!$A$4:$A$11,0))</f>
        <v>88</v>
      </c>
      <c r="F7" s="47">
        <f t="array" ref="F7">index(Scorecards!$Y$4:$Y$11,match($A7,Scorecards!$A$4:$A$11,0))</f>
        <v>75</v>
      </c>
      <c r="G7" s="47">
        <f t="array" ref="G7">index(Scorecards!$X$18:$X$25,match($A7,Scorecards!$A$18:$A$25,0))</f>
        <v>83</v>
      </c>
      <c r="H7" s="47">
        <f t="array" ref="H7">index(Scorecards!$Y$18:$Y$25,match($A7,Scorecards!$A$18:$A$25,0))</f>
        <v>67</v>
      </c>
      <c r="I7" s="47">
        <f t="array" ref="I7">index(Scorecards!$X$32:$X$39,match($A7,Scorecards!$A$32:$A$39,0))</f>
        <v>97</v>
      </c>
      <c r="J7" s="47">
        <f t="array" ref="J7">index(Scorecards!$Y$32:$Y$39,match($A7,Scorecards!$A$32:$A$39,0))</f>
        <v>84</v>
      </c>
      <c r="K7" s="72">
        <f t="shared" ref="K7:L7" si="7">SUM(E7,G7,I7)</f>
        <v>268</v>
      </c>
      <c r="L7" s="72">
        <f t="shared" si="7"/>
        <v>226</v>
      </c>
      <c r="M7" s="75">
        <f>if(COUNT($E7:$J7)=6,$L7-sum(SETUP!$D$4:$F$4),if(count($E7:$H7)=4,$L7-sum(SETUP!$D$4:$E$4),if(count($E7:$J7)=2,$L7-SETUP!$D$4,"TBD")))</f>
        <v>12</v>
      </c>
    </row>
    <row r="8" ht="12.75" customHeight="1">
      <c r="A8" s="76" t="str">
        <f>SETUP!A10</f>
        <v>Jeff B</v>
      </c>
      <c r="B8" s="77" t="s">
        <v>40</v>
      </c>
      <c r="C8" s="78">
        <f t="shared" si="2"/>
        <v>6</v>
      </c>
      <c r="D8" s="47">
        <f t="shared" si="3"/>
        <v>6</v>
      </c>
      <c r="E8" s="79">
        <f t="array" ref="E8">index(Scorecards!$X$4:$X$11,match($A8,Scorecards!$A$4:$A$11,0))</f>
        <v>88</v>
      </c>
      <c r="F8" s="79">
        <f t="array" ref="F8">index(Scorecards!$Y$4:$Y$11,match($A8,Scorecards!$A$4:$A$11,0))</f>
        <v>74</v>
      </c>
      <c r="G8" s="79">
        <f t="array" ref="G8">index(Scorecards!$X$18:$X$25,match($A8,Scorecards!$A$18:$A$25,0))</f>
        <v>96</v>
      </c>
      <c r="H8" s="79">
        <f t="array" ref="H8">index(Scorecards!$Y$18:$Y$25,match($A8,Scorecards!$A$18:$A$25,0))</f>
        <v>79</v>
      </c>
      <c r="I8" s="79">
        <f t="array" ref="I8">index(Scorecards!$X$32:$X$39,match($A8,Scorecards!$A$32:$A$39,0))</f>
        <v>91</v>
      </c>
      <c r="J8" s="79">
        <f t="array" ref="J8">index(Scorecards!$Y$32:$Y$39,match($A8,Scorecards!$A$32:$A$39,0))</f>
        <v>76</v>
      </c>
      <c r="K8" s="76">
        <f t="shared" ref="K8:L8" si="8">SUM(E8,G8,I8)</f>
        <v>275</v>
      </c>
      <c r="L8" s="76">
        <f t="shared" si="8"/>
        <v>229</v>
      </c>
      <c r="M8" s="80">
        <f>if(COUNT($E8:$J8)=6,$L8-sum(SETUP!$D$4:$F$4),if(count($E8:$H8)=4,$L8-sum(SETUP!$D$4:$E$4),if(count($E8:$J8)=2,$L8-SETUP!$D$4,"TBD")))</f>
        <v>15</v>
      </c>
    </row>
    <row r="9" ht="12.75" customHeight="1">
      <c r="A9" s="72" t="str">
        <f>SETUP!A11</f>
        <v>Russ W</v>
      </c>
      <c r="B9" s="73" t="s">
        <v>24</v>
      </c>
      <c r="C9" s="74">
        <f t="shared" si="2"/>
        <v>8</v>
      </c>
      <c r="D9" s="47">
        <f t="shared" si="3"/>
        <v>8</v>
      </c>
      <c r="E9" s="47">
        <f t="array" ref="E9">index(Scorecards!$X$4:$X$11,match($A9,Scorecards!$A$4:$A$11,0))</f>
        <v>87</v>
      </c>
      <c r="F9" s="47">
        <f t="array" ref="F9">index(Scorecards!$Y$4:$Y$11,match($A9,Scorecards!$A$4:$A$11,0))</f>
        <v>76</v>
      </c>
      <c r="G9" s="47">
        <f t="array" ref="G9">index(Scorecards!$X$18:$X$25,match($A9,Scorecards!$A$18:$A$25,0))</f>
        <v>88</v>
      </c>
      <c r="H9" s="47">
        <f t="array" ref="H9">index(Scorecards!$Y$18:$Y$25,match($A9,Scorecards!$A$18:$A$25,0))</f>
        <v>75</v>
      </c>
      <c r="I9" s="47">
        <f t="array" ref="I9">index(Scorecards!$X$32:$X$39,match($A9,Scorecards!$A$32:$A$39,0))</f>
        <v>95</v>
      </c>
      <c r="J9" s="47">
        <f t="array" ref="J9">index(Scorecards!$Y$32:$Y$39,match($A9,Scorecards!$A$32:$A$39,0))</f>
        <v>84</v>
      </c>
      <c r="K9" s="72">
        <f t="shared" ref="K9:L9" si="9">SUM(E9,G9,I9)</f>
        <v>270</v>
      </c>
      <c r="L9" s="72">
        <f t="shared" si="9"/>
        <v>235</v>
      </c>
      <c r="M9" s="75">
        <f>if(COUNT($E9:$J9)=6,$L9-sum(SETUP!$D$4:$F$4),if(count($E9:$H9)=4,$L9-sum(SETUP!$D$4:$E$4),if(count($E9:$J9)=2,$L9-SETUP!$D$4,"TBD")))</f>
        <v>21</v>
      </c>
    </row>
    <row r="10" ht="12.75" customHeight="1">
      <c r="A10" s="76" t="str">
        <f>SETUP!A12</f>
        <v>Scott R</v>
      </c>
      <c r="B10" s="77" t="s">
        <v>23</v>
      </c>
      <c r="C10" s="78">
        <f t="shared" si="2"/>
        <v>2</v>
      </c>
      <c r="D10" s="47">
        <f t="shared" si="3"/>
        <v>2</v>
      </c>
      <c r="E10" s="79">
        <f t="array" ref="E10">index(Scorecards!$X$4:$X$11,match($A10,Scorecards!$A$4:$A$11,0))</f>
        <v>75</v>
      </c>
      <c r="F10" s="79">
        <f t="array" ref="F10">index(Scorecards!$Y$4:$Y$11,match($A10,Scorecards!$A$4:$A$11,0))</f>
        <v>70</v>
      </c>
      <c r="G10" s="79">
        <f t="array" ref="G10">index(Scorecards!$X$18:$X$25,match($A10,Scorecards!$A$18:$A$25,0))</f>
        <v>79</v>
      </c>
      <c r="H10" s="79">
        <f t="array" ref="H10">index(Scorecards!$Y$18:$Y$25,match($A10,Scorecards!$A$18:$A$25,0))</f>
        <v>74</v>
      </c>
      <c r="I10" s="79">
        <f t="array" ref="I10">index(Scorecards!$X$32:$X$39,match($A10,Scorecards!$A$32:$A$39,0))</f>
        <v>83</v>
      </c>
      <c r="J10" s="79">
        <f t="array" ref="J10">index(Scorecards!$Y$32:$Y$39,match($A10,Scorecards!$A$32:$A$39,0))</f>
        <v>79</v>
      </c>
      <c r="K10" s="76">
        <f t="shared" ref="K10:L10" si="10">SUM(E10,G10,I10)</f>
        <v>237</v>
      </c>
      <c r="L10" s="76">
        <f t="shared" si="10"/>
        <v>223</v>
      </c>
      <c r="M10" s="80">
        <f>if(COUNT($E10:$J10)=6,$L10-sum(SETUP!$D$4:$F$4),if(count($E10:$H10)=4,$L10-sum(SETUP!$D$4:$E$4),if(count($E10:$J10)=2,$L10-SETUP!$D$4,"TBD")))</f>
        <v>9</v>
      </c>
    </row>
  </sheetData>
  <mergeCells count="5">
    <mergeCell ref="A1:B2"/>
    <mergeCell ref="E1:F1"/>
    <mergeCell ref="G1:H1"/>
    <mergeCell ref="I1:J1"/>
    <mergeCell ref="K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4.86"/>
    <col customWidth="1" min="3" max="5" width="14.43"/>
  </cols>
  <sheetData>
    <row r="1">
      <c r="A1" s="81" t="s">
        <v>41</v>
      </c>
      <c r="B1" s="82">
        <f>sum(C1:E1)</f>
        <v>60</v>
      </c>
      <c r="C1" s="83">
        <v>7.5</v>
      </c>
      <c r="D1" s="83">
        <v>32.5</v>
      </c>
      <c r="E1" s="83">
        <v>20.0</v>
      </c>
    </row>
    <row r="2">
      <c r="A2" s="43" t="s">
        <v>10</v>
      </c>
      <c r="B2" s="84" t="s">
        <v>42</v>
      </c>
      <c r="C2" s="85" t="s">
        <v>43</v>
      </c>
      <c r="D2" s="85" t="s">
        <v>44</v>
      </c>
      <c r="E2" s="85" t="s">
        <v>22</v>
      </c>
    </row>
    <row r="3">
      <c r="A3" s="86">
        <f>sum(C3:E3)</f>
        <v>290</v>
      </c>
      <c r="B3" s="87" t="s">
        <v>45</v>
      </c>
      <c r="C3" s="88">
        <f>(COUNTIF(C4:C11,"Y") *C1)/counta(SETUP!D1:F1)</f>
        <v>20</v>
      </c>
      <c r="D3" s="88">
        <f>COUNTIF(D4:D11,"Y") *D1</f>
        <v>260</v>
      </c>
      <c r="E3" s="88">
        <f>(COUNTIF(E4:E11,"Y") *E1)/sum(countif(Scorecards!D3:U3,3),countif(Scorecards!D17:U17,3),countif(Scorecards!D31:U31,3))</f>
        <v>10</v>
      </c>
    </row>
    <row r="4">
      <c r="A4" s="44" t="str">
        <f>SETUP!B5</f>
        <v>AJ</v>
      </c>
      <c r="B4" s="89" t="s">
        <v>46</v>
      </c>
      <c r="C4" s="90" t="s">
        <v>46</v>
      </c>
      <c r="D4" s="91" t="s">
        <v>46</v>
      </c>
      <c r="E4" s="90" t="s">
        <v>46</v>
      </c>
    </row>
    <row r="5">
      <c r="A5" s="46" t="str">
        <f>SETUP!B6</f>
        <v>AV</v>
      </c>
      <c r="B5" s="92" t="s">
        <v>46</v>
      </c>
      <c r="C5" s="93" t="s">
        <v>46</v>
      </c>
      <c r="D5" s="93" t="s">
        <v>46</v>
      </c>
      <c r="E5" s="93" t="s">
        <v>46</v>
      </c>
    </row>
    <row r="6">
      <c r="A6" s="44" t="str">
        <f>SETUP!B7</f>
        <v>BB</v>
      </c>
      <c r="B6" s="91" t="s">
        <v>46</v>
      </c>
      <c r="C6" s="90" t="s">
        <v>46</v>
      </c>
      <c r="D6" s="90" t="s">
        <v>46</v>
      </c>
      <c r="E6" s="90" t="s">
        <v>46</v>
      </c>
    </row>
    <row r="7">
      <c r="A7" s="46" t="str">
        <f>SETUP!B8</f>
        <v>BK</v>
      </c>
      <c r="B7" s="94" t="s">
        <v>46</v>
      </c>
      <c r="C7" s="93" t="s">
        <v>46</v>
      </c>
      <c r="D7" s="93" t="s">
        <v>46</v>
      </c>
      <c r="E7" s="93" t="s">
        <v>46</v>
      </c>
    </row>
    <row r="8">
      <c r="A8" s="44" t="str">
        <f>SETUP!B9</f>
        <v>EO</v>
      </c>
      <c r="B8" s="91" t="s">
        <v>46</v>
      </c>
      <c r="C8" s="90" t="s">
        <v>46</v>
      </c>
      <c r="D8" s="90" t="s">
        <v>46</v>
      </c>
      <c r="E8" s="90" t="s">
        <v>46</v>
      </c>
    </row>
    <row r="9">
      <c r="A9" s="46" t="str">
        <f>SETUP!B10</f>
        <v>JB</v>
      </c>
      <c r="B9" s="94" t="s">
        <v>46</v>
      </c>
      <c r="C9" s="93" t="s">
        <v>46</v>
      </c>
      <c r="D9" s="93" t="s">
        <v>46</v>
      </c>
      <c r="E9" s="93" t="s">
        <v>46</v>
      </c>
    </row>
    <row r="10">
      <c r="A10" s="44" t="str">
        <f>SETUP!B11</f>
        <v>RW</v>
      </c>
      <c r="B10" s="95" t="s">
        <v>46</v>
      </c>
      <c r="C10" s="90" t="s">
        <v>46</v>
      </c>
      <c r="D10" s="90" t="s">
        <v>46</v>
      </c>
      <c r="E10" s="90" t="s">
        <v>46</v>
      </c>
    </row>
    <row r="11">
      <c r="A11" s="46" t="str">
        <f>SETUP!B12</f>
        <v>SR</v>
      </c>
      <c r="B11" s="94" t="s">
        <v>46</v>
      </c>
      <c r="C11" s="93" t="s">
        <v>46</v>
      </c>
      <c r="D11" s="93" t="s">
        <v>46</v>
      </c>
      <c r="E11" s="93" t="s">
        <v>46</v>
      </c>
    </row>
  </sheetData>
  <conditionalFormatting sqref="C1">
    <cfRule type="expression" dxfId="5" priority="1">
      <formula>#REF!="YES"</formula>
    </cfRule>
  </conditionalFormatting>
  <conditionalFormatting sqref="D1">
    <cfRule type="expression" dxfId="5" priority="2">
      <formula>#REF!="YES"</formula>
    </cfRule>
  </conditionalFormatting>
  <conditionalFormatting sqref="E1">
    <cfRule type="expression" dxfId="5" priority="3">
      <formula>#REF!="YES"</formula>
    </cfRule>
  </conditionalFormatting>
  <conditionalFormatting sqref="B1">
    <cfRule type="expression" dxfId="5" priority="4">
      <formula>#REF!="YES"</formula>
    </cfRule>
  </conditionalFormatting>
  <conditionalFormatting sqref="B4:B11">
    <cfRule type="cellIs" dxfId="4" priority="5" operator="equal">
      <formula>"Y"</formula>
    </cfRule>
  </conditionalFormatting>
  <dataValidations>
    <dataValidation type="list" allowBlank="1" sqref="B4:B11">
      <formula1>"Y"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0"/>
    <col customWidth="1" min="2" max="9" width="5.86"/>
    <col customWidth="1" min="10" max="10" width="9.86"/>
    <col customWidth="1" min="11" max="11" width="12.14"/>
    <col customWidth="1" min="12" max="12" width="14.0"/>
    <col customWidth="1" min="13" max="14" width="11.57"/>
  </cols>
  <sheetData>
    <row r="1">
      <c r="B1" s="96">
        <v>1.0</v>
      </c>
      <c r="C1" s="97" t="s">
        <v>47</v>
      </c>
      <c r="D1" s="97"/>
      <c r="E1" s="97"/>
      <c r="F1" s="97"/>
      <c r="G1" s="97"/>
      <c r="H1" s="97"/>
      <c r="I1" s="97"/>
      <c r="J1" s="98">
        <f>sum(J3:J10)</f>
        <v>160</v>
      </c>
      <c r="K1" s="99"/>
      <c r="N1" s="99"/>
    </row>
    <row r="2">
      <c r="B2" s="100" t="s">
        <v>27</v>
      </c>
      <c r="C2" s="100" t="s">
        <v>28</v>
      </c>
      <c r="D2" s="100" t="s">
        <v>29</v>
      </c>
      <c r="E2" s="100" t="s">
        <v>25</v>
      </c>
      <c r="F2" s="100" t="s">
        <v>26</v>
      </c>
      <c r="G2" s="100" t="s">
        <v>40</v>
      </c>
      <c r="H2" s="100" t="s">
        <v>24</v>
      </c>
      <c r="I2" s="100" t="s">
        <v>23</v>
      </c>
      <c r="J2" s="100" t="s">
        <v>48</v>
      </c>
      <c r="K2" s="99"/>
      <c r="L2" s="101" t="s">
        <v>49</v>
      </c>
      <c r="M2" s="101" t="s">
        <v>50</v>
      </c>
      <c r="N2" s="99"/>
    </row>
    <row r="3">
      <c r="A3" s="102" t="s">
        <v>13</v>
      </c>
      <c r="B3" s="103">
        <v>2.0</v>
      </c>
      <c r="C3" s="103">
        <v>2.0</v>
      </c>
      <c r="D3" s="103"/>
      <c r="E3" s="103">
        <v>2.0</v>
      </c>
      <c r="F3" s="103"/>
      <c r="G3" s="103"/>
      <c r="H3" s="103"/>
      <c r="I3" s="103">
        <v>14.0</v>
      </c>
      <c r="J3" s="104">
        <f t="shared" ref="J3:J10" si="1">sum(B3:I3)*$B$1</f>
        <v>20</v>
      </c>
      <c r="K3" s="99"/>
      <c r="L3" s="105" t="s">
        <v>13</v>
      </c>
      <c r="M3" s="106">
        <f t="shared" ref="M3:M10" si="2">if($M$23=0,((N15/$N$23)*($J$1+$J$13)),if($N$23=0,((M15/$M$23)*($J$1+$J$13)),(M15*$M$14)+(N15*$N$14)))</f>
        <v>16.84210526</v>
      </c>
      <c r="N3" s="107"/>
    </row>
    <row r="4">
      <c r="A4" s="102" t="s">
        <v>14</v>
      </c>
      <c r="B4" s="108"/>
      <c r="C4" s="108">
        <v>20.0</v>
      </c>
      <c r="D4" s="108"/>
      <c r="E4" s="108"/>
      <c r="F4" s="108"/>
      <c r="G4" s="108"/>
      <c r="H4" s="108"/>
      <c r="I4" s="108"/>
      <c r="J4" s="109">
        <f t="shared" si="1"/>
        <v>20</v>
      </c>
      <c r="K4" s="99"/>
      <c r="L4" s="105" t="s">
        <v>14</v>
      </c>
      <c r="M4" s="106">
        <f t="shared" si="2"/>
        <v>0</v>
      </c>
      <c r="N4" s="107"/>
    </row>
    <row r="5">
      <c r="A5" s="102" t="s">
        <v>15</v>
      </c>
      <c r="B5" s="103"/>
      <c r="C5" s="103">
        <v>3.0</v>
      </c>
      <c r="D5" s="103">
        <v>2.0</v>
      </c>
      <c r="E5" s="103">
        <v>5.0</v>
      </c>
      <c r="F5" s="103"/>
      <c r="G5" s="103"/>
      <c r="H5" s="103"/>
      <c r="I5" s="103">
        <v>10.0</v>
      </c>
      <c r="J5" s="104">
        <f t="shared" si="1"/>
        <v>20</v>
      </c>
      <c r="K5" s="99"/>
      <c r="L5" s="105" t="s">
        <v>15</v>
      </c>
      <c r="M5" s="106">
        <f t="shared" si="2"/>
        <v>42.10526316</v>
      </c>
      <c r="N5" s="107"/>
    </row>
    <row r="6">
      <c r="A6" s="102" t="s">
        <v>16</v>
      </c>
      <c r="B6" s="108"/>
      <c r="C6" s="108">
        <v>5.0</v>
      </c>
      <c r="D6" s="108"/>
      <c r="E6" s="108">
        <v>5.0</v>
      </c>
      <c r="F6" s="108"/>
      <c r="G6" s="108">
        <v>5.0</v>
      </c>
      <c r="H6" s="108"/>
      <c r="I6" s="108">
        <v>5.0</v>
      </c>
      <c r="J6" s="109">
        <f t="shared" si="1"/>
        <v>20</v>
      </c>
      <c r="K6" s="99"/>
      <c r="L6" s="105" t="s">
        <v>16</v>
      </c>
      <c r="M6" s="106">
        <f t="shared" si="2"/>
        <v>42.10526316</v>
      </c>
      <c r="N6" s="107"/>
    </row>
    <row r="7">
      <c r="A7" s="102" t="s">
        <v>17</v>
      </c>
      <c r="B7" s="103"/>
      <c r="C7" s="103">
        <v>5.0</v>
      </c>
      <c r="D7" s="103">
        <v>1.0</v>
      </c>
      <c r="E7" s="103">
        <v>5.0</v>
      </c>
      <c r="F7" s="103">
        <v>1.0</v>
      </c>
      <c r="G7" s="103">
        <v>3.0</v>
      </c>
      <c r="H7" s="103"/>
      <c r="I7" s="103">
        <v>5.0</v>
      </c>
      <c r="J7" s="104">
        <f t="shared" si="1"/>
        <v>20</v>
      </c>
      <c r="K7" s="99"/>
      <c r="L7" s="105" t="s">
        <v>17</v>
      </c>
      <c r="M7" s="106">
        <f t="shared" si="2"/>
        <v>42.10526316</v>
      </c>
      <c r="N7" s="107"/>
    </row>
    <row r="8">
      <c r="A8" s="105" t="s">
        <v>18</v>
      </c>
      <c r="B8" s="108"/>
      <c r="C8" s="108">
        <v>2.0</v>
      </c>
      <c r="D8" s="108"/>
      <c r="E8" s="108">
        <v>2.0</v>
      </c>
      <c r="F8" s="108"/>
      <c r="G8" s="108">
        <v>12.0</v>
      </c>
      <c r="H8" s="108"/>
      <c r="I8" s="108">
        <v>4.0</v>
      </c>
      <c r="J8" s="109">
        <f t="shared" si="1"/>
        <v>20</v>
      </c>
      <c r="K8" s="99"/>
      <c r="L8" s="105" t="s">
        <v>18</v>
      </c>
      <c r="M8" s="106">
        <f t="shared" si="2"/>
        <v>16.84210526</v>
      </c>
      <c r="N8" s="107"/>
    </row>
    <row r="9">
      <c r="A9" s="110" t="s">
        <v>19</v>
      </c>
      <c r="B9" s="103"/>
      <c r="C9" s="103"/>
      <c r="D9" s="103"/>
      <c r="E9" s="103"/>
      <c r="F9" s="103"/>
      <c r="G9" s="103"/>
      <c r="H9" s="103">
        <v>20.0</v>
      </c>
      <c r="I9" s="103"/>
      <c r="J9" s="104">
        <f t="shared" si="1"/>
        <v>20</v>
      </c>
      <c r="K9" s="99"/>
      <c r="L9" s="111" t="s">
        <v>19</v>
      </c>
      <c r="M9" s="106">
        <f t="shared" si="2"/>
        <v>0</v>
      </c>
      <c r="N9" s="107"/>
    </row>
    <row r="10">
      <c r="A10" s="110" t="s">
        <v>20</v>
      </c>
      <c r="B10" s="108"/>
      <c r="C10" s="108"/>
      <c r="D10" s="108"/>
      <c r="E10" s="108"/>
      <c r="F10" s="108"/>
      <c r="G10" s="108"/>
      <c r="H10" s="108"/>
      <c r="I10" s="108">
        <v>20.0</v>
      </c>
      <c r="J10" s="109">
        <f t="shared" si="1"/>
        <v>20</v>
      </c>
      <c r="K10" s="99"/>
      <c r="L10" s="111" t="s">
        <v>20</v>
      </c>
      <c r="M10" s="106">
        <f t="shared" si="2"/>
        <v>0</v>
      </c>
      <c r="N10" s="107"/>
    </row>
    <row r="11">
      <c r="A11" s="112"/>
      <c r="B11" s="113">
        <f t="shared" ref="B11:I11" si="3">SUM(B3:B10)</f>
        <v>2</v>
      </c>
      <c r="C11" s="113">
        <f t="shared" si="3"/>
        <v>37</v>
      </c>
      <c r="D11" s="113">
        <f t="shared" si="3"/>
        <v>3</v>
      </c>
      <c r="E11" s="113">
        <f t="shared" si="3"/>
        <v>19</v>
      </c>
      <c r="F11" s="113">
        <f t="shared" si="3"/>
        <v>1</v>
      </c>
      <c r="G11" s="113">
        <f t="shared" si="3"/>
        <v>20</v>
      </c>
      <c r="H11" s="113">
        <f t="shared" si="3"/>
        <v>20</v>
      </c>
      <c r="I11" s="113">
        <f t="shared" si="3"/>
        <v>58</v>
      </c>
      <c r="J11" s="114">
        <f>sum(B11:I11)</f>
        <v>160</v>
      </c>
      <c r="K11" s="99"/>
    </row>
    <row r="12">
      <c r="A12" s="115" t="s">
        <v>51</v>
      </c>
      <c r="B12" s="116"/>
      <c r="C12" s="116"/>
      <c r="D12" s="116"/>
      <c r="E12" s="116"/>
      <c r="F12" s="116"/>
      <c r="G12" s="116"/>
      <c r="H12" s="116"/>
      <c r="I12" s="116"/>
      <c r="J12" s="116"/>
      <c r="K12" s="99"/>
      <c r="M12" s="117"/>
    </row>
    <row r="13">
      <c r="A13" s="115" t="s">
        <v>25</v>
      </c>
      <c r="B13" s="118">
        <v>3.0</v>
      </c>
      <c r="C13" s="97" t="s">
        <v>47</v>
      </c>
      <c r="D13" s="97"/>
      <c r="E13" s="97"/>
      <c r="F13" s="97"/>
      <c r="G13" s="97"/>
      <c r="H13" s="97"/>
      <c r="I13" s="97"/>
      <c r="J13" s="98">
        <f>sum(J15:J22)</f>
        <v>0</v>
      </c>
      <c r="K13" s="112"/>
      <c r="M13" s="100" t="s">
        <v>52</v>
      </c>
      <c r="N13" s="100" t="s">
        <v>53</v>
      </c>
    </row>
    <row r="14">
      <c r="A14" s="119" t="s">
        <v>54</v>
      </c>
      <c r="B14" s="120" t="s">
        <v>27</v>
      </c>
      <c r="C14" s="100" t="s">
        <v>28</v>
      </c>
      <c r="D14" s="100" t="s">
        <v>29</v>
      </c>
      <c r="E14" s="100" t="s">
        <v>25</v>
      </c>
      <c r="F14" s="100" t="s">
        <v>26</v>
      </c>
      <c r="G14" s="100" t="s">
        <v>40</v>
      </c>
      <c r="H14" s="100" t="s">
        <v>24</v>
      </c>
      <c r="I14" s="100" t="s">
        <v>23</v>
      </c>
      <c r="J14" s="100" t="s">
        <v>55</v>
      </c>
      <c r="K14" s="112"/>
      <c r="M14" s="121">
        <f>if(A13="","TBD",if(M23=0,0,J11/M23))</f>
        <v>8.421052632</v>
      </c>
      <c r="N14" s="121">
        <f>if(N23="TBD","TBD",if($N$23=0,0,(J23/N23)))</f>
        <v>0</v>
      </c>
    </row>
    <row r="15">
      <c r="A15" s="122" t="s">
        <v>13</v>
      </c>
      <c r="B15" s="103"/>
      <c r="C15" s="103"/>
      <c r="D15" s="103"/>
      <c r="E15" s="103"/>
      <c r="F15" s="103"/>
      <c r="G15" s="103"/>
      <c r="H15" s="103"/>
      <c r="I15" s="103"/>
      <c r="J15" s="123">
        <f t="shared" ref="J15:J22" si="4">sum(B15:I15)*$B$13</f>
        <v>0</v>
      </c>
      <c r="K15" s="112"/>
      <c r="L15" s="124" t="s">
        <v>13</v>
      </c>
      <c r="M15" s="103">
        <f t="shared" ref="M15:M22" si="5">if($A$13="","",if($A$13=B$2,(vlookup(L15,$A$3:$I$10,2,FALSE)),if($A$13=C$2,(vlookup(L15,$A$3:$I$10,3,FALSE)),if($A$13=D$2,(vlookup(L15,$A$3:$I$10,4,FALSE)),if($A$13=E$2,(vlookup(L15,$A$3:$I$10,5,FALSE)),if($A$13=F$2,(vlookup(L15,$A$3:$I$10,6,FALSE)),if($A$13=G$2,(vlookup(L15,$A$3:$I$10,7,FALSE)),if($A$13=H$2,(vlookup(L15,$A$3:$I$10,8,FALSE)),if($A$13=I$2,(vlookup(L15,$A$3:$I$10,9,FALSE)),0)))))))))</f>
        <v>2</v>
      </c>
      <c r="N15" s="125" t="str">
        <f t="shared" ref="N15:N22" si="6">if($A$13="","",if($A$13=B$14,(vlookup($L15,$A$15:$I$22,2,FALSE)),if($A$13=C$14,(vlookup($L15,$A$15:$I$22,3,FALSE)),if($A$13=D$14,(vlookup($L15,$A$15:$I$22,4,FALSE)),if($A$13=E$14,(vlookup($L15,$A$15:$I$22,5,FALSE)),if($A$13=F$14,(vlookup($L15,$A$15:$I$22,6,FALSE)),if($A$13=G$14,(vlookup($L15,$A$15:$I$22,7,FALSE)),if($A$13=H$14,(vlookup($L15,$A$15:$I$22,8,FALSE)), if($A$13=I$14,(vlookup($L15,$A$15:$I$22,9,FALSE)))))))))))</f>
        <v/>
      </c>
    </row>
    <row r="16">
      <c r="A16" s="105" t="s">
        <v>14</v>
      </c>
      <c r="B16" s="108"/>
      <c r="C16" s="108"/>
      <c r="D16" s="108"/>
      <c r="E16" s="108"/>
      <c r="F16" s="108"/>
      <c r="G16" s="126"/>
      <c r="H16" s="126"/>
      <c r="I16" s="126"/>
      <c r="J16" s="127">
        <f t="shared" si="4"/>
        <v>0</v>
      </c>
      <c r="K16" s="128"/>
      <c r="L16" s="105" t="s">
        <v>14</v>
      </c>
      <c r="M16" s="108" t="str">
        <f t="shared" si="5"/>
        <v/>
      </c>
      <c r="N16" s="129" t="str">
        <f t="shared" si="6"/>
        <v/>
      </c>
    </row>
    <row r="17">
      <c r="A17" s="124" t="s">
        <v>15</v>
      </c>
      <c r="B17" s="103"/>
      <c r="C17" s="103"/>
      <c r="D17" s="103"/>
      <c r="E17" s="130"/>
      <c r="F17" s="103"/>
      <c r="G17" s="130"/>
      <c r="H17" s="130"/>
      <c r="I17" s="103"/>
      <c r="J17" s="123">
        <f t="shared" si="4"/>
        <v>0</v>
      </c>
      <c r="K17" s="112"/>
      <c r="L17" s="124" t="s">
        <v>15</v>
      </c>
      <c r="M17" s="103">
        <f t="shared" si="5"/>
        <v>5</v>
      </c>
      <c r="N17" s="125" t="str">
        <f t="shared" si="6"/>
        <v/>
      </c>
    </row>
    <row r="18">
      <c r="A18" s="105" t="s">
        <v>16</v>
      </c>
      <c r="B18" s="108"/>
      <c r="C18" s="108"/>
      <c r="D18" s="108"/>
      <c r="E18" s="108"/>
      <c r="F18" s="108"/>
      <c r="G18" s="108"/>
      <c r="H18" s="108"/>
      <c r="I18" s="108"/>
      <c r="J18" s="127">
        <f t="shared" si="4"/>
        <v>0</v>
      </c>
      <c r="K18" s="112"/>
      <c r="L18" s="105" t="s">
        <v>16</v>
      </c>
      <c r="M18" s="108">
        <f t="shared" si="5"/>
        <v>5</v>
      </c>
      <c r="N18" s="129" t="str">
        <f t="shared" si="6"/>
        <v/>
      </c>
    </row>
    <row r="19">
      <c r="A19" s="124" t="s">
        <v>17</v>
      </c>
      <c r="B19" s="103"/>
      <c r="C19" s="103"/>
      <c r="D19" s="103"/>
      <c r="E19" s="103"/>
      <c r="F19" s="103"/>
      <c r="G19" s="130"/>
      <c r="H19" s="130"/>
      <c r="I19" s="130"/>
      <c r="J19" s="123">
        <f t="shared" si="4"/>
        <v>0</v>
      </c>
      <c r="K19" s="112"/>
      <c r="L19" s="124" t="s">
        <v>17</v>
      </c>
      <c r="M19" s="103">
        <f t="shared" si="5"/>
        <v>5</v>
      </c>
      <c r="N19" s="125" t="str">
        <f t="shared" si="6"/>
        <v/>
      </c>
    </row>
    <row r="20">
      <c r="A20" s="105" t="s">
        <v>18</v>
      </c>
      <c r="B20" s="108"/>
      <c r="C20" s="126"/>
      <c r="D20" s="108"/>
      <c r="E20" s="108"/>
      <c r="F20" s="126"/>
      <c r="G20" s="108"/>
      <c r="H20" s="126"/>
      <c r="I20" s="108"/>
      <c r="J20" s="127">
        <f t="shared" si="4"/>
        <v>0</v>
      </c>
      <c r="K20" s="112"/>
      <c r="L20" s="105" t="s">
        <v>18</v>
      </c>
      <c r="M20" s="108">
        <f t="shared" si="5"/>
        <v>2</v>
      </c>
      <c r="N20" s="129" t="str">
        <f t="shared" si="6"/>
        <v/>
      </c>
    </row>
    <row r="21">
      <c r="A21" s="131" t="s">
        <v>19</v>
      </c>
      <c r="B21" s="103"/>
      <c r="C21" s="130"/>
      <c r="D21" s="103"/>
      <c r="E21" s="103"/>
      <c r="F21" s="130"/>
      <c r="G21" s="130"/>
      <c r="H21" s="130"/>
      <c r="I21" s="103"/>
      <c r="J21" s="123">
        <f t="shared" si="4"/>
        <v>0</v>
      </c>
      <c r="K21" s="112"/>
      <c r="L21" s="131" t="s">
        <v>19</v>
      </c>
      <c r="M21" s="103" t="str">
        <f t="shared" si="5"/>
        <v/>
      </c>
      <c r="N21" s="125" t="str">
        <f t="shared" si="6"/>
        <v/>
      </c>
    </row>
    <row r="22">
      <c r="A22" s="132" t="s">
        <v>20</v>
      </c>
      <c r="B22" s="108"/>
      <c r="C22" s="126"/>
      <c r="D22" s="108"/>
      <c r="E22" s="126"/>
      <c r="F22" s="126"/>
      <c r="G22" s="126"/>
      <c r="H22" s="126"/>
      <c r="I22" s="108"/>
      <c r="J22" s="127">
        <f t="shared" si="4"/>
        <v>0</v>
      </c>
      <c r="K22" s="112"/>
      <c r="L22" s="132" t="s">
        <v>20</v>
      </c>
      <c r="M22" s="108" t="str">
        <f t="shared" si="5"/>
        <v/>
      </c>
      <c r="N22" s="129" t="str">
        <f t="shared" si="6"/>
        <v/>
      </c>
    </row>
    <row r="23">
      <c r="A23" s="112"/>
      <c r="B23" s="113">
        <f t="shared" ref="B23:I23" si="7">SUM(B15:B22)</f>
        <v>0</v>
      </c>
      <c r="C23" s="113">
        <f t="shared" si="7"/>
        <v>0</v>
      </c>
      <c r="D23" s="113">
        <f t="shared" si="7"/>
        <v>0</v>
      </c>
      <c r="E23" s="113">
        <f t="shared" si="7"/>
        <v>0</v>
      </c>
      <c r="F23" s="113">
        <f t="shared" si="7"/>
        <v>0</v>
      </c>
      <c r="G23" s="113">
        <f t="shared" si="7"/>
        <v>0</v>
      </c>
      <c r="H23" s="113">
        <f t="shared" si="7"/>
        <v>0</v>
      </c>
      <c r="I23" s="113">
        <f t="shared" si="7"/>
        <v>0</v>
      </c>
      <c r="J23" s="114">
        <f>sum(B23:I23)</f>
        <v>0</v>
      </c>
      <c r="K23" s="112"/>
      <c r="L23" s="128"/>
      <c r="M23" s="132">
        <f>if(A13="","TBD",if($A$13=B2,B11,if($A$13=C2,C11,if($A$13=D2,D11,if($A$13=E2,E11,if($A$13=F2,F11,if($A$13=G2,G11,if($A$13=H2,H11,if($A$13=I2,I11,"TBD")))))))))</f>
        <v>19</v>
      </c>
      <c r="N23" s="132">
        <f>if(A13="","TBD",if($A$13=B14,B23,if($A$13=C14,C23,if($A$13=D14,D23,if($A$13=E14,E23,if($A$13=F14,F23,if($A$13=G14,G23,if($A$13=H14,H23,if($A$13=I14,I23,"TBD")))))))))</f>
        <v>0</v>
      </c>
    </row>
  </sheetData>
  <conditionalFormatting sqref="B3:I3 A14 B14:I23 A23">
    <cfRule type="expression" dxfId="4" priority="1">
      <formula>B$14=$A$13</formula>
    </cfRule>
  </conditionalFormatting>
  <conditionalFormatting sqref="B2:J11 B14:I14">
    <cfRule type="expression" dxfId="4" priority="2">
      <formula>B$2=$A$13</formula>
    </cfRule>
  </conditionalFormatting>
  <dataValidations>
    <dataValidation type="list" allowBlank="1" showErrorMessage="1" sqref="A3:A10 L3:L10 A15:A22 L15:L22">
      <formula1>SETUP!$A$5:$A$12</formula1>
    </dataValidation>
    <dataValidation type="list" allowBlank="1" showErrorMessage="1" sqref="A13">
      <formula1>'Stock Market'!$B$2:$I$2</formula1>
    </dataValidation>
    <dataValidation type="list" allowBlank="1" showErrorMessage="1" sqref="B2:I2 B14:I14">
      <formula1>SETUP!$B$5:$B$12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18.14"/>
    <col customWidth="1" min="3" max="3" width="1.57"/>
    <col customWidth="1" min="4" max="4" width="18.14"/>
    <col customWidth="1" min="6" max="6" width="1.57"/>
    <col customWidth="1" min="7" max="7" width="18.14"/>
    <col customWidth="1" min="9" max="9" width="1.57"/>
    <col customWidth="1" min="10" max="10" width="18.14"/>
  </cols>
  <sheetData>
    <row r="1">
      <c r="A1" s="133" t="s">
        <v>56</v>
      </c>
      <c r="B1" s="134"/>
      <c r="D1" s="133" t="s">
        <v>56</v>
      </c>
      <c r="E1" s="134"/>
      <c r="G1" s="133" t="s">
        <v>56</v>
      </c>
      <c r="H1" s="134"/>
      <c r="J1" s="133" t="s">
        <v>56</v>
      </c>
      <c r="K1" s="134"/>
    </row>
    <row r="2">
      <c r="A2" s="133"/>
      <c r="B2" s="134"/>
      <c r="D2" s="133"/>
      <c r="E2" s="134"/>
      <c r="G2" s="133"/>
      <c r="H2" s="134"/>
      <c r="J2" s="133"/>
      <c r="K2" s="134"/>
    </row>
    <row r="3" ht="30.0" customHeight="1">
      <c r="A3" s="135" t="s">
        <v>13</v>
      </c>
      <c r="B3" s="136"/>
      <c r="D3" s="135" t="s">
        <v>13</v>
      </c>
      <c r="E3" s="136"/>
      <c r="G3" s="135" t="s">
        <v>13</v>
      </c>
      <c r="H3" s="136"/>
      <c r="J3" s="135" t="s">
        <v>13</v>
      </c>
      <c r="K3" s="136"/>
    </row>
    <row r="4" ht="30.0" customHeight="1">
      <c r="A4" s="137" t="s">
        <v>14</v>
      </c>
      <c r="B4" s="138"/>
      <c r="D4" s="137" t="s">
        <v>14</v>
      </c>
      <c r="E4" s="138"/>
      <c r="G4" s="137" t="s">
        <v>14</v>
      </c>
      <c r="H4" s="138"/>
      <c r="J4" s="137" t="s">
        <v>14</v>
      </c>
      <c r="K4" s="138"/>
    </row>
    <row r="5" ht="30.0" customHeight="1">
      <c r="A5" s="135" t="s">
        <v>15</v>
      </c>
      <c r="B5" s="136"/>
      <c r="D5" s="135" t="s">
        <v>15</v>
      </c>
      <c r="E5" s="136"/>
      <c r="G5" s="135" t="s">
        <v>15</v>
      </c>
      <c r="H5" s="136"/>
      <c r="J5" s="135" t="s">
        <v>15</v>
      </c>
      <c r="K5" s="136"/>
    </row>
    <row r="6" ht="30.0" customHeight="1">
      <c r="A6" s="137" t="s">
        <v>16</v>
      </c>
      <c r="B6" s="138"/>
      <c r="D6" s="137" t="s">
        <v>16</v>
      </c>
      <c r="E6" s="138"/>
      <c r="G6" s="137" t="s">
        <v>16</v>
      </c>
      <c r="H6" s="138"/>
      <c r="J6" s="137" t="s">
        <v>16</v>
      </c>
      <c r="K6" s="138"/>
    </row>
    <row r="7" ht="30.0" customHeight="1">
      <c r="A7" s="135" t="s">
        <v>17</v>
      </c>
      <c r="B7" s="136"/>
      <c r="D7" s="135" t="s">
        <v>17</v>
      </c>
      <c r="E7" s="136"/>
      <c r="G7" s="135" t="s">
        <v>17</v>
      </c>
      <c r="H7" s="136"/>
      <c r="J7" s="135" t="s">
        <v>17</v>
      </c>
      <c r="K7" s="136"/>
    </row>
    <row r="8" ht="30.0" customHeight="1">
      <c r="A8" s="137" t="s">
        <v>18</v>
      </c>
      <c r="B8" s="138"/>
      <c r="D8" s="137" t="s">
        <v>18</v>
      </c>
      <c r="E8" s="138"/>
      <c r="G8" s="137" t="s">
        <v>18</v>
      </c>
      <c r="H8" s="138"/>
      <c r="J8" s="137" t="s">
        <v>18</v>
      </c>
      <c r="K8" s="138"/>
    </row>
    <row r="9" ht="30.0" customHeight="1">
      <c r="A9" s="135" t="s">
        <v>19</v>
      </c>
      <c r="B9" s="136"/>
      <c r="D9" s="135" t="s">
        <v>19</v>
      </c>
      <c r="E9" s="136"/>
      <c r="G9" s="135" t="s">
        <v>19</v>
      </c>
      <c r="H9" s="136"/>
      <c r="J9" s="135" t="s">
        <v>19</v>
      </c>
      <c r="K9" s="136"/>
    </row>
    <row r="10" ht="30.0" customHeight="1">
      <c r="A10" s="137" t="s">
        <v>20</v>
      </c>
      <c r="B10" s="138"/>
      <c r="D10" s="137" t="s">
        <v>20</v>
      </c>
      <c r="E10" s="138"/>
      <c r="G10" s="137" t="s">
        <v>20</v>
      </c>
      <c r="H10" s="138"/>
      <c r="J10" s="137" t="s">
        <v>20</v>
      </c>
      <c r="K10" s="138"/>
    </row>
    <row r="11">
      <c r="A11" s="139" t="s">
        <v>57</v>
      </c>
      <c r="B11" s="140"/>
      <c r="D11" s="139" t="s">
        <v>57</v>
      </c>
      <c r="E11" s="140"/>
      <c r="G11" s="139" t="s">
        <v>57</v>
      </c>
      <c r="H11" s="140"/>
      <c r="J11" s="139" t="s">
        <v>57</v>
      </c>
      <c r="K11" s="140"/>
    </row>
    <row r="12">
      <c r="A12" s="141"/>
    </row>
    <row r="13">
      <c r="A13" s="133" t="s">
        <v>56</v>
      </c>
      <c r="B13" s="134"/>
      <c r="D13" s="133" t="s">
        <v>56</v>
      </c>
      <c r="E13" s="134"/>
      <c r="G13" s="133" t="s">
        <v>56</v>
      </c>
      <c r="H13" s="134"/>
      <c r="J13" s="133" t="s">
        <v>56</v>
      </c>
      <c r="K13" s="134"/>
    </row>
    <row r="14">
      <c r="A14" s="133"/>
      <c r="B14" s="134"/>
      <c r="D14" s="133"/>
      <c r="E14" s="134"/>
      <c r="G14" s="133"/>
      <c r="H14" s="134"/>
      <c r="J14" s="133"/>
      <c r="K14" s="134"/>
    </row>
    <row r="15" ht="30.0" customHeight="1">
      <c r="A15" s="135" t="s">
        <v>13</v>
      </c>
      <c r="B15" s="136"/>
      <c r="D15" s="135" t="s">
        <v>13</v>
      </c>
      <c r="E15" s="136"/>
      <c r="G15" s="135" t="s">
        <v>13</v>
      </c>
      <c r="H15" s="136"/>
      <c r="J15" s="135" t="s">
        <v>13</v>
      </c>
      <c r="K15" s="136"/>
    </row>
    <row r="16" ht="30.0" customHeight="1">
      <c r="A16" s="137" t="s">
        <v>14</v>
      </c>
      <c r="B16" s="138"/>
      <c r="D16" s="137" t="s">
        <v>14</v>
      </c>
      <c r="E16" s="138"/>
      <c r="G16" s="137" t="s">
        <v>14</v>
      </c>
      <c r="H16" s="138"/>
      <c r="J16" s="137" t="s">
        <v>14</v>
      </c>
      <c r="K16" s="138"/>
    </row>
    <row r="17" ht="30.0" customHeight="1">
      <c r="A17" s="135" t="s">
        <v>15</v>
      </c>
      <c r="B17" s="136"/>
      <c r="D17" s="135" t="s">
        <v>15</v>
      </c>
      <c r="E17" s="136"/>
      <c r="G17" s="135" t="s">
        <v>15</v>
      </c>
      <c r="H17" s="136"/>
      <c r="J17" s="135" t="s">
        <v>15</v>
      </c>
      <c r="K17" s="136"/>
    </row>
    <row r="18" ht="30.0" customHeight="1">
      <c r="A18" s="137" t="s">
        <v>16</v>
      </c>
      <c r="B18" s="138"/>
      <c r="D18" s="137" t="s">
        <v>16</v>
      </c>
      <c r="E18" s="138"/>
      <c r="G18" s="137" t="s">
        <v>16</v>
      </c>
      <c r="H18" s="138"/>
      <c r="J18" s="137" t="s">
        <v>16</v>
      </c>
      <c r="K18" s="138"/>
    </row>
    <row r="19" ht="30.0" customHeight="1">
      <c r="A19" s="135" t="s">
        <v>17</v>
      </c>
      <c r="B19" s="136"/>
      <c r="D19" s="135" t="s">
        <v>17</v>
      </c>
      <c r="E19" s="136"/>
      <c r="G19" s="135" t="s">
        <v>17</v>
      </c>
      <c r="H19" s="136"/>
      <c r="J19" s="135" t="s">
        <v>17</v>
      </c>
      <c r="K19" s="136"/>
    </row>
    <row r="20" ht="30.0" customHeight="1">
      <c r="A20" s="137" t="s">
        <v>18</v>
      </c>
      <c r="B20" s="138"/>
      <c r="D20" s="137" t="s">
        <v>18</v>
      </c>
      <c r="E20" s="138"/>
      <c r="G20" s="137" t="s">
        <v>18</v>
      </c>
      <c r="H20" s="138"/>
      <c r="J20" s="137" t="s">
        <v>18</v>
      </c>
      <c r="K20" s="138"/>
    </row>
    <row r="21" ht="30.0" customHeight="1">
      <c r="A21" s="135" t="s">
        <v>19</v>
      </c>
      <c r="B21" s="136"/>
      <c r="D21" s="135" t="s">
        <v>19</v>
      </c>
      <c r="E21" s="136"/>
      <c r="G21" s="135" t="s">
        <v>19</v>
      </c>
      <c r="H21" s="136"/>
      <c r="J21" s="135" t="s">
        <v>19</v>
      </c>
      <c r="K21" s="136"/>
    </row>
    <row r="22" ht="30.0" customHeight="1">
      <c r="A22" s="137" t="s">
        <v>20</v>
      </c>
      <c r="B22" s="138"/>
      <c r="D22" s="137" t="s">
        <v>20</v>
      </c>
      <c r="E22" s="138"/>
      <c r="G22" s="137" t="s">
        <v>20</v>
      </c>
      <c r="H22" s="138"/>
      <c r="J22" s="137" t="s">
        <v>20</v>
      </c>
      <c r="K22" s="138"/>
    </row>
    <row r="23">
      <c r="A23" s="139" t="s">
        <v>57</v>
      </c>
      <c r="B23" s="140"/>
      <c r="D23" s="139" t="s">
        <v>57</v>
      </c>
      <c r="E23" s="140"/>
      <c r="G23" s="139" t="s">
        <v>57</v>
      </c>
      <c r="H23" s="140"/>
      <c r="J23" s="139" t="s">
        <v>57</v>
      </c>
      <c r="K23" s="140"/>
    </row>
    <row r="24">
      <c r="A24" s="141"/>
    </row>
    <row r="25">
      <c r="A25" s="133" t="s">
        <v>56</v>
      </c>
      <c r="B25" s="134"/>
      <c r="D25" s="133" t="s">
        <v>56</v>
      </c>
      <c r="E25" s="134"/>
      <c r="G25" s="133" t="s">
        <v>56</v>
      </c>
      <c r="H25" s="134"/>
      <c r="J25" s="133" t="s">
        <v>56</v>
      </c>
      <c r="K25" s="134"/>
    </row>
    <row r="26">
      <c r="A26" s="133"/>
      <c r="B26" s="134"/>
      <c r="D26" s="133"/>
      <c r="E26" s="134"/>
      <c r="G26" s="133"/>
      <c r="H26" s="134"/>
      <c r="J26" s="133"/>
      <c r="K26" s="134"/>
    </row>
    <row r="27" ht="30.0" customHeight="1">
      <c r="A27" s="135" t="s">
        <v>13</v>
      </c>
      <c r="B27" s="136"/>
      <c r="D27" s="135" t="s">
        <v>13</v>
      </c>
      <c r="E27" s="136"/>
      <c r="G27" s="135" t="s">
        <v>13</v>
      </c>
      <c r="H27" s="136"/>
      <c r="J27" s="135" t="s">
        <v>13</v>
      </c>
      <c r="K27" s="136"/>
    </row>
    <row r="28" ht="30.0" customHeight="1">
      <c r="A28" s="137" t="s">
        <v>14</v>
      </c>
      <c r="B28" s="138"/>
      <c r="D28" s="137" t="s">
        <v>14</v>
      </c>
      <c r="E28" s="138"/>
      <c r="G28" s="137" t="s">
        <v>14</v>
      </c>
      <c r="H28" s="138"/>
      <c r="J28" s="137" t="s">
        <v>14</v>
      </c>
      <c r="K28" s="138"/>
    </row>
    <row r="29" ht="30.0" customHeight="1">
      <c r="A29" s="135" t="s">
        <v>15</v>
      </c>
      <c r="B29" s="136"/>
      <c r="D29" s="135" t="s">
        <v>15</v>
      </c>
      <c r="E29" s="136"/>
      <c r="G29" s="135" t="s">
        <v>15</v>
      </c>
      <c r="H29" s="136"/>
      <c r="J29" s="135" t="s">
        <v>15</v>
      </c>
      <c r="K29" s="136"/>
    </row>
    <row r="30" ht="30.0" customHeight="1">
      <c r="A30" s="137" t="s">
        <v>16</v>
      </c>
      <c r="B30" s="138"/>
      <c r="D30" s="137" t="s">
        <v>16</v>
      </c>
      <c r="E30" s="138"/>
      <c r="G30" s="137" t="s">
        <v>16</v>
      </c>
      <c r="H30" s="138"/>
      <c r="J30" s="137" t="s">
        <v>16</v>
      </c>
      <c r="K30" s="138"/>
    </row>
    <row r="31" ht="30.0" customHeight="1">
      <c r="A31" s="135" t="s">
        <v>17</v>
      </c>
      <c r="B31" s="136"/>
      <c r="D31" s="135" t="s">
        <v>17</v>
      </c>
      <c r="E31" s="136"/>
      <c r="G31" s="135" t="s">
        <v>17</v>
      </c>
      <c r="H31" s="136"/>
      <c r="J31" s="135" t="s">
        <v>17</v>
      </c>
      <c r="K31" s="136"/>
    </row>
    <row r="32" ht="30.0" customHeight="1">
      <c r="A32" s="137" t="s">
        <v>18</v>
      </c>
      <c r="B32" s="138"/>
      <c r="D32" s="137" t="s">
        <v>18</v>
      </c>
      <c r="E32" s="138"/>
      <c r="G32" s="137" t="s">
        <v>18</v>
      </c>
      <c r="H32" s="138"/>
      <c r="J32" s="137" t="s">
        <v>18</v>
      </c>
      <c r="K32" s="138"/>
    </row>
    <row r="33" ht="30.0" customHeight="1">
      <c r="A33" s="135" t="s">
        <v>19</v>
      </c>
      <c r="B33" s="136"/>
      <c r="D33" s="135" t="s">
        <v>19</v>
      </c>
      <c r="E33" s="136"/>
      <c r="G33" s="135" t="s">
        <v>19</v>
      </c>
      <c r="H33" s="136"/>
      <c r="J33" s="135" t="s">
        <v>19</v>
      </c>
      <c r="K33" s="136"/>
    </row>
    <row r="34" ht="30.0" customHeight="1">
      <c r="A34" s="137" t="s">
        <v>20</v>
      </c>
      <c r="B34" s="138"/>
      <c r="D34" s="137" t="s">
        <v>20</v>
      </c>
      <c r="E34" s="138"/>
      <c r="G34" s="137" t="s">
        <v>20</v>
      </c>
      <c r="H34" s="138"/>
      <c r="J34" s="137" t="s">
        <v>20</v>
      </c>
      <c r="K34" s="138"/>
    </row>
    <row r="35">
      <c r="A35" s="139" t="s">
        <v>58</v>
      </c>
      <c r="B35" s="140"/>
      <c r="D35" s="139" t="s">
        <v>58</v>
      </c>
      <c r="E35" s="140"/>
      <c r="G35" s="139" t="s">
        <v>58</v>
      </c>
      <c r="H35" s="140"/>
      <c r="J35" s="139" t="s">
        <v>58</v>
      </c>
      <c r="K35" s="140"/>
    </row>
    <row r="36">
      <c r="A36" s="141"/>
    </row>
    <row r="37">
      <c r="A37" s="133" t="s">
        <v>56</v>
      </c>
      <c r="B37" s="134"/>
      <c r="D37" s="133" t="s">
        <v>56</v>
      </c>
      <c r="E37" s="134"/>
      <c r="G37" s="133" t="s">
        <v>56</v>
      </c>
      <c r="H37" s="134"/>
      <c r="J37" s="133" t="s">
        <v>56</v>
      </c>
      <c r="K37" s="134"/>
    </row>
    <row r="38">
      <c r="A38" s="133"/>
      <c r="B38" s="134"/>
      <c r="D38" s="133"/>
      <c r="E38" s="134"/>
      <c r="G38" s="133"/>
      <c r="H38" s="134"/>
      <c r="J38" s="133"/>
      <c r="K38" s="134"/>
    </row>
    <row r="39" ht="30.0" customHeight="1">
      <c r="A39" s="135" t="s">
        <v>13</v>
      </c>
      <c r="B39" s="136"/>
      <c r="D39" s="135" t="s">
        <v>13</v>
      </c>
      <c r="E39" s="136"/>
      <c r="G39" s="135" t="s">
        <v>13</v>
      </c>
      <c r="H39" s="136"/>
      <c r="J39" s="135" t="s">
        <v>13</v>
      </c>
      <c r="K39" s="136"/>
    </row>
    <row r="40" ht="30.0" customHeight="1">
      <c r="A40" s="137" t="s">
        <v>14</v>
      </c>
      <c r="B40" s="138"/>
      <c r="D40" s="137" t="s">
        <v>14</v>
      </c>
      <c r="E40" s="138"/>
      <c r="G40" s="137" t="s">
        <v>14</v>
      </c>
      <c r="H40" s="138"/>
      <c r="J40" s="137" t="s">
        <v>14</v>
      </c>
      <c r="K40" s="138"/>
    </row>
    <row r="41" ht="30.0" customHeight="1">
      <c r="A41" s="135" t="s">
        <v>15</v>
      </c>
      <c r="B41" s="136"/>
      <c r="D41" s="135" t="s">
        <v>15</v>
      </c>
      <c r="E41" s="136"/>
      <c r="G41" s="135" t="s">
        <v>15</v>
      </c>
      <c r="H41" s="136"/>
      <c r="J41" s="135" t="s">
        <v>15</v>
      </c>
      <c r="K41" s="136"/>
    </row>
    <row r="42" ht="30.0" customHeight="1">
      <c r="A42" s="137" t="s">
        <v>16</v>
      </c>
      <c r="B42" s="138"/>
      <c r="D42" s="137" t="s">
        <v>16</v>
      </c>
      <c r="E42" s="138"/>
      <c r="G42" s="137" t="s">
        <v>16</v>
      </c>
      <c r="H42" s="138"/>
      <c r="J42" s="137" t="s">
        <v>16</v>
      </c>
      <c r="K42" s="138"/>
    </row>
    <row r="43" ht="30.0" customHeight="1">
      <c r="A43" s="135" t="s">
        <v>17</v>
      </c>
      <c r="B43" s="136"/>
      <c r="D43" s="135" t="s">
        <v>17</v>
      </c>
      <c r="E43" s="136"/>
      <c r="G43" s="135" t="s">
        <v>17</v>
      </c>
      <c r="H43" s="136"/>
      <c r="J43" s="135" t="s">
        <v>17</v>
      </c>
      <c r="K43" s="136"/>
    </row>
    <row r="44" ht="30.0" customHeight="1">
      <c r="A44" s="137" t="s">
        <v>18</v>
      </c>
      <c r="B44" s="138"/>
      <c r="D44" s="137" t="s">
        <v>18</v>
      </c>
      <c r="E44" s="138"/>
      <c r="G44" s="137" t="s">
        <v>18</v>
      </c>
      <c r="H44" s="138"/>
      <c r="J44" s="137" t="s">
        <v>18</v>
      </c>
      <c r="K44" s="138"/>
    </row>
    <row r="45" ht="30.0" customHeight="1">
      <c r="A45" s="135" t="s">
        <v>19</v>
      </c>
      <c r="B45" s="136"/>
      <c r="D45" s="135" t="s">
        <v>19</v>
      </c>
      <c r="E45" s="136"/>
      <c r="G45" s="135" t="s">
        <v>19</v>
      </c>
      <c r="H45" s="136"/>
      <c r="J45" s="135" t="s">
        <v>19</v>
      </c>
      <c r="K45" s="136"/>
    </row>
    <row r="46" ht="30.0" customHeight="1">
      <c r="A46" s="137" t="s">
        <v>20</v>
      </c>
      <c r="B46" s="138"/>
      <c r="D46" s="137" t="s">
        <v>20</v>
      </c>
      <c r="E46" s="138"/>
      <c r="G46" s="137" t="s">
        <v>20</v>
      </c>
      <c r="H46" s="138"/>
      <c r="J46" s="137" t="s">
        <v>20</v>
      </c>
      <c r="K46" s="138"/>
    </row>
    <row r="47">
      <c r="A47" s="139" t="s">
        <v>58</v>
      </c>
      <c r="B47" s="140"/>
      <c r="D47" s="139" t="s">
        <v>58</v>
      </c>
      <c r="E47" s="140"/>
      <c r="G47" s="139" t="s">
        <v>58</v>
      </c>
      <c r="H47" s="140"/>
      <c r="J47" s="139" t="s">
        <v>58</v>
      </c>
      <c r="K47" s="140"/>
    </row>
  </sheetData>
  <printOptions horizontalCentered="1"/>
  <pageMargins bottom="0.1" footer="0.0" header="0.0" left="0.1" right="0.1" top="0.1"/>
  <pageSetup cellComments="atEnd" orientation="landscape" pageOrder="overThenDown"/>
  <rowBreaks count="3" manualBreakCount="3">
    <brk man="1"/>
    <brk id="24" man="1"/>
    <brk id="47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3" width="10.86"/>
    <col customWidth="1" min="4" max="6" width="14.43"/>
  </cols>
  <sheetData>
    <row r="1">
      <c r="D1" s="142" t="s">
        <v>59</v>
      </c>
      <c r="E1" s="142" t="s">
        <v>60</v>
      </c>
      <c r="F1" s="142" t="s">
        <v>59</v>
      </c>
    </row>
    <row r="2">
      <c r="D2" s="142">
        <v>69.2</v>
      </c>
      <c r="E2" s="143">
        <v>71.0</v>
      </c>
      <c r="F2" s="142">
        <v>69.2</v>
      </c>
    </row>
    <row r="3">
      <c r="D3" s="142">
        <v>119.0</v>
      </c>
      <c r="E3" s="143">
        <v>129.0</v>
      </c>
      <c r="F3" s="142">
        <v>119.0</v>
      </c>
    </row>
    <row r="4">
      <c r="A4" s="142" t="s">
        <v>10</v>
      </c>
      <c r="B4" s="142" t="s">
        <v>10</v>
      </c>
      <c r="C4" s="142" t="s">
        <v>61</v>
      </c>
      <c r="D4" s="142">
        <v>71.0</v>
      </c>
      <c r="E4" s="142">
        <v>72.0</v>
      </c>
      <c r="F4" s="142">
        <v>71.0</v>
      </c>
    </row>
    <row r="5">
      <c r="A5" s="144" t="s">
        <v>13</v>
      </c>
      <c r="B5" s="144" t="s">
        <v>27</v>
      </c>
      <c r="C5" s="145">
        <v>6.6</v>
      </c>
      <c r="D5" s="144">
        <f t="shared" ref="D5:F5" si="1">ROUND(($C5*D$3)/113+(D$2-D$4),0)</f>
        <v>5</v>
      </c>
      <c r="E5" s="144">
        <f t="shared" si="1"/>
        <v>7</v>
      </c>
      <c r="F5" s="144">
        <f t="shared" si="1"/>
        <v>5</v>
      </c>
    </row>
    <row r="6">
      <c r="A6" s="146" t="s">
        <v>14</v>
      </c>
      <c r="B6" s="146" t="s">
        <v>28</v>
      </c>
      <c r="C6" s="145">
        <v>12.2</v>
      </c>
      <c r="D6" s="146">
        <f t="shared" ref="D6:F6" si="2">ROUND(($C6*D$3)/113+(D$2-D$4),0)</f>
        <v>11</v>
      </c>
      <c r="E6" s="146">
        <f t="shared" si="2"/>
        <v>13</v>
      </c>
      <c r="F6" s="146">
        <f t="shared" si="2"/>
        <v>11</v>
      </c>
    </row>
    <row r="7">
      <c r="A7" s="144" t="s">
        <v>15</v>
      </c>
      <c r="B7" s="144" t="s">
        <v>29</v>
      </c>
      <c r="C7" s="145">
        <v>14.9</v>
      </c>
      <c r="D7" s="144">
        <f t="shared" ref="D7:F7" si="3">ROUND(($C7*D$3)/113+(D$2-D$4),0)</f>
        <v>14</v>
      </c>
      <c r="E7" s="144">
        <f t="shared" si="3"/>
        <v>16</v>
      </c>
      <c r="F7" s="144">
        <f t="shared" si="3"/>
        <v>14</v>
      </c>
    </row>
    <row r="8">
      <c r="A8" s="146" t="s">
        <v>16</v>
      </c>
      <c r="B8" s="146" t="s">
        <v>25</v>
      </c>
      <c r="C8" s="145">
        <v>11.2</v>
      </c>
      <c r="D8" s="146">
        <f t="shared" ref="D8:F8" si="4">ROUND(($C8*D$3)/113+(D$2-D$4),0)</f>
        <v>10</v>
      </c>
      <c r="E8" s="146">
        <f t="shared" si="4"/>
        <v>12</v>
      </c>
      <c r="F8" s="146">
        <f t="shared" si="4"/>
        <v>10</v>
      </c>
    </row>
    <row r="9">
      <c r="A9" s="144" t="s">
        <v>17</v>
      </c>
      <c r="B9" s="144" t="s">
        <v>26</v>
      </c>
      <c r="C9" s="145">
        <v>14.4</v>
      </c>
      <c r="D9" s="144">
        <f t="shared" ref="D9:F9" si="5">ROUND(($C9*D$3)/113+(D$2-D$4),0)</f>
        <v>13</v>
      </c>
      <c r="E9" s="144">
        <f t="shared" si="5"/>
        <v>15</v>
      </c>
      <c r="F9" s="144">
        <f t="shared" si="5"/>
        <v>13</v>
      </c>
    </row>
    <row r="10">
      <c r="A10" s="146" t="s">
        <v>18</v>
      </c>
      <c r="B10" s="146" t="s">
        <v>40</v>
      </c>
      <c r="C10" s="145">
        <v>15.2</v>
      </c>
      <c r="D10" s="146">
        <f t="shared" ref="D10:F10" si="6">ROUND(($C10*D$3)/113+(D$2-D$4),0)</f>
        <v>14</v>
      </c>
      <c r="E10" s="146">
        <f t="shared" si="6"/>
        <v>16</v>
      </c>
      <c r="F10" s="146">
        <f t="shared" si="6"/>
        <v>14</v>
      </c>
    </row>
    <row r="11">
      <c r="A11" s="144" t="s">
        <v>19</v>
      </c>
      <c r="B11" s="144" t="s">
        <v>24</v>
      </c>
      <c r="C11" s="145">
        <v>11.9</v>
      </c>
      <c r="D11" s="144">
        <f t="shared" ref="D11:F11" si="7">ROUND(($C11*D$3)/113+(D$2-D$4),0)</f>
        <v>11</v>
      </c>
      <c r="E11" s="144">
        <f t="shared" si="7"/>
        <v>13</v>
      </c>
      <c r="F11" s="144">
        <f t="shared" si="7"/>
        <v>11</v>
      </c>
    </row>
    <row r="12">
      <c r="A12" s="146" t="s">
        <v>20</v>
      </c>
      <c r="B12" s="146" t="s">
        <v>23</v>
      </c>
      <c r="C12" s="145">
        <v>4.0</v>
      </c>
      <c r="D12" s="146">
        <f t="shared" ref="D12:F12" si="8">ROUND(($C12*D$3)/113+(D$2-D$4),0)</f>
        <v>2</v>
      </c>
      <c r="E12" s="146">
        <f t="shared" si="8"/>
        <v>4</v>
      </c>
      <c r="F12" s="146">
        <f t="shared" si="8"/>
        <v>2</v>
      </c>
    </row>
  </sheetData>
  <drawing r:id="rId1"/>
</worksheet>
</file>