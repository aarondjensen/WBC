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hidden" name="NET Scorecards" sheetId="3" r:id="rId6"/>
    <sheet state="visible" name="BettingScoreboard" sheetId="4" r:id="rId7"/>
    <sheet state="visible" name="Score Calcuations" sheetId="5" r:id="rId8"/>
    <sheet state="visible" name="Betting SETUP" sheetId="6" r:id="rId9"/>
    <sheet state="visible" name="SETUP" sheetId="7" r:id="rId10"/>
    <sheet state="visible" name="Form Responses 2" sheetId="8" r:id="rId11"/>
    <sheet state="visible" name="Stock Market" sheetId="9" r:id="rId12"/>
    <sheet state="hidden" name="Stock Market Print Sheet" sheetId="10" r:id="rId13"/>
  </sheets>
  <definedNames/>
  <calcPr/>
</workbook>
</file>

<file path=xl/sharedStrings.xml><?xml version="1.0" encoding="utf-8"?>
<sst xmlns="http://schemas.openxmlformats.org/spreadsheetml/2006/main" count="678" uniqueCount="113">
  <si>
    <t>2025 WANNABE CUP</t>
  </si>
  <si>
    <t>TO PAR</t>
  </si>
  <si>
    <t>POS</t>
  </si>
  <si>
    <t>PLAYER</t>
  </si>
  <si>
    <t>SCORE</t>
  </si>
  <si>
    <t>Hole</t>
  </si>
  <si>
    <t>OUT</t>
  </si>
  <si>
    <t>IN</t>
  </si>
  <si>
    <t>TOTAL</t>
  </si>
  <si>
    <t>NET</t>
  </si>
  <si>
    <t>Handi</t>
  </si>
  <si>
    <t>Par</t>
  </si>
  <si>
    <t>Alb</t>
  </si>
  <si>
    <t>Eagle</t>
  </si>
  <si>
    <t>Birdie</t>
  </si>
  <si>
    <t>Bogey</t>
  </si>
  <si>
    <t>Double</t>
  </si>
  <si>
    <t>Triple</t>
  </si>
  <si>
    <t>Quad+</t>
  </si>
  <si>
    <t>SKIN</t>
  </si>
  <si>
    <t>CTP</t>
  </si>
  <si>
    <t>Bob B</t>
  </si>
  <si>
    <t>Jeff B</t>
  </si>
  <si>
    <t>Brian K</t>
  </si>
  <si>
    <t>Player</t>
  </si>
  <si>
    <t>Scott R</t>
  </si>
  <si>
    <t>Joe S</t>
  </si>
  <si>
    <t>Eric O</t>
  </si>
  <si>
    <t>WD</t>
  </si>
  <si>
    <t>Andy V</t>
  </si>
  <si>
    <t>Russ W</t>
  </si>
  <si>
    <t>Total $</t>
  </si>
  <si>
    <t>Low Net Per Round</t>
  </si>
  <si>
    <t>Skins</t>
  </si>
  <si>
    <t>Skin $</t>
  </si>
  <si>
    <t>CTP $</t>
  </si>
  <si>
    <t># of Winners</t>
  </si>
  <si>
    <t>Total</t>
  </si>
  <si>
    <t>Payout</t>
  </si>
  <si>
    <t>Each Skin</t>
  </si>
  <si>
    <t>Each CTP</t>
  </si>
  <si>
    <t>RANK</t>
  </si>
  <si>
    <t>w/o TIES</t>
  </si>
  <si>
    <t>w/ TIES</t>
  </si>
  <si>
    <t>GROSS</t>
  </si>
  <si>
    <t>Per Player</t>
  </si>
  <si>
    <t>Total Pot</t>
  </si>
  <si>
    <t>Per</t>
  </si>
  <si>
    <t>Paid</t>
  </si>
  <si>
    <t>Low Score - Net - Per Round</t>
  </si>
  <si>
    <t>Skins - Gross - Cumulative</t>
  </si>
  <si>
    <t>1-PUTT</t>
  </si>
  <si>
    <t>3-PUTT</t>
  </si>
  <si>
    <t>Y</t>
  </si>
  <si>
    <t>THE TRIBUTE</t>
  </si>
  <si>
    <t>THE PREMIER</t>
  </si>
  <si>
    <t>THE LOON</t>
  </si>
  <si>
    <t>THE LAKES</t>
  </si>
  <si>
    <t>Index</t>
  </si>
  <si>
    <t>Aaron J</t>
  </si>
  <si>
    <t>Dave K</t>
  </si>
  <si>
    <t>John C</t>
  </si>
  <si>
    <t>Ray H</t>
  </si>
  <si>
    <t>Timestamp</t>
  </si>
  <si>
    <t>YOUR NAME</t>
  </si>
  <si>
    <t>Shares of Aaron J</t>
  </si>
  <si>
    <t>Shares of Andy V</t>
  </si>
  <si>
    <t>Shares of Bob B</t>
  </si>
  <si>
    <t>Shares of Brian K</t>
  </si>
  <si>
    <t>Shares of Dave K</t>
  </si>
  <si>
    <t>Shares of Eric O</t>
  </si>
  <si>
    <t>Shares of Jeff B</t>
  </si>
  <si>
    <t>Shares of Joe S</t>
  </si>
  <si>
    <t>Shares of John C</t>
  </si>
  <si>
    <t>Shares of Ray H</t>
  </si>
  <si>
    <t>Shares of Russ W</t>
  </si>
  <si>
    <t>Shares of Scott R</t>
  </si>
  <si>
    <t>DO YOUR TOTAL SHARES EQUAL 20?</t>
  </si>
  <si>
    <t>Scott</t>
  </si>
  <si>
    <t>Yes. I attest that if they do not equal 20 I am paying for AJ's next round of golf for the inconvenience.</t>
  </si>
  <si>
    <t>Shares</t>
  </si>
  <si>
    <t>WBC Winner</t>
  </si>
  <si>
    <t>initial</t>
  </si>
  <si>
    <t>rebuy</t>
  </si>
  <si>
    <t>PAYOUT</t>
  </si>
  <si>
    <t>1`</t>
  </si>
  <si>
    <t xml:space="preserve"> </t>
  </si>
  <si>
    <t>Aaron J - initial $20</t>
  </si>
  <si>
    <t>Andy V - initial $20</t>
  </si>
  <si>
    <t>Bob B - initial $20</t>
  </si>
  <si>
    <t>Brian K - initial $20</t>
  </si>
  <si>
    <t>Dave K - initial $20</t>
  </si>
  <si>
    <t>Eric O - initial $20</t>
  </si>
  <si>
    <t xml:space="preserve">20 TOTAL </t>
  </si>
  <si>
    <t>Jeff B - initial $20</t>
  </si>
  <si>
    <t>Joe S - initial $20</t>
  </si>
  <si>
    <t>John C - initial $20</t>
  </si>
  <si>
    <t>Ray H - initial $20</t>
  </si>
  <si>
    <t>Russ W - initial $20</t>
  </si>
  <si>
    <t>Scott R - initial $20</t>
  </si>
  <si>
    <t>Aaron J - rebuy</t>
  </si>
  <si>
    <t>Andy V - rebuy</t>
  </si>
  <si>
    <t>Bob B - rebuy</t>
  </si>
  <si>
    <t>Brian K - rebuy</t>
  </si>
  <si>
    <t>Dave K - rebuy</t>
  </si>
  <si>
    <t>Eric O - rebuy</t>
  </si>
  <si>
    <t>10 TOTAL</t>
  </si>
  <si>
    <t>Jeff B - rebuy</t>
  </si>
  <si>
    <t>Joe S - rebuy</t>
  </si>
  <si>
    <t>John C - rebuy</t>
  </si>
  <si>
    <t>Ray H - rebuy</t>
  </si>
  <si>
    <t>Russ W - rebuy</t>
  </si>
  <si>
    <t>Scott R - rebuy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</si>
</sst>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+0;-0;0"/>
    <numFmt numFmtId="165" formatCode="0.0"/>
    <numFmt numFmtId="166" formatCode="&quot;$&quot;#,##0.00_);[Red]\(&quot;$&quot;#,##0.00\)"/>
    <numFmt numFmtId="167" formatCode="&quot;$&quot;#,##0"/>
    <numFmt numFmtId="168" formatCode="&quot;$&quot;#,##0_);[Red]\(&quot;$&quot;#,##0\)"/>
    <numFmt numFmtId="169" formatCode="&quot;$&quot;#,##0.00"/>
    <numFmt numFmtId="170" formatCode="m/d/yyyy h:mm:ss"/>
  </numFmts>
  <fonts count="21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  <color rgb="FFFF0000"/>
      <name val="Calibri"/>
    </font>
    <font>
      <b/>
      <sz val="10.0"/>
      <name val="Calibri"/>
    </font>
    <font>
      <sz val="10.0"/>
      <name val="Calibri"/>
    </font>
    <font>
      <color rgb="FFFFFFFF"/>
      <name val="Roboto"/>
    </font>
    <font>
      <color rgb="FF434343"/>
      <name val="Roboto"/>
    </font>
    <font>
      <b/>
      <sz val="10.0"/>
    </font>
    <font>
      <sz val="10.0"/>
    </font>
    <font>
      <sz val="18.0"/>
    </font>
    <font>
      <b/>
      <sz val="16.0"/>
      <color rgb="FF000000"/>
      <name val="Calibri"/>
    </font>
    <font>
      <sz val="11.0"/>
    </font>
    <font>
      <sz val="16.0"/>
      <color rgb="FF000000"/>
      <name val="Calibri"/>
    </font>
    <font>
      <sz val="16.0"/>
    </font>
  </fonts>
  <fills count="1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9">
    <border/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0"/>
    </xf>
    <xf borderId="3" fillId="4" fontId="3" numFmtId="0" xfId="0" applyAlignment="1" applyBorder="1" applyFill="1" applyFont="1">
      <alignment horizontal="center" shrinkToFit="0" vertical="center" wrapText="0"/>
    </xf>
    <xf borderId="3" fillId="5" fontId="3" numFmtId="0" xfId="0" applyAlignment="1" applyBorder="1" applyFill="1" applyFon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wrapText="0"/>
    </xf>
    <xf borderId="0" fillId="0" fontId="6" numFmtId="1" xfId="0" applyAlignment="1" applyFont="1" applyNumberFormat="1">
      <alignment horizontal="center" shrinkToFit="0" wrapText="0"/>
    </xf>
    <xf borderId="4" fillId="6" fontId="7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4" fillId="7" fontId="6" numFmtId="0" xfId="0" applyAlignment="1" applyBorder="1" applyFill="1" applyFont="1">
      <alignment horizontal="center" shrinkToFit="0" wrapText="0"/>
    </xf>
    <xf borderId="6" fillId="7" fontId="6" numFmtId="0" xfId="0" applyAlignment="1" applyBorder="1" applyFont="1">
      <alignment horizontal="center" shrinkToFit="0" wrapText="0"/>
    </xf>
    <xf borderId="7" fillId="6" fontId="7" numFmtId="165" xfId="0" applyAlignment="1" applyBorder="1" applyFont="1" applyNumberFormat="1">
      <alignment horizontal="center" shrinkToFit="0" wrapText="0"/>
    </xf>
    <xf borderId="8" fillId="6" fontId="7" numFmtId="0" xfId="0" applyAlignment="1" applyBorder="1" applyFont="1">
      <alignment horizontal="center" shrinkToFit="0" wrapText="0"/>
    </xf>
    <xf borderId="0" fillId="6" fontId="7" numFmtId="0" xfId="0" applyAlignment="1" applyFont="1">
      <alignment horizontal="center" shrinkToFit="0" wrapText="0"/>
    </xf>
    <xf borderId="8" fillId="7" fontId="6" numFmtId="0" xfId="0" applyAlignment="1" applyBorder="1" applyFont="1">
      <alignment horizontal="center" shrinkToFit="0" wrapText="0"/>
    </xf>
    <xf borderId="9" fillId="5" fontId="6" numFmtId="0" xfId="0" applyAlignment="1" applyBorder="1" applyFont="1">
      <alignment horizontal="center" vertical="bottom"/>
    </xf>
    <xf borderId="0" fillId="5" fontId="8" numFmtId="0" xfId="0" applyAlignment="1" applyFont="1">
      <alignment horizontal="left" shrinkToFit="0" wrapText="0"/>
    </xf>
    <xf borderId="0" fillId="5" fontId="8" numFmtId="1" xfId="0" applyAlignment="1" applyFont="1" applyNumberFormat="1">
      <alignment horizontal="left" shrinkToFit="0" wrapText="0"/>
    </xf>
    <xf borderId="8" fillId="6" fontId="7" numFmtId="0" xfId="0" applyAlignment="1" applyBorder="1" applyFont="1">
      <alignment horizontal="center" readingOrder="0" shrinkToFit="0" wrapText="0"/>
    </xf>
    <xf borderId="8" fillId="8" fontId="6" numFmtId="0" xfId="0" applyAlignment="1" applyBorder="1" applyFill="1" applyFont="1">
      <alignment horizontal="center" readingOrder="0" shrinkToFit="0" wrapText="0"/>
    </xf>
    <xf borderId="10" fillId="5" fontId="6" numFmtId="0" xfId="0" applyAlignment="1" applyBorder="1" applyFont="1">
      <alignment horizontal="center" vertical="bottom"/>
    </xf>
    <xf borderId="11" fillId="5" fontId="6" numFmtId="0" xfId="0" applyAlignment="1" applyBorder="1" applyFont="1">
      <alignment horizontal="center" vertical="bottom"/>
    </xf>
    <xf borderId="0" fillId="5" fontId="6" numFmtId="0" xfId="0" applyAlignment="1" applyFont="1">
      <alignment horizontal="center" vertical="bottom"/>
    </xf>
    <xf borderId="3" fillId="5" fontId="8" numFmtId="0" xfId="0" applyAlignment="1" applyBorder="1" applyFont="1">
      <alignment horizontal="left" shrinkToFit="0" wrapText="0"/>
    </xf>
    <xf borderId="3" fillId="5" fontId="8" numFmtId="1" xfId="0" applyAlignment="1" applyBorder="1" applyFont="1" applyNumberFormat="1">
      <alignment horizontal="left" shrinkToFit="0" wrapText="0"/>
    </xf>
    <xf borderId="6" fillId="5" fontId="6" numFmtId="0" xfId="0" applyAlignment="1" applyBorder="1" applyFont="1">
      <alignment horizontal="center" vertical="bottom"/>
    </xf>
    <xf borderId="0" fillId="7" fontId="6" numFmtId="0" xfId="0" applyAlignment="1" applyFont="1">
      <alignment horizontal="center" readingOrder="0" shrinkToFit="0" wrapText="0"/>
    </xf>
    <xf borderId="12" fillId="5" fontId="6" numFmtId="0" xfId="0" applyAlignment="1" applyBorder="1" applyFont="1">
      <alignment horizontal="center" readingOrder="0" shrinkToFit="0" wrapText="0"/>
    </xf>
    <xf borderId="12" fillId="5" fontId="6" numFmtId="1" xfId="0" applyAlignment="1" applyBorder="1" applyFont="1" applyNumberFormat="1">
      <alignment horizontal="center" readingOrder="0" shrinkToFit="0" wrapText="0"/>
    </xf>
    <xf borderId="8" fillId="6" fontId="9" numFmtId="0" xfId="0" applyAlignment="1" applyBorder="1" applyFont="1">
      <alignment horizontal="center" shrinkToFit="0" wrapText="0"/>
    </xf>
    <xf borderId="3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shrinkToFit="0" wrapText="0"/>
    </xf>
    <xf borderId="3" fillId="5" fontId="6" numFmtId="1" xfId="0" applyAlignment="1" applyBorder="1" applyFont="1" applyNumberFormat="1">
      <alignment horizontal="center" shrinkToFit="0" wrapText="0"/>
    </xf>
    <xf borderId="0" fillId="5" fontId="6" numFmtId="0" xfId="0" applyAlignment="1" applyFont="1">
      <alignment horizontal="center" shrinkToFit="0" wrapText="0"/>
    </xf>
    <xf borderId="8" fillId="6" fontId="9" numFmtId="0" xfId="0" applyAlignment="1" applyBorder="1" applyFont="1">
      <alignment horizontal="center" readingOrder="0" shrinkToFit="0" wrapText="0"/>
    </xf>
    <xf borderId="13" fillId="6" fontId="9" numFmtId="0" xfId="0" applyAlignment="1" applyBorder="1" applyFont="1">
      <alignment horizontal="center" shrinkToFit="0" wrapText="0"/>
    </xf>
    <xf borderId="3" fillId="6" fontId="7" numFmtId="0" xfId="0" applyAlignment="1" applyBorder="1" applyFont="1">
      <alignment horizontal="center" shrinkToFit="0" wrapText="0"/>
    </xf>
    <xf borderId="3" fillId="7" fontId="6" numFmtId="0" xfId="0" applyAlignment="1" applyBorder="1" applyFont="1">
      <alignment horizontal="center" shrinkToFit="0" wrapText="0"/>
    </xf>
    <xf borderId="3" fillId="7" fontId="6" numFmtId="166" xfId="0" applyAlignment="1" applyBorder="1" applyFont="1" applyNumberFormat="1">
      <alignment horizontal="center" shrinkToFit="0" wrapText="0"/>
    </xf>
    <xf borderId="0" fillId="7" fontId="6" numFmtId="166" xfId="0" applyAlignment="1" applyFont="1" applyNumberFormat="1">
      <alignment horizontal="center" shrinkToFit="0" wrapText="0"/>
    </xf>
    <xf borderId="3" fillId="7" fontId="6" numFmtId="0" xfId="0" applyAlignment="1" applyBorder="1" applyFont="1">
      <alignment horizontal="center" readingOrder="0" shrinkToFit="0" wrapText="0"/>
    </xf>
    <xf borderId="14" fillId="7" fontId="6" numFmtId="0" xfId="0" applyAlignment="1" applyBorder="1" applyFont="1">
      <alignment horizontal="center" shrinkToFit="0" wrapText="0"/>
    </xf>
    <xf borderId="6" fillId="8" fontId="6" numFmtId="0" xfId="0" applyAlignment="1" applyBorder="1" applyFont="1">
      <alignment horizontal="center" readingOrder="0" vertical="bottom"/>
    </xf>
    <xf borderId="3" fillId="7" fontId="6" numFmtId="0" xfId="0" applyAlignment="1" applyBorder="1" applyFont="1">
      <alignment horizontal="center" readingOrder="0" shrinkToFit="0" wrapText="0"/>
    </xf>
    <xf borderId="6" fillId="5" fontId="6" numFmtId="0" xfId="0" applyAlignment="1" applyBorder="1" applyFont="1">
      <alignment horizontal="center" vertical="bottom"/>
    </xf>
    <xf borderId="13" fillId="6" fontId="7" numFmtId="0" xfId="0" applyAlignment="1" applyBorder="1" applyFont="1">
      <alignment horizontal="center" shrinkToFit="0" wrapText="0"/>
    </xf>
    <xf borderId="13" fillId="5" fontId="6" numFmtId="0" xfId="0" applyAlignment="1" applyBorder="1" applyFont="1">
      <alignment horizontal="center" shrinkToFit="0" wrapText="0"/>
    </xf>
    <xf borderId="6" fillId="5" fontId="6" numFmtId="0" xfId="0" applyAlignment="1" applyBorder="1" applyFont="1">
      <alignment horizontal="center" readingOrder="0" vertical="bottom"/>
    </xf>
    <xf borderId="6" fillId="5" fontId="8" numFmtId="0" xfId="0" applyAlignment="1" applyBorder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3" fillId="6" fontId="8" numFmtId="0" xfId="0" applyAlignment="1" applyBorder="1" applyFont="1">
      <alignment horizontal="center" shrinkToFit="0" vertical="center" wrapText="1"/>
    </xf>
    <xf borderId="15" fillId="5" fontId="8" numFmtId="0" xfId="0" applyAlignment="1" applyBorder="1" applyFont="1">
      <alignment horizontal="center" readingOrder="0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16" fillId="5" fontId="8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readingOrder="0" shrinkToFit="0" vertical="center" wrapText="0"/>
    </xf>
    <xf borderId="6" fillId="5" fontId="6" numFmtId="167" xfId="0" applyAlignment="1" applyBorder="1" applyFont="1" applyNumberFormat="1">
      <alignment horizontal="center" readingOrder="0" shrinkToFit="0" vertical="center" wrapText="0"/>
    </xf>
    <xf borderId="17" fillId="6" fontId="6" numFmtId="168" xfId="0" applyAlignment="1" applyBorder="1" applyFont="1" applyNumberFormat="1">
      <alignment horizontal="center" shrinkToFit="0" vertical="center" wrapText="0"/>
    </xf>
    <xf borderId="12" fillId="5" fontId="6" numFmtId="0" xfId="0" applyAlignment="1" applyBorder="1" applyFon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4" fillId="5" fontId="6" numFmtId="49" xfId="0" applyAlignment="1" applyBorder="1" applyFont="1" applyNumberFormat="1">
      <alignment horizontal="center" shrinkToFit="0" vertical="center" wrapText="0"/>
    </xf>
    <xf borderId="17" fillId="6" fontId="6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3" fillId="5" fontId="6" numFmtId="167" xfId="0" applyAlignment="1" applyBorder="1" applyFont="1" applyNumberFormat="1">
      <alignment horizontal="center" shrinkToFit="0" vertical="center" wrapText="0"/>
    </xf>
    <xf borderId="3" fillId="5" fontId="6" numFmtId="168" xfId="0" applyAlignment="1" applyBorder="1" applyFont="1" applyNumberFormat="1">
      <alignment horizontal="center" shrinkToFit="0" vertical="center" wrapText="0"/>
    </xf>
    <xf borderId="0" fillId="9" fontId="8" numFmtId="0" xfId="0" applyAlignment="1" applyFill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shrinkToFit="0" vertical="center" wrapText="0"/>
    </xf>
    <xf borderId="15" fillId="9" fontId="8" numFmtId="0" xfId="0" applyAlignment="1" applyBorder="1" applyFont="1">
      <alignment horizontal="center" readingOrder="0" shrinkToFit="0" vertical="center" wrapText="1"/>
    </xf>
    <xf borderId="14" fillId="6" fontId="6" numFmtId="167" xfId="0" applyAlignment="1" applyBorder="1" applyFont="1" applyNumberFormat="1">
      <alignment horizontal="center" shrinkToFit="0" vertical="center" wrapText="0"/>
    </xf>
    <xf borderId="15" fillId="9" fontId="8" numFmtId="167" xfId="0" applyAlignment="1" applyBorder="1" applyFont="1" applyNumberFormat="1">
      <alignment horizontal="center" readingOrder="0" shrinkToFit="0" vertical="center" wrapText="1"/>
    </xf>
    <xf borderId="3" fillId="9" fontId="8" numFmtId="49" xfId="0" applyAlignment="1" applyBorder="1" applyFont="1" applyNumberFormat="1">
      <alignment horizontal="center" readingOrder="0" shrinkToFit="0" vertical="center" wrapText="0"/>
    </xf>
    <xf borderId="4" fillId="9" fontId="8" numFmtId="49" xfId="0" applyAlignment="1" applyBorder="1" applyFont="1" applyNumberFormat="1">
      <alignment horizontal="center" shrinkToFit="0" vertical="center" wrapText="0"/>
    </xf>
    <xf borderId="6" fillId="9" fontId="2" numFmtId="0" xfId="0" applyBorder="1" applyFont="1"/>
    <xf borderId="5" fillId="9" fontId="2" numFmtId="0" xfId="0" applyBorder="1" applyFont="1"/>
    <xf borderId="16" fillId="5" fontId="8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readingOrder="0" shrinkToFit="0" vertical="center" wrapText="0"/>
    </xf>
    <xf borderId="3" fillId="10" fontId="8" numFmtId="49" xfId="0" applyAlignment="1" applyBorder="1" applyFill="1" applyFont="1" applyNumberFormat="1">
      <alignment horizontal="center" shrinkToFit="0" vertical="center" wrapText="0"/>
    </xf>
    <xf borderId="3" fillId="10" fontId="6" numFmtId="49" xfId="0" applyAlignment="1" applyBorder="1" applyFont="1" applyNumberFormat="1">
      <alignment horizontal="center" vertical="center"/>
    </xf>
    <xf borderId="3" fillId="10" fontId="6" numFmtId="49" xfId="0" applyAlignment="1" applyBorder="1" applyFont="1" applyNumberFormat="1">
      <alignment horizontal="center" shrinkToFit="0" vertical="center" wrapText="0"/>
    </xf>
    <xf borderId="3" fillId="10" fontId="8" numFmtId="164" xfId="0" applyAlignment="1" applyBorder="1" applyFont="1" applyNumberFormat="1">
      <alignment horizontal="center" shrinkToFit="0" vertical="center" wrapText="0"/>
    </xf>
    <xf borderId="3" fillId="5" fontId="6" numFmtId="49" xfId="0" applyAlignment="1" applyBorder="1" applyFont="1" applyNumberFormat="1">
      <alignment horizontal="center" vertical="center"/>
    </xf>
    <xf borderId="3" fillId="5" fontId="8" numFmtId="164" xfId="0" applyAlignment="1" applyBorder="1" applyFont="1" applyNumberFormat="1">
      <alignment horizontal="center" shrinkToFit="0" vertical="center" wrapText="0"/>
    </xf>
    <xf borderId="14" fillId="4" fontId="8" numFmtId="166" xfId="0" applyAlignment="1" applyBorder="1" applyFont="1" applyNumberFormat="1">
      <alignment horizontal="center" readingOrder="0" vertical="center"/>
    </xf>
    <xf borderId="15" fillId="4" fontId="10" numFmtId="169" xfId="0" applyAlignment="1" applyBorder="1" applyFont="1" applyNumberFormat="1">
      <alignment horizontal="center" vertical="center"/>
    </xf>
    <xf borderId="15" fillId="4" fontId="8" numFmtId="169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readingOrder="0" shrinkToFit="0" vertical="center" wrapText="1"/>
    </xf>
    <xf borderId="15" fillId="5" fontId="8" numFmtId="0" xfId="0" applyAlignment="1" applyBorder="1" applyFont="1">
      <alignment horizontal="center" shrinkToFit="0" vertical="center" wrapText="1"/>
    </xf>
    <xf borderId="15" fillId="5" fontId="11" numFmtId="0" xfId="0" applyAlignment="1" applyBorder="1" applyFont="1">
      <alignment horizontal="center" readingOrder="0" vertical="center"/>
    </xf>
    <xf borderId="15" fillId="5" fontId="6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readingOrder="0" vertical="center"/>
    </xf>
    <xf borderId="3" fillId="5" fontId="11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readingOrder="0"/>
    </xf>
    <xf borderId="6" fillId="4" fontId="8" numFmtId="0" xfId="0" applyAlignment="1" applyBorder="1" applyFont="1">
      <alignment horizontal="center" readingOrder="0"/>
    </xf>
    <xf borderId="5" fillId="4" fontId="8" numFmtId="0" xfId="0" applyAlignment="1" applyBorder="1" applyFont="1">
      <alignment horizontal="center" readingOrder="0"/>
    </xf>
    <xf borderId="13" fillId="0" fontId="8" numFmtId="0" xfId="0" applyAlignment="1" applyBorder="1" applyFont="1">
      <alignment horizontal="center" readingOrder="0" shrinkToFit="0" vertical="center" wrapText="0"/>
    </xf>
    <xf borderId="5" fillId="9" fontId="8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14" fillId="4" fontId="8" numFmtId="165" xfId="0" applyAlignment="1" applyBorder="1" applyFont="1" applyNumberFormat="1">
      <alignment horizontal="center" readingOrder="0"/>
    </xf>
    <xf borderId="15" fillId="4" fontId="8" numFmtId="165" xfId="0" applyAlignment="1" applyBorder="1" applyFont="1" applyNumberFormat="1">
      <alignment horizontal="center" readingOrder="0"/>
    </xf>
    <xf borderId="18" fillId="4" fontId="8" numFmtId="165" xfId="0" applyAlignment="1" applyBorder="1" applyFont="1" applyNumberFormat="1">
      <alignment horizontal="center" readingOrder="0"/>
    </xf>
    <xf borderId="17" fillId="0" fontId="8" numFmtId="0" xfId="0" applyAlignment="1" applyBorder="1" applyFont="1">
      <alignment horizontal="center" readingOrder="0" shrinkToFit="0" vertical="center" wrapText="0"/>
    </xf>
    <xf borderId="6" fillId="9" fontId="8" numFmtId="0" xfId="0" applyAlignment="1" applyBorder="1" applyFont="1">
      <alignment horizontal="center" readingOrder="0" shrinkToFit="0" vertical="center" wrapText="0"/>
    </xf>
    <xf borderId="8" fillId="9" fontId="6" numFmtId="0" xfId="0" applyAlignment="1" applyBorder="1" applyFont="1">
      <alignment horizontal="center" shrinkToFit="0" wrapText="0"/>
    </xf>
    <xf borderId="14" fillId="4" fontId="8" numFmtId="0" xfId="0" applyAlignment="1" applyBorder="1" applyFont="1">
      <alignment horizontal="center" readingOrder="0"/>
    </xf>
    <xf borderId="15" fillId="4" fontId="8" numFmtId="0" xfId="0" applyAlignment="1" applyBorder="1" applyFont="1">
      <alignment horizontal="center" readingOrder="0"/>
    </xf>
    <xf borderId="18" fillId="4" fontId="8" numFmtId="0" xfId="0" applyAlignment="1" applyBorder="1" applyFont="1">
      <alignment horizontal="center" readingOrder="0"/>
    </xf>
    <xf borderId="8" fillId="4" fontId="6" numFmtId="0" xfId="0" applyAlignment="1" applyBorder="1" applyFont="1">
      <alignment horizontal="center" readingOrder="0" shrinkToFit="0" wrapText="0"/>
    </xf>
    <xf borderId="3" fillId="5" fontId="8" numFmtId="0" xfId="0" applyAlignment="1" applyBorder="1" applyFont="1">
      <alignment horizontal="center" readingOrder="0" shrinkToFit="0" vertical="center" wrapText="0"/>
    </xf>
    <xf borderId="3" fillId="4" fontId="8" numFmtId="0" xfId="0" applyAlignment="1" applyBorder="1" applyFont="1">
      <alignment horizontal="center" readingOrder="0" shrinkToFit="0" vertical="center" wrapText="0"/>
    </xf>
    <xf borderId="4" fillId="9" fontId="8" numFmtId="0" xfId="0" applyAlignment="1" applyBorder="1" applyFont="1">
      <alignment horizontal="center" readingOrder="0" shrinkToFit="0" vertical="center" wrapText="0"/>
    </xf>
    <xf borderId="17" fillId="0" fontId="8" numFmtId="0" xfId="0" applyAlignment="1" applyBorder="1" applyFont="1">
      <alignment horizontal="center" readingOrder="0" shrinkToFit="0" vertical="center" wrapText="0"/>
    </xf>
    <xf borderId="6" fillId="4" fontId="6" numFmtId="0" xfId="0" applyAlignment="1" applyBorder="1" applyFont="1">
      <alignment horizontal="center" readingOrder="0" vertical="bottom"/>
    </xf>
    <xf borderId="3" fillId="5" fontId="6" numFmtId="0" xfId="0" applyAlignment="1" applyBorder="1" applyFont="1">
      <alignment horizontal="center" readingOrder="0" shrinkToFit="0" vertical="center" wrapText="0"/>
    </xf>
    <xf borderId="3" fillId="4" fontId="6" numFmtId="165" xfId="0" applyAlignment="1" applyBorder="1" applyFont="1" applyNumberFormat="1">
      <alignment horizontal="center" readingOrder="0" shrinkToFit="0" vertical="center" wrapText="0"/>
    </xf>
    <xf borderId="3" fillId="5" fontId="6" numFmtId="1" xfId="0" applyAlignment="1" applyBorder="1" applyFont="1" applyNumberFormat="1">
      <alignment horizontal="center" readingOrder="0" shrinkToFit="0" vertical="center" wrapText="0"/>
    </xf>
    <xf borderId="4" fillId="5" fontId="6" numFmtId="1" xfId="0" applyAlignment="1" applyBorder="1" applyFont="1" applyNumberFormat="1">
      <alignment horizontal="center" readingOrder="0" shrinkToFit="0" vertical="center" wrapText="0"/>
    </xf>
    <xf borderId="17" fillId="0" fontId="7" numFmtId="0" xfId="0" applyAlignment="1" applyBorder="1" applyFont="1">
      <alignment horizontal="center" readingOrder="0" shrinkToFit="0" wrapText="0"/>
    </xf>
    <xf borderId="17" fillId="0" fontId="7" numFmtId="0" xfId="0" applyAlignment="1" applyBorder="1" applyFont="1">
      <alignment horizontal="center" shrinkToFit="0" wrapText="0"/>
    </xf>
    <xf borderId="8" fillId="4" fontId="6" numFmtId="0" xfId="0" applyAlignment="1" applyBorder="1" applyFont="1">
      <alignment horizontal="center" shrinkToFit="0" wrapText="0"/>
    </xf>
    <xf borderId="14" fillId="0" fontId="7" numFmtId="0" xfId="0" applyAlignment="1" applyBorder="1" applyFont="1">
      <alignment horizontal="center" shrinkToFit="0" wrapText="0"/>
    </xf>
    <xf borderId="0" fillId="0" fontId="12" numFmtId="0" xfId="0" applyAlignment="1" applyFont="1">
      <alignment horizontal="left" readingOrder="0" shrinkToFit="0" vertical="center" wrapText="0"/>
    </xf>
    <xf borderId="0" fillId="0" fontId="13" numFmtId="170" xfId="0" applyAlignment="1" applyFont="1" applyNumberForma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3" fillId="11" fontId="14" numFmtId="167" xfId="0" applyAlignment="1" applyBorder="1" applyFill="1" applyFont="1" applyNumberFormat="1">
      <alignment horizontal="center" readingOrder="0" vertical="center"/>
    </xf>
    <xf borderId="5" fillId="7" fontId="14" numFmtId="0" xfId="0" applyAlignment="1" applyBorder="1" applyFont="1">
      <alignment horizontal="center" readingOrder="0" vertical="center"/>
    </xf>
    <xf borderId="6" fillId="7" fontId="14" numFmtId="167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11" fontId="14" numFmtId="0" xfId="0" applyAlignment="1" applyBorder="1" applyFont="1">
      <alignment horizontal="center" readingOrder="0" vertical="center"/>
    </xf>
    <xf borderId="3" fillId="7" fontId="14" numFmtId="167" xfId="0" applyAlignment="1" applyBorder="1" applyFont="1" applyNumberFormat="1">
      <alignment horizontal="center" readingOrder="0" vertical="center"/>
    </xf>
    <xf borderId="3" fillId="12" fontId="10" numFmtId="0" xfId="0" applyAlignment="1" applyBorder="1" applyFill="1" applyFont="1">
      <alignment horizontal="center" readingOrder="0" vertical="center"/>
    </xf>
    <xf borderId="3" fillId="7" fontId="14" numFmtId="0" xfId="0" applyAlignment="1" applyBorder="1" applyFont="1">
      <alignment horizontal="center" readingOrder="0" vertical="center"/>
    </xf>
    <xf borderId="3" fillId="7" fontId="14" numFmtId="169" xfId="0" applyAlignment="1" applyBorder="1" applyFont="1" applyNumberFormat="1">
      <alignment horizontal="center" readingOrder="0" vertical="center"/>
    </xf>
    <xf borderId="3" fillId="5" fontId="15" numFmtId="0" xfId="0" applyAlignment="1" applyBorder="1" applyFont="1">
      <alignment horizontal="center" readingOrder="0" vertical="center"/>
    </xf>
    <xf borderId="3" fillId="5" fontId="15" numFmtId="167" xfId="0" applyAlignment="1" applyBorder="1" applyFont="1" applyNumberFormat="1">
      <alignment horizontal="center" readingOrder="0" vertical="center"/>
    </xf>
    <xf borderId="3" fillId="5" fontId="6" numFmtId="0" xfId="0" applyAlignment="1" applyBorder="1" applyFont="1">
      <alignment horizontal="center" vertical="center"/>
    </xf>
    <xf borderId="3" fillId="5" fontId="6" numFmtId="167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3" fillId="0" fontId="14" numFmtId="0" xfId="0" applyAlignment="1" applyBorder="1" applyFont="1">
      <alignment horizontal="center" readingOrder="0" vertical="center"/>
    </xf>
    <xf borderId="3" fillId="0" fontId="14" numFmtId="167" xfId="0" applyAlignment="1" applyBorder="1" applyFont="1" applyNumberFormat="1">
      <alignment horizontal="center" readingOrder="0" vertical="center"/>
    </xf>
    <xf borderId="0" fillId="5" fontId="15" numFmtId="0" xfId="0" applyAlignment="1" applyFont="1">
      <alignment horizontal="center" vertical="center"/>
    </xf>
    <xf borderId="0" fillId="0" fontId="2" numFmtId="169" xfId="0" applyFont="1" applyNumberFormat="1"/>
    <xf borderId="0" fillId="0" fontId="2" numFmtId="167" xfId="0" applyFont="1" applyNumberFormat="1"/>
    <xf borderId="15" fillId="0" fontId="14" numFmtId="0" xfId="0" applyAlignment="1" applyBorder="1" applyFont="1">
      <alignment horizontal="center" readingOrder="0" vertical="center"/>
    </xf>
    <xf borderId="14" fillId="5" fontId="8" numFmtId="0" xfId="0" applyAlignment="1" applyBorder="1" applyFont="1">
      <alignment horizontal="center" readingOrder="0" shrinkToFit="0" vertical="center" wrapText="0"/>
    </xf>
    <xf borderId="3" fillId="5" fontId="15" numFmtId="167" xfId="0" applyAlignment="1" applyBorder="1" applyFont="1" applyNumberFormat="1">
      <alignment horizontal="center" vertical="center"/>
    </xf>
    <xf borderId="3" fillId="5" fontId="15" numFmtId="0" xfId="0" applyAlignment="1" applyBorder="1" applyFont="1">
      <alignment horizontal="center" vertical="center"/>
    </xf>
    <xf borderId="0" fillId="0" fontId="16" numFmtId="0" xfId="0" applyFont="1"/>
    <xf borderId="18" fillId="5" fontId="17" numFmtId="0" xfId="0" applyAlignment="1" applyBorder="1" applyFont="1">
      <alignment horizontal="left" readingOrder="0" shrinkToFit="0" vertical="center" wrapText="0"/>
    </xf>
    <xf borderId="18" fillId="0" fontId="2" numFmtId="0" xfId="0" applyBorder="1" applyFont="1"/>
    <xf borderId="18" fillId="0" fontId="18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3" fillId="13" fontId="19" numFmtId="167" xfId="0" applyAlignment="1" applyBorder="1" applyFill="1" applyFont="1" applyNumberFormat="1">
      <alignment horizontal="center" readingOrder="0" shrinkToFit="0" vertical="center" wrapText="0"/>
    </xf>
    <xf borderId="3" fillId="13" fontId="19" numFmtId="0" xfId="0" applyAlignment="1" applyBorder="1" applyFont="1">
      <alignment horizontal="center" readingOrder="0" shrinkToFit="0" vertical="center" wrapText="0"/>
    </xf>
    <xf borderId="3" fillId="13" fontId="20" numFmtId="0" xfId="0" applyBorder="1" applyFont="1"/>
    <xf borderId="0" fillId="0" fontId="20" numFmtId="0" xfId="0" applyFont="1"/>
    <xf borderId="3" fillId="5" fontId="19" numFmtId="167" xfId="0" applyAlignment="1" applyBorder="1" applyFont="1" applyNumberFormat="1">
      <alignment horizontal="center" readingOrder="0" shrinkToFit="0" vertical="center" wrapText="0"/>
    </xf>
    <xf borderId="3" fillId="5" fontId="19" numFmtId="0" xfId="0" applyAlignment="1" applyBorder="1" applyFont="1">
      <alignment horizontal="center" readingOrder="0" shrinkToFit="0" vertical="center" wrapText="0"/>
    </xf>
    <xf borderId="3" fillId="0" fontId="20" numFmtId="0" xfId="0" applyBorder="1" applyFont="1"/>
    <xf borderId="3" fillId="7" fontId="17" numFmtId="167" xfId="0" applyAlignment="1" applyBorder="1" applyFont="1" applyNumberFormat="1">
      <alignment horizontal="center" readingOrder="0" shrinkToFit="0" vertical="center" wrapText="1"/>
    </xf>
    <xf borderId="3" fillId="7" fontId="17" numFmtId="0" xfId="0" applyAlignment="1" applyBorder="1" applyFont="1">
      <alignment horizontal="center" readingOrder="0" shrinkToFit="0" vertical="center" wrapText="1"/>
    </xf>
    <xf borderId="3" fillId="7" fontId="2" numFmtId="0" xfId="0" applyBorder="1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5">
    <tableStyle count="3" pivot="0" name="Scorecards-style">
      <tableStyleElement dxfId="1" type="headerRow"/>
      <tableStyleElement dxfId="2" type="firstRowStripe"/>
      <tableStyleElement dxfId="3" type="secondRowStripe"/>
    </tableStyle>
    <tableStyle count="3" pivot="0" name="Scorecards-style 2">
      <tableStyleElement dxfId="1" type="headerRow"/>
      <tableStyleElement dxfId="2" type="firstRowStripe"/>
      <tableStyleElement dxfId="3" type="secondRowStripe"/>
    </tableStyle>
    <tableStyle count="3" pivot="0" name="Scorecards-style 3">
      <tableStyleElement dxfId="1" type="headerRow"/>
      <tableStyleElement dxfId="2" type="firstRowStripe"/>
      <tableStyleElement dxfId="3" type="secondRowStripe"/>
    </tableStyle>
    <tableStyle count="3" pivot="0" name="Scorecards-style 4">
      <tableStyleElement dxfId="1" type="headerRow"/>
      <tableStyleElement dxfId="2" type="firstRowStripe"/>
      <tableStyleElement dxfId="3" type="secondRowStripe"/>
    </tableStyle>
    <tableStyle count="3" pivot="0" name="NET Scorecards-style">
      <tableStyleElement dxfId="1" type="headerRow"/>
      <tableStyleElement dxfId="2" type="firstRowStripe"/>
      <tableStyleElement dxfId="3" type="secondRowStripe"/>
    </tableStyle>
    <tableStyle count="3" pivot="0" name="NET Scorecards-style 2">
      <tableStyleElement dxfId="1" type="headerRow"/>
      <tableStyleElement dxfId="2" type="firstRowStripe"/>
      <tableStyleElement dxfId="3" type="secondRowStripe"/>
    </tableStyle>
    <tableStyle count="3" pivot="0" name="NET Scorecards-style 3">
      <tableStyleElement dxfId="1" type="headerRow"/>
      <tableStyleElement dxfId="2" type="firstRowStripe"/>
      <tableStyleElement dxfId="3" type="secondRowStripe"/>
    </tableStyle>
    <tableStyle count="3" pivot="0" name="NET Scorecards-style 4">
      <tableStyleElement dxfId="1" type="headerRow"/>
      <tableStyleElement dxfId="2" type="firstRowStripe"/>
      <tableStyleElement dxfId="3" type="secondRowStripe"/>
    </tableStyle>
    <tableStyle count="3" pivot="0" name="BettingScoreboard-style">
      <tableStyleElement dxfId="1" type="headerRow"/>
      <tableStyleElement dxfId="2" type="firstRowStripe"/>
      <tableStyleElement dxfId="3" type="secondRowStripe"/>
    </tableStyle>
    <tableStyle count="3" pivot="0" name="Betting SETUP-style">
      <tableStyleElement dxfId="1" type="headerRow"/>
      <tableStyleElement dxfId="2" type="firstRowStripe"/>
      <tableStyleElement dxfId="3" type="secondRowStripe"/>
    </tableStyle>
    <tableStyle count="3" pivot="0" name="SETUP-style">
      <tableStyleElement dxfId="1" type="headerRow"/>
      <tableStyleElement dxfId="2" type="firstRowStripe"/>
      <tableStyleElement dxfId="3" type="secondRowStripe"/>
    </tableStyle>
    <tableStyle count="4" pivot="0" name="Form Responses 2-style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2" pivot="0" name="Stock Market-style">
      <tableStyleElement dxfId="2" type="firstRowStripe"/>
      <tableStyleElement dxfId="3" type="secondRowStripe"/>
    </tableStyle>
    <tableStyle count="2" pivot="0" name="Stock Market-style 2">
      <tableStyleElement dxfId="2" type="firstRowStripe"/>
      <tableStyleElement dxfId="3" type="secondRowStripe"/>
    </tableStyle>
    <tableStyle count="2" pivot="0" name="Stock Market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H16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3:AH35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2:AH54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1:AH73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AH16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3:AH35" displayName="Table_6" name="Table_6" id="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2:AH54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61:AH73" displayName="Table_8" name="Table_8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P13" displayName="Table_9" name="Table_9" id="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ettingScore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4:G16" displayName="Table_10" name="Table_10" id="10">
  <tableColumns count="7">
    <tableColumn name="Player" id="1"/>
    <tableColumn name="Paid" id="2"/>
    <tableColumn name="Low Score - Net - Per Round" id="3"/>
    <tableColumn name="Skins - Gross - Cumulative" id="4"/>
    <tableColumn name="CTP" id="5"/>
    <tableColumn name="1-PUTT" id="6"/>
    <tableColumn name="3-PUTT" id="7"/>
  </tableColumns>
  <tableStyleInfo name="Betting SETUP-style" showColumnStripes="0" showFirstColumn="1" showLastColumn="1" showRowStripes="1"/>
</table>
</file>

<file path=xl/tables/table11.xml><?xml version="1.0" encoding="utf-8"?>
<table xmlns="http://schemas.openxmlformats.org/spreadsheetml/2006/main" headerRowCount="0" ref="A4:F16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O2" displayName="Form_Responses" name="Form_Responses" id="12">
  <tableColumns count="15">
    <tableColumn name="Timestamp" id="1"/>
    <tableColumn name="YOUR NAME" id="2"/>
    <tableColumn name="Shares of Aaron J" id="3"/>
    <tableColumn name="Shares of Andy V" id="4"/>
    <tableColumn name="Shares of Bob B" id="5"/>
    <tableColumn name="Shares of Brian K" id="6"/>
    <tableColumn name="Shares of Dave K" id="7"/>
    <tableColumn name="Shares of Eric O" id="8"/>
    <tableColumn name="Shares of Jeff B" id="9"/>
    <tableColumn name="Shares of Joe S" id="10"/>
    <tableColumn name="Shares of John C" id="11"/>
    <tableColumn name="Shares of Ray H" id="12"/>
    <tableColumn name="Shares of Russ W" id="13"/>
    <tableColumn name="Shares of Scott R" id="14"/>
    <tableColumn name="DO YOUR TOTAL SHARES EQUAL 20?" id="15"/>
  </tableColumns>
  <tableStyleInfo name="Form Responses 2-style" showColumnStripes="0" showFirstColumn="1" showLastColumn="1" showRowStripes="1"/>
</table>
</file>

<file path=xl/tables/table13.xml><?xml version="1.0" encoding="utf-8"?>
<table xmlns="http://schemas.openxmlformats.org/spreadsheetml/2006/main" headerRowCount="0" ref="A3:N14" displayName="Table_12" name="Table_12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" showColumnStripes="0" showFirstColumn="1" showLastColumn="1" showRowStripes="1"/>
</table>
</file>

<file path=xl/tables/table14.xml><?xml version="1.0" encoding="utf-8"?>
<table xmlns="http://schemas.openxmlformats.org/spreadsheetml/2006/main" headerRowCount="0" ref="P3:S14" displayName="Table_13" name="Table_13" id="14">
  <tableColumns count="4">
    <tableColumn name="Column1" id="1"/>
    <tableColumn name="Column2" id="2"/>
    <tableColumn name="Column3" id="3"/>
    <tableColumn name="Column4" id="4"/>
  </tableColumns>
  <tableStyleInfo name="Stock Market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19:N30" displayName="Table_14" name="Table_14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0"/>
    <col customWidth="1" min="3" max="3" width="17.29"/>
    <col customWidth="1" min="4" max="4" width="13.0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</row>
    <row r="2" ht="30.0" customHeight="1">
      <c r="A2" s="3" t="s">
        <v>1</v>
      </c>
      <c r="B2" s="3" t="s">
        <v>2</v>
      </c>
      <c r="C2" s="4" t="s">
        <v>3</v>
      </c>
      <c r="D2" s="4" t="s">
        <v>4</v>
      </c>
      <c r="E2" s="5" t="str">
        <f>SETUP!C1</f>
        <v>THE TRIBUTE</v>
      </c>
      <c r="F2" s="5" t="str">
        <f>SETUP!D1</f>
        <v>THE PREMIER</v>
      </c>
      <c r="G2" s="5" t="str">
        <f>SETUP!E1</f>
        <v>THE LOON</v>
      </c>
      <c r="H2" s="5" t="str">
        <f>SETUP!F1</f>
        <v>THE LAKES</v>
      </c>
    </row>
    <row r="3" ht="26.25" customHeight="1">
      <c r="A3" s="6">
        <f t="array" ref="A3">index('Score Calcuations'!$N$3:$N$14,match(C3,'Score Calcuations'!$A$3:$A$14))</f>
        <v>4</v>
      </c>
      <c r="B3" s="7" t="str">
        <f>IFERROR(__xludf.DUMMYFUNCTION("query(index('Score Calcuations'!A3:N14&amp;""""),""select Col3,Col1,Col14,Col5,Col7,Col9,Col11 ORDER BY Col13"",0)"),"1")</f>
        <v>1</v>
      </c>
      <c r="C3" s="7" t="str">
        <f>IFERROR(__xludf.DUMMYFUNCTION("""COMPUTED_VALUE"""),"Joe S")</f>
        <v>Joe S</v>
      </c>
      <c r="D3" s="8" t="str">
        <f>IFERROR(__xludf.DUMMYFUNCTION("""COMPUTED_VALUE"""),"4")</f>
        <v>4</v>
      </c>
      <c r="E3" s="9" t="str">
        <f>IFERROR(__xludf.DUMMYFUNCTION("""COMPUTED_VALUE"""),"72")</f>
        <v>72</v>
      </c>
      <c r="F3" s="9" t="str">
        <f>IFERROR(__xludf.DUMMYFUNCTION("""COMPUTED_VALUE"""),"72")</f>
        <v>72</v>
      </c>
      <c r="G3" s="9" t="str">
        <f>IFERROR(__xludf.DUMMYFUNCTION("""COMPUTED_VALUE"""),"79")</f>
        <v>79</v>
      </c>
      <c r="H3" s="9" t="str">
        <f>IFERROR(__xludf.DUMMYFUNCTION("""COMPUTED_VALUE"""),"69")</f>
        <v>69</v>
      </c>
    </row>
    <row r="4" ht="26.25" customHeight="1">
      <c r="A4" s="6">
        <f t="array" ref="A4">index('Score Calcuations'!$N$3:$N$14,match(C4,'Score Calcuations'!$A$3:$A$14))</f>
        <v>10</v>
      </c>
      <c r="B4" s="7" t="str">
        <f>IFERROR(__xludf.DUMMYFUNCTION("""COMPUTED_VALUE"""),"2")</f>
        <v>2</v>
      </c>
      <c r="C4" s="7" t="str">
        <f>IFERROR(__xludf.DUMMYFUNCTION("""COMPUTED_VALUE"""),"Scott R")</f>
        <v>Scott R</v>
      </c>
      <c r="D4" s="8" t="str">
        <f>IFERROR(__xludf.DUMMYFUNCTION("""COMPUTED_VALUE"""),"10")</f>
        <v>10</v>
      </c>
      <c r="E4" s="9" t="str">
        <f>IFERROR(__xludf.DUMMYFUNCTION("""COMPUTED_VALUE"""),"76")</f>
        <v>76</v>
      </c>
      <c r="F4" s="9" t="str">
        <f>IFERROR(__xludf.DUMMYFUNCTION("""COMPUTED_VALUE"""),"71")</f>
        <v>71</v>
      </c>
      <c r="G4" s="9" t="str">
        <f>IFERROR(__xludf.DUMMYFUNCTION("""COMPUTED_VALUE"""),"75")</f>
        <v>75</v>
      </c>
      <c r="H4" s="9" t="str">
        <f>IFERROR(__xludf.DUMMYFUNCTION("""COMPUTED_VALUE"""),"76")</f>
        <v>76</v>
      </c>
    </row>
    <row r="5" ht="26.25" customHeight="1">
      <c r="A5" s="6">
        <f t="array" ref="A5">index('Score Calcuations'!$N$3:$N$14,match(C5,'Score Calcuations'!$A$3:$A$14))</f>
        <v>11</v>
      </c>
      <c r="B5" s="7" t="str">
        <f>IFERROR(__xludf.DUMMYFUNCTION("""COMPUTED_VALUE"""),"3")</f>
        <v>3</v>
      </c>
      <c r="C5" s="7" t="str">
        <f>IFERROR(__xludf.DUMMYFUNCTION("""COMPUTED_VALUE"""),"Bob B")</f>
        <v>Bob B</v>
      </c>
      <c r="D5" s="8" t="str">
        <f>IFERROR(__xludf.DUMMYFUNCTION("""COMPUTED_VALUE"""),"11")</f>
        <v>11</v>
      </c>
      <c r="E5" s="9" t="str">
        <f>IFERROR(__xludf.DUMMYFUNCTION("""COMPUTED_VALUE"""),"76")</f>
        <v>76</v>
      </c>
      <c r="F5" s="9" t="str">
        <f>IFERROR(__xludf.DUMMYFUNCTION("""COMPUTED_VALUE"""),"69")</f>
        <v>69</v>
      </c>
      <c r="G5" s="9" t="str">
        <f>IFERROR(__xludf.DUMMYFUNCTION("""COMPUTED_VALUE"""),"77")</f>
        <v>77</v>
      </c>
      <c r="H5" s="9" t="str">
        <f>IFERROR(__xludf.DUMMYFUNCTION("""COMPUTED_VALUE"""),"77")</f>
        <v>77</v>
      </c>
    </row>
    <row r="6" ht="26.25" customHeight="1">
      <c r="A6" s="6">
        <f t="array" ref="A6">index('Score Calcuations'!$N$3:$N$14,match(C6,'Score Calcuations'!$A$3:$A$14))</f>
        <v>16</v>
      </c>
      <c r="B6" s="7" t="str">
        <f>IFERROR(__xludf.DUMMYFUNCTION("""COMPUTED_VALUE"""),"4")</f>
        <v>4</v>
      </c>
      <c r="C6" s="7" t="str">
        <f>IFERROR(__xludf.DUMMYFUNCTION("""COMPUTED_VALUE"""),"Andy V")</f>
        <v>Andy V</v>
      </c>
      <c r="D6" s="8" t="str">
        <f>IFERROR(__xludf.DUMMYFUNCTION("""COMPUTED_VALUE"""),"16")</f>
        <v>16</v>
      </c>
      <c r="E6" s="9" t="str">
        <f>IFERROR(__xludf.DUMMYFUNCTION("""COMPUTED_VALUE"""),"82")</f>
        <v>82</v>
      </c>
      <c r="F6" s="9" t="str">
        <f>IFERROR(__xludf.DUMMYFUNCTION("""COMPUTED_VALUE"""),"74")</f>
        <v>74</v>
      </c>
      <c r="G6" s="9" t="str">
        <f>IFERROR(__xludf.DUMMYFUNCTION("""COMPUTED_VALUE"""),"74")</f>
        <v>74</v>
      </c>
      <c r="H6" s="9" t="str">
        <f>IFERROR(__xludf.DUMMYFUNCTION("""COMPUTED_VALUE"""),"74")</f>
        <v>74</v>
      </c>
    </row>
    <row r="7" ht="26.25" customHeight="1">
      <c r="A7" s="6">
        <f t="array" ref="A7">index('Score Calcuations'!$N$3:$N$14,match(C7,'Score Calcuations'!$A$3:$A$14))</f>
        <v>18</v>
      </c>
      <c r="B7" s="7" t="str">
        <f>IFERROR(__xludf.DUMMYFUNCTION("""COMPUTED_VALUE"""),"5")</f>
        <v>5</v>
      </c>
      <c r="C7" s="7" t="str">
        <f>IFERROR(__xludf.DUMMYFUNCTION("""COMPUTED_VALUE"""),"Dave K")</f>
        <v>Dave K</v>
      </c>
      <c r="D7" s="8" t="str">
        <f>IFERROR(__xludf.DUMMYFUNCTION("""COMPUTED_VALUE"""),"18")</f>
        <v>18</v>
      </c>
      <c r="E7" s="9" t="str">
        <f>IFERROR(__xludf.DUMMYFUNCTION("""COMPUTED_VALUE"""),"73")</f>
        <v>73</v>
      </c>
      <c r="F7" s="9" t="str">
        <f>IFERROR(__xludf.DUMMYFUNCTION("""COMPUTED_VALUE"""),"79")</f>
        <v>79</v>
      </c>
      <c r="G7" s="9" t="str">
        <f>IFERROR(__xludf.DUMMYFUNCTION("""COMPUTED_VALUE"""),"77")</f>
        <v>77</v>
      </c>
      <c r="H7" s="9" t="str">
        <f>IFERROR(__xludf.DUMMYFUNCTION("""COMPUTED_VALUE"""),"77")</f>
        <v>77</v>
      </c>
    </row>
    <row r="8" ht="26.25" customHeight="1">
      <c r="A8" s="6">
        <f t="array" ref="A8">index('Score Calcuations'!$N$3:$N$14,match(C8,'Score Calcuations'!$A$3:$A$14))</f>
        <v>22</v>
      </c>
      <c r="B8" s="7" t="str">
        <f>IFERROR(__xludf.DUMMYFUNCTION("""COMPUTED_VALUE"""),"6")</f>
        <v>6</v>
      </c>
      <c r="C8" s="7" t="str">
        <f>IFERROR(__xludf.DUMMYFUNCTION("""COMPUTED_VALUE"""),"Jeff B")</f>
        <v>Jeff B</v>
      </c>
      <c r="D8" s="8" t="str">
        <f>IFERROR(__xludf.DUMMYFUNCTION("""COMPUTED_VALUE"""),"22")</f>
        <v>22</v>
      </c>
      <c r="E8" s="9" t="str">
        <f>IFERROR(__xludf.DUMMYFUNCTION("""COMPUTED_VALUE"""),"77")</f>
        <v>77</v>
      </c>
      <c r="F8" s="9" t="str">
        <f>IFERROR(__xludf.DUMMYFUNCTION("""COMPUTED_VALUE"""),"77")</f>
        <v>77</v>
      </c>
      <c r="G8" s="9" t="str">
        <f>IFERROR(__xludf.DUMMYFUNCTION("""COMPUTED_VALUE"""),"76")</f>
        <v>76</v>
      </c>
      <c r="H8" s="9" t="str">
        <f>IFERROR(__xludf.DUMMYFUNCTION("""COMPUTED_VALUE"""),"80")</f>
        <v>80</v>
      </c>
    </row>
    <row r="9" ht="26.25" customHeight="1">
      <c r="A9" s="6">
        <f t="array" ref="A9">index('Score Calcuations'!$N$3:$N$14,match(C9,'Score Calcuations'!$A$3:$A$14))</f>
        <v>23</v>
      </c>
      <c r="B9" s="7" t="str">
        <f>IFERROR(__xludf.DUMMYFUNCTION("""COMPUTED_VALUE"""),"7")</f>
        <v>7</v>
      </c>
      <c r="C9" s="7" t="str">
        <f>IFERROR(__xludf.DUMMYFUNCTION("""COMPUTED_VALUE"""),"Eric O")</f>
        <v>Eric O</v>
      </c>
      <c r="D9" s="8" t="str">
        <f>IFERROR(__xludf.DUMMYFUNCTION("""COMPUTED_VALUE"""),"23")</f>
        <v>23</v>
      </c>
      <c r="E9" s="9" t="str">
        <f>IFERROR(__xludf.DUMMYFUNCTION("""COMPUTED_VALUE"""),"82")</f>
        <v>82</v>
      </c>
      <c r="F9" s="9" t="str">
        <f>IFERROR(__xludf.DUMMYFUNCTION("""COMPUTED_VALUE"""),"80")</f>
        <v>80</v>
      </c>
      <c r="G9" s="9" t="str">
        <f>IFERROR(__xludf.DUMMYFUNCTION("""COMPUTED_VALUE"""),"74")</f>
        <v>74</v>
      </c>
      <c r="H9" s="9" t="str">
        <f>IFERROR(__xludf.DUMMYFUNCTION("""COMPUTED_VALUE"""),"75")</f>
        <v>75</v>
      </c>
    </row>
    <row r="10" ht="26.25" customHeight="1">
      <c r="A10" s="6">
        <f t="array" ref="A10">index('Score Calcuations'!$N$3:$N$14,match(C10,'Score Calcuations'!$A$3:$A$14))</f>
        <v>24</v>
      </c>
      <c r="B10" s="7" t="str">
        <f>IFERROR(__xludf.DUMMYFUNCTION("""COMPUTED_VALUE"""),"8")</f>
        <v>8</v>
      </c>
      <c r="C10" s="7" t="str">
        <f>IFERROR(__xludf.DUMMYFUNCTION("""COMPUTED_VALUE"""),"Brian K")</f>
        <v>Brian K</v>
      </c>
      <c r="D10" s="8" t="str">
        <f>IFERROR(__xludf.DUMMYFUNCTION("""COMPUTED_VALUE"""),"24")</f>
        <v>24</v>
      </c>
      <c r="E10" s="9" t="str">
        <f>IFERROR(__xludf.DUMMYFUNCTION("""COMPUTED_VALUE"""),"76")</f>
        <v>76</v>
      </c>
      <c r="F10" s="9" t="str">
        <f>IFERROR(__xludf.DUMMYFUNCTION("""COMPUTED_VALUE"""),"75")</f>
        <v>75</v>
      </c>
      <c r="G10" s="9" t="str">
        <f>IFERROR(__xludf.DUMMYFUNCTION("""COMPUTED_VALUE"""),"78")</f>
        <v>78</v>
      </c>
      <c r="H10" s="9" t="str">
        <f>IFERROR(__xludf.DUMMYFUNCTION("""COMPUTED_VALUE"""),"83")</f>
        <v>83</v>
      </c>
    </row>
    <row r="11" ht="26.25" customHeight="1">
      <c r="A11" s="6">
        <f t="array" ref="A11">index('Score Calcuations'!$N$3:$N$14,match(C11,'Score Calcuations'!$A$3:$A$14))</f>
        <v>25</v>
      </c>
      <c r="B11" s="7" t="str">
        <f>IFERROR(__xludf.DUMMYFUNCTION("""COMPUTED_VALUE"""),"9")</f>
        <v>9</v>
      </c>
      <c r="C11" s="7" t="str">
        <f>IFERROR(__xludf.DUMMYFUNCTION("""COMPUTED_VALUE"""),"Russ W")</f>
        <v>Russ W</v>
      </c>
      <c r="D11" s="8" t="str">
        <f>IFERROR(__xludf.DUMMYFUNCTION("""COMPUTED_VALUE"""),"25")</f>
        <v>25</v>
      </c>
      <c r="E11" s="9" t="str">
        <f>IFERROR(__xludf.DUMMYFUNCTION("""COMPUTED_VALUE"""),"71")</f>
        <v>71</v>
      </c>
      <c r="F11" s="9" t="str">
        <f>IFERROR(__xludf.DUMMYFUNCTION("""COMPUTED_VALUE"""),"80")</f>
        <v>80</v>
      </c>
      <c r="G11" s="9" t="str">
        <f>IFERROR(__xludf.DUMMYFUNCTION("""COMPUTED_VALUE"""),"85")</f>
        <v>85</v>
      </c>
      <c r="H11" s="9" t="str">
        <f>IFERROR(__xludf.DUMMYFUNCTION("""COMPUTED_VALUE"""),"77")</f>
        <v>77</v>
      </c>
    </row>
    <row r="12" ht="26.25" customHeight="1">
      <c r="A12" s="6">
        <f t="array" ref="A12">index('Score Calcuations'!$N$3:$N$14,match(C12,'Score Calcuations'!$A$3:$A$14))</f>
        <v>28</v>
      </c>
      <c r="B12" s="7" t="str">
        <f>IFERROR(__xludf.DUMMYFUNCTION("""COMPUTED_VALUE"""),"10")</f>
        <v>10</v>
      </c>
      <c r="C12" s="7" t="str">
        <f>IFERROR(__xludf.DUMMYFUNCTION("""COMPUTED_VALUE"""),"Aaron J")</f>
        <v>Aaron J</v>
      </c>
      <c r="D12" s="8" t="str">
        <f>IFERROR(__xludf.DUMMYFUNCTION("""COMPUTED_VALUE"""),"28")</f>
        <v>28</v>
      </c>
      <c r="E12" s="9" t="str">
        <f>IFERROR(__xludf.DUMMYFUNCTION("""COMPUTED_VALUE"""),"74")</f>
        <v>74</v>
      </c>
      <c r="F12" s="9" t="str">
        <f>IFERROR(__xludf.DUMMYFUNCTION("""COMPUTED_VALUE"""),"77")</f>
        <v>77</v>
      </c>
      <c r="G12" s="9" t="str">
        <f>IFERROR(__xludf.DUMMYFUNCTION("""COMPUTED_VALUE"""),"85")</f>
        <v>85</v>
      </c>
      <c r="H12" s="9" t="str">
        <f>IFERROR(__xludf.DUMMYFUNCTION("""COMPUTED_VALUE"""),"80")</f>
        <v>80</v>
      </c>
    </row>
    <row r="13" ht="26.25" customHeight="1">
      <c r="A13" s="6">
        <f t="array" ref="A13">index('Score Calcuations'!$N$3:$N$14,match(C13,'Score Calcuations'!$A$3:$A$14))</f>
        <v>61</v>
      </c>
      <c r="B13" s="7" t="str">
        <f>IFERROR(__xludf.DUMMYFUNCTION("""COMPUTED_VALUE"""),"11")</f>
        <v>11</v>
      </c>
      <c r="C13" s="7" t="str">
        <f>IFERROR(__xludf.DUMMYFUNCTION("""COMPUTED_VALUE"""),"Ray H")</f>
        <v>Ray H</v>
      </c>
      <c r="D13" s="8" t="str">
        <f>IFERROR(__xludf.DUMMYFUNCTION("""COMPUTED_VALUE"""),"61")</f>
        <v>61</v>
      </c>
      <c r="E13" s="9" t="str">
        <f>IFERROR(__xludf.DUMMYFUNCTION("""COMPUTED_VALUE"""),"85")</f>
        <v>85</v>
      </c>
      <c r="F13" s="9" t="str">
        <f>IFERROR(__xludf.DUMMYFUNCTION("""COMPUTED_VALUE"""),"88")</f>
        <v>88</v>
      </c>
      <c r="G13" s="9" t="str">
        <f>IFERROR(__xludf.DUMMYFUNCTION("""COMPUTED_VALUE"""),"77")</f>
        <v>77</v>
      </c>
      <c r="H13" s="9" t="str">
        <f>IFERROR(__xludf.DUMMYFUNCTION("""COMPUTED_VALUE"""),"99")</f>
        <v>99</v>
      </c>
    </row>
    <row r="14" ht="26.25" customHeight="1">
      <c r="A14" s="6" t="str">
        <f t="array" ref="A14">index('Score Calcuations'!$N$3:$N$14,match(C14,'Score Calcuations'!$A$3:$A$14))</f>
        <v>WD</v>
      </c>
      <c r="B14" s="7" t="str">
        <f>IFERROR(__xludf.DUMMYFUNCTION("""COMPUTED_VALUE"""),"WD")</f>
        <v>WD</v>
      </c>
      <c r="C14" s="7" t="str">
        <f>IFERROR(__xludf.DUMMYFUNCTION("""COMPUTED_VALUE"""),"John C")</f>
        <v>John C</v>
      </c>
      <c r="D14" s="8" t="str">
        <f>IFERROR(__xludf.DUMMYFUNCTION("""COMPUTED_VALUE"""),"WD")</f>
        <v>WD</v>
      </c>
      <c r="E14" s="9" t="str">
        <f>IFERROR(__xludf.DUMMYFUNCTION("""COMPUTED_VALUE"""),"71")</f>
        <v>71</v>
      </c>
      <c r="F14" s="9" t="str">
        <f>IFERROR(__xludf.DUMMYFUNCTION("""COMPUTED_VALUE"""),"86")</f>
        <v>86</v>
      </c>
      <c r="G14" s="9" t="str">
        <f>IFERROR(__xludf.DUMMYFUNCTION("""COMPUTED_VALUE"""),"76")</f>
        <v>76</v>
      </c>
      <c r="H14" s="9" t="str">
        <f>IFERROR(__xludf.DUMMYFUNCTION("""COMPUTED_VALUE"""),"WD")</f>
        <v>WD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34" width="7.29"/>
  </cols>
  <sheetData>
    <row r="1" ht="12.75" customHeight="1">
      <c r="A1" s="10"/>
      <c r="B1" s="11"/>
      <c r="C1" s="12" t="str">
        <f>SETUP!C1</f>
        <v>THE TRIBUTE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/>
      <c r="X1" s="16">
        <f>SETUP!C2</f>
        <v>72.9</v>
      </c>
      <c r="Y1" s="17">
        <f>SETUP!C3</f>
        <v>136</v>
      </c>
      <c r="Z1" s="18"/>
      <c r="AA1" s="18"/>
      <c r="AB1" s="18"/>
      <c r="AC1" s="18"/>
      <c r="AD1" s="18"/>
      <c r="AE1" s="18"/>
      <c r="AF1" s="18"/>
      <c r="AG1" s="18"/>
      <c r="AH1" s="18"/>
    </row>
    <row r="2" ht="12.75" customHeight="1">
      <c r="A2" s="10"/>
      <c r="B2" s="11"/>
      <c r="C2" s="17" t="s">
        <v>5</v>
      </c>
      <c r="D2" s="19">
        <v>1.0</v>
      </c>
      <c r="E2" s="19">
        <v>2.0</v>
      </c>
      <c r="F2" s="19">
        <v>3.0</v>
      </c>
      <c r="G2" s="19">
        <v>4.0</v>
      </c>
      <c r="H2" s="19">
        <v>5.0</v>
      </c>
      <c r="I2" s="19">
        <v>6.0</v>
      </c>
      <c r="J2" s="19">
        <v>7.0</v>
      </c>
      <c r="K2" s="19">
        <v>8.0</v>
      </c>
      <c r="L2" s="19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19">
        <v>16.0</v>
      </c>
      <c r="T2" s="19">
        <v>17.0</v>
      </c>
      <c r="U2" s="19">
        <v>18.0</v>
      </c>
      <c r="V2" s="19" t="s">
        <v>6</v>
      </c>
      <c r="W2" s="19" t="s">
        <v>7</v>
      </c>
      <c r="X2" s="19" t="s">
        <v>8</v>
      </c>
      <c r="Y2" s="19" t="s">
        <v>9</v>
      </c>
      <c r="Z2" s="20"/>
      <c r="AA2" s="20"/>
      <c r="AB2" s="20"/>
      <c r="AC2" s="20"/>
      <c r="AD2" s="20"/>
      <c r="AE2" s="20"/>
      <c r="AF2" s="20"/>
      <c r="AG2" s="20"/>
      <c r="AH2" s="20"/>
    </row>
    <row r="3" ht="12.75" customHeight="1">
      <c r="A3" s="21"/>
      <c r="B3" s="22"/>
      <c r="C3" s="23" t="s">
        <v>10</v>
      </c>
      <c r="D3" s="24">
        <f>SETUP!I3</f>
        <v>13</v>
      </c>
      <c r="E3" s="24">
        <f>SETUP!J3</f>
        <v>9</v>
      </c>
      <c r="F3" s="24">
        <f>SETUP!K3</f>
        <v>17</v>
      </c>
      <c r="G3" s="24">
        <f>SETUP!L3</f>
        <v>7</v>
      </c>
      <c r="H3" s="24">
        <f>SETUP!M3</f>
        <v>5</v>
      </c>
      <c r="I3" s="24">
        <f>SETUP!N3</f>
        <v>11</v>
      </c>
      <c r="J3" s="24">
        <f>SETUP!O3</f>
        <v>3</v>
      </c>
      <c r="K3" s="24">
        <f>SETUP!P3</f>
        <v>1</v>
      </c>
      <c r="L3" s="24">
        <f>SETUP!Q3</f>
        <v>15</v>
      </c>
      <c r="M3" s="24">
        <f>SETUP!R3</f>
        <v>12</v>
      </c>
      <c r="N3" s="24">
        <f>SETUP!S3</f>
        <v>8</v>
      </c>
      <c r="O3" s="24">
        <f>SETUP!T3</f>
        <v>6</v>
      </c>
      <c r="P3" s="24">
        <f>SETUP!U3</f>
        <v>14</v>
      </c>
      <c r="Q3" s="24">
        <f>SETUP!V3</f>
        <v>4</v>
      </c>
      <c r="R3" s="24">
        <f>SETUP!W3</f>
        <v>16</v>
      </c>
      <c r="S3" s="24">
        <f>SETUP!X3</f>
        <v>2</v>
      </c>
      <c r="T3" s="24">
        <f>SETUP!Y3</f>
        <v>18</v>
      </c>
      <c r="U3" s="24">
        <f>SETUP!Z3</f>
        <v>10</v>
      </c>
      <c r="V3" s="25"/>
      <c r="W3" s="25"/>
      <c r="X3" s="26"/>
      <c r="Y3" s="26"/>
      <c r="Z3" s="27"/>
      <c r="AA3" s="27"/>
      <c r="AB3" s="27"/>
      <c r="AC3" s="27"/>
      <c r="AD3" s="27"/>
      <c r="AE3" s="27"/>
      <c r="AF3" s="27"/>
      <c r="AG3" s="27"/>
      <c r="AH3" s="27"/>
    </row>
    <row r="4" ht="12.75" customHeight="1">
      <c r="A4" s="28" t="str">
        <f>SETUP!A4</f>
        <v>Player</v>
      </c>
      <c r="B4" s="29" t="s">
        <v>10</v>
      </c>
      <c r="C4" s="17" t="s">
        <v>11</v>
      </c>
      <c r="D4" s="24">
        <f>SETUP!I4</f>
        <v>4</v>
      </c>
      <c r="E4" s="24">
        <f>SETUP!J4</f>
        <v>4</v>
      </c>
      <c r="F4" s="24">
        <f>SETUP!K4</f>
        <v>4</v>
      </c>
      <c r="G4" s="24">
        <f>SETUP!L4</f>
        <v>5</v>
      </c>
      <c r="H4" s="24">
        <f>SETUP!M4</f>
        <v>4</v>
      </c>
      <c r="I4" s="24">
        <f>SETUP!N4</f>
        <v>3</v>
      </c>
      <c r="J4" s="24">
        <f>SETUP!O4</f>
        <v>5</v>
      </c>
      <c r="K4" s="24">
        <f>SETUP!P4</f>
        <v>4</v>
      </c>
      <c r="L4" s="24">
        <f>SETUP!Q4</f>
        <v>3</v>
      </c>
      <c r="M4" s="24">
        <f>SETUP!R4</f>
        <v>4</v>
      </c>
      <c r="N4" s="24">
        <f>SETUP!S4</f>
        <v>5</v>
      </c>
      <c r="O4" s="24">
        <f>SETUP!T4</f>
        <v>4</v>
      </c>
      <c r="P4" s="24">
        <f>SETUP!U4</f>
        <v>3</v>
      </c>
      <c r="Q4" s="24">
        <f>SETUP!V4</f>
        <v>4</v>
      </c>
      <c r="R4" s="24">
        <f>SETUP!W4</f>
        <v>4</v>
      </c>
      <c r="S4" s="24">
        <f>SETUP!X4</f>
        <v>5</v>
      </c>
      <c r="T4" s="24">
        <f>SETUP!Y4</f>
        <v>3</v>
      </c>
      <c r="U4" s="24">
        <f>SETUP!Z4</f>
        <v>4</v>
      </c>
      <c r="V4" s="30">
        <f>SUM(D4:L4)</f>
        <v>36</v>
      </c>
      <c r="W4" s="30">
        <f>SUM(M4:U4)</f>
        <v>36</v>
      </c>
      <c r="X4" s="30">
        <f>V4+W4</f>
        <v>72</v>
      </c>
      <c r="Y4" s="30"/>
      <c r="Z4" s="31" t="s">
        <v>12</v>
      </c>
      <c r="AA4" s="31" t="s">
        <v>13</v>
      </c>
      <c r="AB4" s="31" t="s">
        <v>14</v>
      </c>
      <c r="AC4" s="31" t="s">
        <v>11</v>
      </c>
      <c r="AD4" s="31" t="s">
        <v>15</v>
      </c>
      <c r="AE4" s="31" t="s">
        <v>16</v>
      </c>
      <c r="AF4" s="31" t="s">
        <v>17</v>
      </c>
      <c r="AG4" s="31" t="s">
        <v>18</v>
      </c>
      <c r="AH4" s="27"/>
    </row>
    <row r="5" ht="12.75" customHeight="1">
      <c r="A5" s="32" t="str">
        <f>SETUP!A5</f>
        <v>Aaron J</v>
      </c>
      <c r="B5" s="33">
        <f t="array" ref="B5">if(A5="","",index(SETUP!C:C,match(A5,SETUP!A:A,0)))</f>
        <v>9</v>
      </c>
      <c r="C5" s="34"/>
      <c r="D5" s="35">
        <v>5.0</v>
      </c>
      <c r="E5" s="35">
        <v>4.0</v>
      </c>
      <c r="F5" s="35">
        <v>4.0</v>
      </c>
      <c r="G5" s="35">
        <v>6.0</v>
      </c>
      <c r="H5" s="35">
        <v>5.0</v>
      </c>
      <c r="I5" s="35">
        <v>3.0</v>
      </c>
      <c r="J5" s="35">
        <v>6.0</v>
      </c>
      <c r="K5" s="35">
        <v>6.0</v>
      </c>
      <c r="L5" s="35">
        <v>3.0</v>
      </c>
      <c r="M5" s="35">
        <v>5.0</v>
      </c>
      <c r="N5" s="35">
        <v>5.0</v>
      </c>
      <c r="O5" s="35">
        <v>8.0</v>
      </c>
      <c r="P5" s="35">
        <v>3.0</v>
      </c>
      <c r="Q5" s="35">
        <v>6.0</v>
      </c>
      <c r="R5" s="35">
        <v>3.0</v>
      </c>
      <c r="S5" s="35">
        <v>4.0</v>
      </c>
      <c r="T5" s="35">
        <v>3.0</v>
      </c>
      <c r="U5" s="35">
        <v>4.0</v>
      </c>
      <c r="V5" s="36">
        <f t="shared" ref="V5:V16" si="1">if(C5="WD","WD", SUM(D5:L5))</f>
        <v>42</v>
      </c>
      <c r="W5" s="36">
        <f t="shared" ref="W5:W16" si="2">if(C5="WD","WD",SUM(M5:U5))</f>
        <v>41</v>
      </c>
      <c r="X5" s="36">
        <f t="shared" ref="X5:X16" si="3">if(C5="WD","WD",IF(W5&gt;0,V5+W5,""))</f>
        <v>83</v>
      </c>
      <c r="Y5" s="37">
        <f t="shared" ref="Y5:Y16" si="4">if(C5="WD","WD",IF(W5=0,"",X5-B5))</f>
        <v>74</v>
      </c>
      <c r="Z5" s="38">
        <f t="array" ref="Z5">sum(if(D5-$D$4=-3,1,0),if(E5-$E$4=-3,1,0),if(F5-$F$4=-3,1,0),if(G5-$G$4=-3,1,0),if(H5-$H$4=-3,1,0),if(I5-$I$4=-3,1,0),if(J5-$J$4=-3,1,0),if(K5-$K$4=-3,1,0),if(L5-$L$4=-3,1,0),if(M5-$M$4=-3,1,0),if(N5-$N$4=-3,1,0),if(O5-$O$4=-3,1,0),if(P5-$P$4=-3,1,0),if(Q5-$Q$4=-3,1,0),if(R5-$R$4=-3,1,0),if(S5-$S$4=-3,1,0),if(T5-$T$4=-3,1,0),if(U5-$U$4=-3,1,0))</f>
        <v>0</v>
      </c>
      <c r="AA5" s="38">
        <f t="array" ref="AA5">sum(if(D5-$D$4=-2,1,0),if(E5-$E$4=-2,1,0),if(F5-$F$4=-2,1,0),if(G5-$G$4=-2,1,0),if(H5-$H$4=-2,1,0),if(I5-$I$4=-2,1,0),if(J5-$J$4=-2,1,0),if(K5-$K$4=-2,1,0),if(L5-$L$4=-2,1,0),if(M5-$M$4=-2,1,0),if(N5-$N$4=-2,1,0),if(O5-$O$4=-2,1,0),if(P5-$P$4=-2,1,0),if(Q5-$Q$4=-2,1,0),if(R5-$R$4=-2,1,0),if(S5-$S$4=-2,1,0),if(T5-$T$4=-2,1,0),if(U5-$U$4=-2,1,0))</f>
        <v>0</v>
      </c>
      <c r="AB5" s="38">
        <f t="array" ref="AB5">sum(if(D5-$D$4=-1,1,0),if(E5-$E$4=-1,1,0),if(F5-$F$4=-1,1,0),if(G5-$G$4=-1,1,0),if(H5-$H$4=-1,1,0),if(I5-$I$4=-1,1,0),if(J5-$J$4=-1,1,0),if(K5-$K$4=-1,1,0),if(L5-$L$4=-1,1,0),if(M5-$M$4=-1,1,0),if(N5-$N$4=-1,1,0),if(O5-$O$4=-1,1,0),if(P5-$P$4=-1,1,0),if(Q5-$Q$4=-1,1,0),if(R5-$R$4=-1,1,0),if(S5-$S$4=-1,1,0),if(T5-$T$4=-1,1,0),if(U5-$U$4=-1,1,0))</f>
        <v>2</v>
      </c>
      <c r="AC5" s="38">
        <f t="array" ref="AC5">sum(if(D5-$D$4=0,1,0),if(E5-$E$4=0,1,0),if(F5-$F$4=0,1,0),if(G5-$G$4=0,1,0),if(H5-$H$4=0,1,0),if(I5-$I$4=0,1,0),if(J5-$J$4=0,1,0),if(K5-$K$4=0,1,0),if(L5-$L$4=0,1,0),if(M5-$M$4=0,1,0),if(N5-$N$4=0,1,0),if(O5-$O$4=0,1,0),if(P5-$P$4=0,1,0),if(Q5-$Q$4=0,1,0),if(R5-$R$4=0,1,0),if(S5-$S$4=0,1,0),if(T5-$T$4=0,1,0),if(U5-$U$4=0,1,0))</f>
        <v>8</v>
      </c>
      <c r="AD5" s="38">
        <f t="array" ref="AD5">sum(if(D5-$D$4=1,1,0),if(E5-$E$4=1,1,0),if(F5-$F$4=1,1,0),if(G5-$G$4=1,1,0),if(H5-$H$4=1,1,0),if(I5-$I$4=1,1,0),if(J5-$J$4=1,1,0),if(K5-$K$4=1,1,0),if(L5-$L$4=1,1,0),if(M5-$M$4=1,1,0),if(N5-$N$4=1,1,0),if(O5-$O$4=1,1,0),if(P5-$P$4=1,1,0),if(Q5-$Q$4=1,1,0),if(R5-$R$4=1,1,0),if(S5-$S$4=1,1,0),if(T5-$T$4=1,1,0),if(U5-$U$4=1,1,0))</f>
        <v>5</v>
      </c>
      <c r="AE5" s="38">
        <f t="array" ref="AE5">sum(if(D5-$D$4=2,1,0),if(E5-$E$4=2,1,0),if(F5-$F$4=2,1,0),if(G5-$G$4=2,1,0),if(H5-$H$4=2,1,0),if(I5-$I$4=2,1,0),if(J5-$J$4=2,1,0),if(K5-$K$4=2,1,0),if(L5-$L$4=2,1,0),if(M5-$M$4=2,1,0),if(N5-$N$4=2,1,0),if(O5-$O$4=2,1,0),if(P5-$P$4=2,1,0),if(Q5-$Q$4=2,1,0),if(R5-$R$4=2,1,0),if(S5-$S$4=2,1,0),if(T5-$T$4=2,1,0),if(U5-$U$4=2,1,0))</f>
        <v>2</v>
      </c>
      <c r="AF5" s="38">
        <f t="array" ref="AF5">sum(if(D5-$D$4=3,1,0),if(E5-$E$4=3,1,0),if(F5-$F$4=3,1,0),if(G5-$G$4=3,1,0),if(H5-$H$4=3,1,0),if(I5-$I$4=3,1,0),if(J5-$J$4=3,1,0),if(K5-$K$4=3,1,0),if(L5-$L$4=3,1,0),if(M5-$M$4=3,1,0),if(N5-$N$4=3,1,0),if(O5-$O$4=3,1,0),if(P5-$P$4=3,1,0),if(Q5-$Q$4=3,1,0),if(R5-$R$4=3,1,0),if(S5-$S$4=3,1,0),if(T5-$T$4=3,1,0),if(U5-$U$4=3,1,0))</f>
        <v>0</v>
      </c>
      <c r="AG5" s="38">
        <f t="array" ref="AG5">sum(if(D5-$D$4&gt;3,1,0),if(E5-$E$4&gt;3,1,0),if(F5-$F$4&gt;3,1,0),if(G5-$G$4&gt;3,1,0),if(H5-$H$4&gt;3,1,0),if(I5-$I$4&gt;3,1,0),if(J5-$J$4&gt;3,1,0),if(K5-$K$4&gt;3,1,0),if(L5-$L$4&gt;3,1,0),if(M5-$M$4&gt;3,1,0),if(N5-$N$4&gt;3,1,0),if(O5-$O$4&gt;3,1,0),if(P5-$P$4&gt;3,1,0),if(Q5-$Q$4&gt;3,1,0),if(R5-$R$4&gt;3,1,0),if(S5-$S$4&gt;3,1,0),if(T5-$T$4&gt;3,1,0),if(U5-$U$4&gt;3,1,0))</f>
        <v>1</v>
      </c>
      <c r="AH5" s="38">
        <f t="shared" ref="AH5:AH16" si="5">sum(Z5:AG5)</f>
        <v>18</v>
      </c>
    </row>
    <row r="6" ht="12.75" customHeight="1">
      <c r="A6" s="32" t="str">
        <f>SETUP!A6</f>
        <v>Andy V</v>
      </c>
      <c r="B6" s="33">
        <f t="array" ref="B6">if(A6="","",index(SETUP!C:C,match(A6,SETUP!A:A,0)))</f>
        <v>22</v>
      </c>
      <c r="C6" s="34"/>
      <c r="D6" s="35">
        <v>6.0</v>
      </c>
      <c r="E6" s="35">
        <v>7.0</v>
      </c>
      <c r="F6" s="35">
        <v>4.0</v>
      </c>
      <c r="G6" s="35">
        <v>6.0</v>
      </c>
      <c r="H6" s="35">
        <v>6.0</v>
      </c>
      <c r="I6" s="35">
        <v>7.0</v>
      </c>
      <c r="J6" s="35">
        <v>7.0</v>
      </c>
      <c r="K6" s="35">
        <v>8.0</v>
      </c>
      <c r="L6" s="35">
        <v>5.0</v>
      </c>
      <c r="M6" s="35">
        <v>8.0</v>
      </c>
      <c r="N6" s="35">
        <v>8.0</v>
      </c>
      <c r="O6" s="35">
        <v>5.0</v>
      </c>
      <c r="P6" s="35">
        <v>3.0</v>
      </c>
      <c r="Q6" s="35">
        <v>6.0</v>
      </c>
      <c r="R6" s="35">
        <v>5.0</v>
      </c>
      <c r="S6" s="35">
        <v>6.0</v>
      </c>
      <c r="T6" s="35">
        <v>3.0</v>
      </c>
      <c r="U6" s="35">
        <v>4.0</v>
      </c>
      <c r="V6" s="36">
        <f t="shared" si="1"/>
        <v>56</v>
      </c>
      <c r="W6" s="36">
        <f t="shared" si="2"/>
        <v>48</v>
      </c>
      <c r="X6" s="36">
        <f t="shared" si="3"/>
        <v>104</v>
      </c>
      <c r="Y6" s="37">
        <f t="shared" si="4"/>
        <v>82</v>
      </c>
      <c r="Z6" s="38">
        <f t="array" ref="Z6">sum(if(D6-$D$4=-3,1,0),if(E6-$E$4=-3,1,0),if(F6-$F$4=-3,1,0),if(G6-$G$4=-3,1,0),if(H6-$H$4=-3,1,0),if(I6-$I$4=-3,1,0),if(J6-$J$4=-3,1,0),if(K6-$K$4=-3,1,0),if(L6-$L$4=-3,1,0),if(M6-$M$4=-3,1,0),if(N6-$N$4=-3,1,0),if(O6-$O$4=-3,1,0),if(P6-$P$4=-3,1,0),if(Q6-$Q$4=-3,1,0),if(R6-$R$4=-3,1,0),if(S6-$S$4=-3,1,0),if(T6-$T$4=-3,1,0),if(U6-$U$4=-3,1,0))</f>
        <v>0</v>
      </c>
      <c r="AA6" s="38">
        <f t="array" ref="AA6">sum(if(D6-$D$4=-2,1,0),if(E6-$E$4=-2,1,0),if(F6-$F$4=-2,1,0),if(G6-$G$4=-2,1,0),if(H6-$H$4=-2,1,0),if(I6-$I$4=-2,1,0),if(J6-$J$4=-2,1,0),if(K6-$K$4=-2,1,0),if(L6-$L$4=-2,1,0),if(M6-$M$4=-2,1,0),if(N6-$N$4=-2,1,0),if(O6-$O$4=-2,1,0),if(P6-$P$4=-2,1,0),if(Q6-$Q$4=-2,1,0),if(R6-$R$4=-2,1,0),if(S6-$S$4=-2,1,0),if(T6-$T$4=-2,1,0),if(U6-$U$4=-2,1,0))</f>
        <v>0</v>
      </c>
      <c r="AB6" s="38">
        <f t="array" ref="AB6">sum(if(D6-$D$4=-1,1,0),if(E6-$E$4=-1,1,0),if(F6-$F$4=-1,1,0),if(G6-$G$4=-1,1,0),if(H6-$H$4=-1,1,0),if(I6-$I$4=-1,1,0),if(J6-$J$4=-1,1,0),if(K6-$K$4=-1,1,0),if(L6-$L$4=-1,1,0),if(M6-$M$4=-1,1,0),if(N6-$N$4=-1,1,0),if(O6-$O$4=-1,1,0),if(P6-$P$4=-1,1,0),if(Q6-$Q$4=-1,1,0),if(R6-$R$4=-1,1,0),if(S6-$S$4=-1,1,0),if(T6-$T$4=-1,1,0),if(U6-$U$4=-1,1,0))</f>
        <v>0</v>
      </c>
      <c r="AC6" s="38">
        <f t="array" ref="AC6">sum(if(D6-$D$4=0,1,0),if(E6-$E$4=0,1,0),if(F6-$F$4=0,1,0),if(G6-$G$4=0,1,0),if(H6-$H$4=0,1,0),if(I6-$I$4=0,1,0),if(J6-$J$4=0,1,0),if(K6-$K$4=0,1,0),if(L6-$L$4=0,1,0),if(M6-$M$4=0,1,0),if(N6-$N$4=0,1,0),if(O6-$O$4=0,1,0),if(P6-$P$4=0,1,0),if(Q6-$Q$4=0,1,0),if(R6-$R$4=0,1,0),if(S6-$S$4=0,1,0),if(T6-$T$4=0,1,0),if(U6-$U$4=0,1,0))</f>
        <v>4</v>
      </c>
      <c r="AD6" s="38">
        <f t="array" ref="AD6">sum(if(D6-$D$4=1,1,0),if(E6-$E$4=1,1,0),if(F6-$F$4=1,1,0),if(G6-$G$4=1,1,0),if(H6-$H$4=1,1,0),if(I6-$I$4=1,1,0),if(J6-$J$4=1,1,0),if(K6-$K$4=1,1,0),if(L6-$L$4=1,1,0),if(M6-$M$4=1,1,0),if(N6-$N$4=1,1,0),if(O6-$O$4=1,1,0),if(P6-$P$4=1,1,0),if(Q6-$Q$4=1,1,0),if(R6-$R$4=1,1,0),if(S6-$S$4=1,1,0),if(T6-$T$4=1,1,0),if(U6-$U$4=1,1,0))</f>
        <v>4</v>
      </c>
      <c r="AE6" s="38">
        <f t="array" ref="AE6">sum(if(D6-$D$4=2,1,0),if(E6-$E$4=2,1,0),if(F6-$F$4=2,1,0),if(G6-$G$4=2,1,0),if(H6-$H$4=2,1,0),if(I6-$I$4=2,1,0),if(J6-$J$4=2,1,0),if(K6-$K$4=2,1,0),if(L6-$L$4=2,1,0),if(M6-$M$4=2,1,0),if(N6-$N$4=2,1,0),if(O6-$O$4=2,1,0),if(P6-$P$4=2,1,0),if(Q6-$Q$4=2,1,0),if(R6-$R$4=2,1,0),if(S6-$S$4=2,1,0),if(T6-$T$4=2,1,0),if(U6-$U$4=2,1,0))</f>
        <v>5</v>
      </c>
      <c r="AF6" s="38">
        <f t="array" ref="AF6">sum(if(D6-$D$4=3,1,0),if(E6-$E$4=3,1,0),if(F6-$F$4=3,1,0),if(G6-$G$4=3,1,0),if(H6-$H$4=3,1,0),if(I6-$I$4=3,1,0),if(J6-$J$4=3,1,0),if(K6-$K$4=3,1,0),if(L6-$L$4=3,1,0),if(M6-$M$4=3,1,0),if(N6-$N$4=3,1,0),if(O6-$O$4=3,1,0),if(P6-$P$4=3,1,0),if(Q6-$Q$4=3,1,0),if(R6-$R$4=3,1,0),if(S6-$S$4=3,1,0),if(T6-$T$4=3,1,0),if(U6-$U$4=3,1,0))</f>
        <v>2</v>
      </c>
      <c r="AG6" s="38">
        <f t="array" ref="AG6">sum(if(D6-$D$4&gt;3,1,0),if(E6-$E$4&gt;3,1,0),if(F6-$F$4&gt;3,1,0),if(G6-$G$4&gt;3,1,0),if(H6-$H$4&gt;3,1,0),if(I6-$I$4&gt;3,1,0),if(J6-$J$4&gt;3,1,0),if(K6-$K$4&gt;3,1,0),if(L6-$L$4&gt;3,1,0),if(M6-$M$4&gt;3,1,0),if(N6-$N$4&gt;3,1,0),if(O6-$O$4&gt;3,1,0),if(P6-$P$4&gt;3,1,0),if(Q6-$Q$4&gt;3,1,0),if(R6-$R$4&gt;3,1,0),if(S6-$S$4&gt;3,1,0),if(T6-$T$4&gt;3,1,0),if(U6-$U$4&gt;3,1,0))</f>
        <v>3</v>
      </c>
      <c r="AH6" s="38">
        <f t="shared" si="5"/>
        <v>18</v>
      </c>
    </row>
    <row r="7" ht="12.75" customHeight="1">
      <c r="A7" s="32" t="str">
        <f>SETUP!A7</f>
        <v>Bob B</v>
      </c>
      <c r="B7" s="33">
        <f t="array" ref="B7">if(A7="","",index(SETUP!C:C,match(A7,SETUP!A:A,0)))</f>
        <v>20</v>
      </c>
      <c r="C7" s="34"/>
      <c r="D7" s="35">
        <v>5.0</v>
      </c>
      <c r="E7" s="35">
        <v>6.0</v>
      </c>
      <c r="F7" s="35">
        <v>5.0</v>
      </c>
      <c r="G7" s="35">
        <v>8.0</v>
      </c>
      <c r="H7" s="35">
        <v>6.0</v>
      </c>
      <c r="I7" s="35">
        <v>3.0</v>
      </c>
      <c r="J7" s="35">
        <v>8.0</v>
      </c>
      <c r="K7" s="35">
        <v>6.0</v>
      </c>
      <c r="L7" s="35">
        <v>6.0</v>
      </c>
      <c r="M7" s="35">
        <v>5.0</v>
      </c>
      <c r="N7" s="35">
        <v>5.0</v>
      </c>
      <c r="O7" s="35">
        <v>5.0</v>
      </c>
      <c r="P7" s="35">
        <v>3.0</v>
      </c>
      <c r="Q7" s="35">
        <v>5.0</v>
      </c>
      <c r="R7" s="35">
        <v>7.0</v>
      </c>
      <c r="S7" s="35">
        <v>6.0</v>
      </c>
      <c r="T7" s="35">
        <v>3.0</v>
      </c>
      <c r="U7" s="35">
        <v>4.0</v>
      </c>
      <c r="V7" s="36">
        <f t="shared" si="1"/>
        <v>53</v>
      </c>
      <c r="W7" s="36">
        <f t="shared" si="2"/>
        <v>43</v>
      </c>
      <c r="X7" s="36">
        <f t="shared" si="3"/>
        <v>96</v>
      </c>
      <c r="Y7" s="37">
        <f t="shared" si="4"/>
        <v>76</v>
      </c>
      <c r="Z7" s="38">
        <f t="array" ref="Z7">sum(if(D7-$D$4=-3,1,0),if(E7-$E$4=-3,1,0),if(F7-$F$4=-3,1,0),if(G7-$G$4=-3,1,0),if(H7-$H$4=-3,1,0),if(I7-$I$4=-3,1,0),if(J7-$J$4=-3,1,0),if(K7-$K$4=-3,1,0),if(L7-$L$4=-3,1,0),if(M7-$M$4=-3,1,0),if(N7-$N$4=-3,1,0),if(O7-$O$4=-3,1,0),if(P7-$P$4=-3,1,0),if(Q7-$Q$4=-3,1,0),if(R7-$R$4=-3,1,0),if(S7-$S$4=-3,1,0),if(T7-$T$4=-3,1,0),if(U7-$U$4=-3,1,0))</f>
        <v>0</v>
      </c>
      <c r="AA7" s="38">
        <f t="array" ref="AA7">sum(if(D7-$D$4=-2,1,0),if(E7-$E$4=-2,1,0),if(F7-$F$4=-2,1,0),if(G7-$G$4=-2,1,0),if(H7-$H$4=-2,1,0),if(I7-$I$4=-2,1,0),if(J7-$J$4=-2,1,0),if(K7-$K$4=-2,1,0),if(L7-$L$4=-2,1,0),if(M7-$M$4=-2,1,0),if(N7-$N$4=-2,1,0),if(O7-$O$4=-2,1,0),if(P7-$P$4=-2,1,0),if(Q7-$Q$4=-2,1,0),if(R7-$R$4=-2,1,0),if(S7-$S$4=-2,1,0),if(T7-$T$4=-2,1,0),if(U7-$U$4=-2,1,0))</f>
        <v>0</v>
      </c>
      <c r="AB7" s="38">
        <f t="array" ref="AB7">sum(if(D7-$D$4=-1,1,0),if(E7-$E$4=-1,1,0),if(F7-$F$4=-1,1,0),if(G7-$G$4=-1,1,0),if(H7-$H$4=-1,1,0),if(I7-$I$4=-1,1,0),if(J7-$J$4=-1,1,0),if(K7-$K$4=-1,1,0),if(L7-$L$4=-1,1,0),if(M7-$M$4=-1,1,0),if(N7-$N$4=-1,1,0),if(O7-$O$4=-1,1,0),if(P7-$P$4=-1,1,0),if(Q7-$Q$4=-1,1,0),if(R7-$R$4=-1,1,0),if(S7-$S$4=-1,1,0),if(T7-$T$4=-1,1,0),if(U7-$U$4=-1,1,0))</f>
        <v>0</v>
      </c>
      <c r="AC7" s="38">
        <f t="array" ref="AC7">sum(if(D7-$D$4=0,1,0),if(E7-$E$4=0,1,0),if(F7-$F$4=0,1,0),if(G7-$G$4=0,1,0),if(H7-$H$4=0,1,0),if(I7-$I$4=0,1,0),if(J7-$J$4=0,1,0),if(K7-$K$4=0,1,0),if(L7-$L$4=0,1,0),if(M7-$M$4=0,1,0),if(N7-$N$4=0,1,0),if(O7-$O$4=0,1,0),if(P7-$P$4=0,1,0),if(Q7-$Q$4=0,1,0),if(R7-$R$4=0,1,0),if(S7-$S$4=0,1,0),if(T7-$T$4=0,1,0),if(U7-$U$4=0,1,0))</f>
        <v>5</v>
      </c>
      <c r="AD7" s="38">
        <f t="array" ref="AD7">sum(if(D7-$D$4=1,1,0),if(E7-$E$4=1,1,0),if(F7-$F$4=1,1,0),if(G7-$G$4=1,1,0),if(H7-$H$4=1,1,0),if(I7-$I$4=1,1,0),if(J7-$J$4=1,1,0),if(K7-$K$4=1,1,0),if(L7-$L$4=1,1,0),if(M7-$M$4=1,1,0),if(N7-$N$4=1,1,0),if(O7-$O$4=1,1,0),if(P7-$P$4=1,1,0),if(Q7-$Q$4=1,1,0),if(R7-$R$4=1,1,0),if(S7-$S$4=1,1,0),if(T7-$T$4=1,1,0),if(U7-$U$4=1,1,0))</f>
        <v>6</v>
      </c>
      <c r="AE7" s="38">
        <f t="array" ref="AE7">sum(if(D7-$D$4=2,1,0),if(E7-$E$4=2,1,0),if(F7-$F$4=2,1,0),if(G7-$G$4=2,1,0),if(H7-$H$4=2,1,0),if(I7-$I$4=2,1,0),if(J7-$J$4=2,1,0),if(K7-$K$4=2,1,0),if(L7-$L$4=2,1,0),if(M7-$M$4=2,1,0),if(N7-$N$4=2,1,0),if(O7-$O$4=2,1,0),if(P7-$P$4=2,1,0),if(Q7-$Q$4=2,1,0),if(R7-$R$4=2,1,0),if(S7-$S$4=2,1,0),if(T7-$T$4=2,1,0),if(U7-$U$4=2,1,0))</f>
        <v>3</v>
      </c>
      <c r="AF7" s="38">
        <f t="array" ref="AF7">sum(if(D7-$D$4=3,1,0),if(E7-$E$4=3,1,0),if(F7-$F$4=3,1,0),if(G7-$G$4=3,1,0),if(H7-$H$4=3,1,0),if(I7-$I$4=3,1,0),if(J7-$J$4=3,1,0),if(K7-$K$4=3,1,0),if(L7-$L$4=3,1,0),if(M7-$M$4=3,1,0),if(N7-$N$4=3,1,0),if(O7-$O$4=3,1,0),if(P7-$P$4=3,1,0),if(Q7-$Q$4=3,1,0),if(R7-$R$4=3,1,0),if(S7-$S$4=3,1,0),if(T7-$T$4=3,1,0),if(U7-$U$4=3,1,0))</f>
        <v>4</v>
      </c>
      <c r="AG7" s="38">
        <f t="array" ref="AG7">sum(if(D7-$D$4&gt;3,1,0),if(E7-$E$4&gt;3,1,0),if(F7-$F$4&gt;3,1,0),if(G7-$G$4&gt;3,1,0),if(H7-$H$4&gt;3,1,0),if(I7-$I$4&gt;3,1,0),if(J7-$J$4&gt;3,1,0),if(K7-$K$4&gt;3,1,0),if(L7-$L$4&gt;3,1,0),if(M7-$M$4&gt;3,1,0),if(N7-$N$4&gt;3,1,0),if(O7-$O$4&gt;3,1,0),if(P7-$P$4&gt;3,1,0),if(Q7-$Q$4&gt;3,1,0),if(R7-$R$4&gt;3,1,0),if(S7-$S$4&gt;3,1,0),if(T7-$T$4&gt;3,1,0),if(U7-$U$4&gt;3,1,0))</f>
        <v>0</v>
      </c>
      <c r="AH7" s="38">
        <f t="shared" si="5"/>
        <v>18</v>
      </c>
    </row>
    <row r="8" ht="12.75" customHeight="1">
      <c r="A8" s="32" t="str">
        <f>SETUP!A8</f>
        <v>Brian K</v>
      </c>
      <c r="B8" s="33">
        <f t="array" ref="B8">if(A8="","",index(SETUP!C:C,match(A8,SETUP!A:A,0)))</f>
        <v>13</v>
      </c>
      <c r="C8" s="34"/>
      <c r="D8" s="35">
        <v>4.0</v>
      </c>
      <c r="E8" s="35">
        <v>6.0</v>
      </c>
      <c r="F8" s="35">
        <v>6.0</v>
      </c>
      <c r="G8" s="35">
        <v>7.0</v>
      </c>
      <c r="H8" s="35">
        <v>5.0</v>
      </c>
      <c r="I8" s="35">
        <v>4.0</v>
      </c>
      <c r="J8" s="35">
        <v>8.0</v>
      </c>
      <c r="K8" s="35">
        <v>5.0</v>
      </c>
      <c r="L8" s="35">
        <v>4.0</v>
      </c>
      <c r="M8" s="35">
        <v>4.0</v>
      </c>
      <c r="N8" s="35">
        <v>8.0</v>
      </c>
      <c r="O8" s="35">
        <v>4.0</v>
      </c>
      <c r="P8" s="35">
        <v>3.0</v>
      </c>
      <c r="Q8" s="35">
        <v>4.0</v>
      </c>
      <c r="R8" s="35">
        <v>4.0</v>
      </c>
      <c r="S8" s="35">
        <v>6.0</v>
      </c>
      <c r="T8" s="35">
        <v>3.0</v>
      </c>
      <c r="U8" s="35">
        <v>4.0</v>
      </c>
      <c r="V8" s="36">
        <f t="shared" si="1"/>
        <v>49</v>
      </c>
      <c r="W8" s="36">
        <f t="shared" si="2"/>
        <v>40</v>
      </c>
      <c r="X8" s="36">
        <f t="shared" si="3"/>
        <v>89</v>
      </c>
      <c r="Y8" s="37">
        <f t="shared" si="4"/>
        <v>76</v>
      </c>
      <c r="Z8" s="38">
        <f t="array" ref="Z8">sum(if(D8-$D$4=-3,1,0),if(E8-$E$4=-3,1,0),if(F8-$F$4=-3,1,0),if(G8-$G$4=-3,1,0),if(H8-$H$4=-3,1,0),if(I8-$I$4=-3,1,0),if(J8-$J$4=-3,1,0),if(K8-$K$4=-3,1,0),if(L8-$L$4=-3,1,0),if(M8-$M$4=-3,1,0),if(N8-$N$4=-3,1,0),if(O8-$O$4=-3,1,0),if(P8-$P$4=-3,1,0),if(Q8-$Q$4=-3,1,0),if(R8-$R$4=-3,1,0),if(S8-$S$4=-3,1,0),if(T8-$T$4=-3,1,0),if(U8-$U$4=-3,1,0))</f>
        <v>0</v>
      </c>
      <c r="AA8" s="38">
        <f t="array" ref="AA8">sum(if(D8-$D$4=-2,1,0),if(E8-$E$4=-2,1,0),if(F8-$F$4=-2,1,0),if(G8-$G$4=-2,1,0),if(H8-$H$4=-2,1,0),if(I8-$I$4=-2,1,0),if(J8-$J$4=-2,1,0),if(K8-$K$4=-2,1,0),if(L8-$L$4=-2,1,0),if(M8-$M$4=-2,1,0),if(N8-$N$4=-2,1,0),if(O8-$O$4=-2,1,0),if(P8-$P$4=-2,1,0),if(Q8-$Q$4=-2,1,0),if(R8-$R$4=-2,1,0),if(S8-$S$4=-2,1,0),if(T8-$T$4=-2,1,0),if(U8-$U$4=-2,1,0))</f>
        <v>0</v>
      </c>
      <c r="AB8" s="38">
        <f t="array" ref="AB8">sum(if(D8-$D$4=-1,1,0),if(E8-$E$4=-1,1,0),if(F8-$F$4=-1,1,0),if(G8-$G$4=-1,1,0),if(H8-$H$4=-1,1,0),if(I8-$I$4=-1,1,0),if(J8-$J$4=-1,1,0),if(K8-$K$4=-1,1,0),if(L8-$L$4=-1,1,0),if(M8-$M$4=-1,1,0),if(N8-$N$4=-1,1,0),if(O8-$O$4=-1,1,0),if(P8-$P$4=-1,1,0),if(Q8-$Q$4=-1,1,0),if(R8-$R$4=-1,1,0),if(S8-$S$4=-1,1,0),if(T8-$T$4=-1,1,0),if(U8-$U$4=-1,1,0))</f>
        <v>0</v>
      </c>
      <c r="AC8" s="38">
        <f t="array" ref="AC8">sum(if(D8-$D$4=0,1,0),if(E8-$E$4=0,1,0),if(F8-$F$4=0,1,0),if(G8-$G$4=0,1,0),if(H8-$H$4=0,1,0),if(I8-$I$4=0,1,0),if(J8-$J$4=0,1,0),if(K8-$K$4=0,1,0),if(L8-$L$4=0,1,0),if(M8-$M$4=0,1,0),if(N8-$N$4=0,1,0),if(O8-$O$4=0,1,0),if(P8-$P$4=0,1,0),if(Q8-$Q$4=0,1,0),if(R8-$R$4=0,1,0),if(S8-$S$4=0,1,0),if(T8-$T$4=0,1,0),if(U8-$U$4=0,1,0))</f>
        <v>8</v>
      </c>
      <c r="AD8" s="38">
        <f t="array" ref="AD8">sum(if(D8-$D$4=1,1,0),if(E8-$E$4=1,1,0),if(F8-$F$4=1,1,0),if(G8-$G$4=1,1,0),if(H8-$H$4=1,1,0),if(I8-$I$4=1,1,0),if(J8-$J$4=1,1,0),if(K8-$K$4=1,1,0),if(L8-$L$4=1,1,0),if(M8-$M$4=1,1,0),if(N8-$N$4=1,1,0),if(O8-$O$4=1,1,0),if(P8-$P$4=1,1,0),if(Q8-$Q$4=1,1,0),if(R8-$R$4=1,1,0),if(S8-$S$4=1,1,0),if(T8-$T$4=1,1,0),if(U8-$U$4=1,1,0))</f>
        <v>5</v>
      </c>
      <c r="AE8" s="38">
        <f t="array" ref="AE8">sum(if(D8-$D$4=2,1,0),if(E8-$E$4=2,1,0),if(F8-$F$4=2,1,0),if(G8-$G$4=2,1,0),if(H8-$H$4=2,1,0),if(I8-$I$4=2,1,0),if(J8-$J$4=2,1,0),if(K8-$K$4=2,1,0),if(L8-$L$4=2,1,0),if(M8-$M$4=2,1,0),if(N8-$N$4=2,1,0),if(O8-$O$4=2,1,0),if(P8-$P$4=2,1,0),if(Q8-$Q$4=2,1,0),if(R8-$R$4=2,1,0),if(S8-$S$4=2,1,0),if(T8-$T$4=2,1,0),if(U8-$U$4=2,1,0))</f>
        <v>3</v>
      </c>
      <c r="AF8" s="38">
        <f t="array" ref="AF8">sum(if(D8-$D$4=3,1,0),if(E8-$E$4=3,1,0),if(F8-$F$4=3,1,0),if(G8-$G$4=3,1,0),if(H8-$H$4=3,1,0),if(I8-$I$4=3,1,0),if(J8-$J$4=3,1,0),if(K8-$K$4=3,1,0),if(L8-$L$4=3,1,0),if(M8-$M$4=3,1,0),if(N8-$N$4=3,1,0),if(O8-$O$4=3,1,0),if(P8-$P$4=3,1,0),if(Q8-$Q$4=3,1,0),if(R8-$R$4=3,1,0),if(S8-$S$4=3,1,0),if(T8-$T$4=3,1,0),if(U8-$U$4=3,1,0))</f>
        <v>2</v>
      </c>
      <c r="AG8" s="38">
        <f t="array" ref="AG8">sum(if(D8-$D$4&gt;3,1,0),if(E8-$E$4&gt;3,1,0),if(F8-$F$4&gt;3,1,0),if(G8-$G$4&gt;3,1,0),if(H8-$H$4&gt;3,1,0),if(I8-$I$4&gt;3,1,0),if(J8-$J$4&gt;3,1,0),if(K8-$K$4&gt;3,1,0),if(L8-$L$4&gt;3,1,0),if(M8-$M$4&gt;3,1,0),if(N8-$N$4&gt;3,1,0),if(O8-$O$4&gt;3,1,0),if(P8-$P$4&gt;3,1,0),if(Q8-$Q$4&gt;3,1,0),if(R8-$R$4&gt;3,1,0),if(S8-$S$4&gt;3,1,0),if(T8-$T$4&gt;3,1,0),if(U8-$U$4&gt;3,1,0))</f>
        <v>0</v>
      </c>
      <c r="AH8" s="38">
        <f t="shared" si="5"/>
        <v>18</v>
      </c>
    </row>
    <row r="9" ht="12.75" customHeight="1">
      <c r="A9" s="32" t="str">
        <f>SETUP!A9</f>
        <v>Dave K</v>
      </c>
      <c r="B9" s="33">
        <f t="array" ref="B9">if(A9="","",index(SETUP!C:C,match(A9,SETUP!A:A,0)))</f>
        <v>20</v>
      </c>
      <c r="C9" s="34"/>
      <c r="D9" s="35">
        <v>5.0</v>
      </c>
      <c r="E9" s="35">
        <v>5.0</v>
      </c>
      <c r="F9" s="35">
        <v>4.0</v>
      </c>
      <c r="G9" s="35">
        <v>8.0</v>
      </c>
      <c r="H9" s="35">
        <v>4.0</v>
      </c>
      <c r="I9" s="35">
        <v>5.0</v>
      </c>
      <c r="J9" s="35">
        <v>8.0</v>
      </c>
      <c r="K9" s="35">
        <v>4.0</v>
      </c>
      <c r="L9" s="35">
        <v>5.0</v>
      </c>
      <c r="M9" s="35">
        <v>5.0</v>
      </c>
      <c r="N9" s="35">
        <v>5.0</v>
      </c>
      <c r="O9" s="35">
        <v>5.0</v>
      </c>
      <c r="P9" s="35">
        <v>5.0</v>
      </c>
      <c r="Q9" s="35">
        <v>5.0</v>
      </c>
      <c r="R9" s="35">
        <v>5.0</v>
      </c>
      <c r="S9" s="35">
        <v>7.0</v>
      </c>
      <c r="T9" s="35">
        <v>4.0</v>
      </c>
      <c r="U9" s="35">
        <v>4.0</v>
      </c>
      <c r="V9" s="36">
        <f t="shared" si="1"/>
        <v>48</v>
      </c>
      <c r="W9" s="36">
        <f t="shared" si="2"/>
        <v>45</v>
      </c>
      <c r="X9" s="36">
        <f t="shared" si="3"/>
        <v>93</v>
      </c>
      <c r="Y9" s="37">
        <f t="shared" si="4"/>
        <v>73</v>
      </c>
      <c r="Z9" s="38">
        <f t="array" ref="Z9">sum(if(D9-$D$4=-3,1,0),if(E9-$E$4=-3,1,0),if(F9-$F$4=-3,1,0),if(G9-$G$4=-3,1,0),if(H9-$H$4=-3,1,0),if(I9-$I$4=-3,1,0),if(J9-$J$4=-3,1,0),if(K9-$K$4=-3,1,0),if(L9-$L$4=-3,1,0),if(M9-$M$4=-3,1,0),if(N9-$N$4=-3,1,0),if(O9-$O$4=-3,1,0),if(P9-$P$4=-3,1,0),if(Q9-$Q$4=-3,1,0),if(R9-$R$4=-3,1,0),if(S9-$S$4=-3,1,0),if(T9-$T$4=-3,1,0),if(U9-$U$4=-3,1,0))</f>
        <v>0</v>
      </c>
      <c r="AA9" s="38">
        <f t="array" ref="AA9">sum(if(D9-$D$4=-2,1,0),if(E9-$E$4=-2,1,0),if(F9-$F$4=-2,1,0),if(G9-$G$4=-2,1,0),if(H9-$H$4=-2,1,0),if(I9-$I$4=-2,1,0),if(J9-$J$4=-2,1,0),if(K9-$K$4=-2,1,0),if(L9-$L$4=-2,1,0),if(M9-$M$4=-2,1,0),if(N9-$N$4=-2,1,0),if(O9-$O$4=-2,1,0),if(P9-$P$4=-2,1,0),if(Q9-$Q$4=-2,1,0),if(R9-$R$4=-2,1,0),if(S9-$S$4=-2,1,0),if(T9-$T$4=-2,1,0),if(U9-$U$4=-2,1,0))</f>
        <v>0</v>
      </c>
      <c r="AB9" s="38">
        <f t="array" ref="AB9">sum(if(D9-$D$4=-1,1,0),if(E9-$E$4=-1,1,0),if(F9-$F$4=-1,1,0),if(G9-$G$4=-1,1,0),if(H9-$H$4=-1,1,0),if(I9-$I$4=-1,1,0),if(J9-$J$4=-1,1,0),if(K9-$K$4=-1,1,0),if(L9-$L$4=-1,1,0),if(M9-$M$4=-1,1,0),if(N9-$N$4=-1,1,0),if(O9-$O$4=-1,1,0),if(P9-$P$4=-1,1,0),if(Q9-$Q$4=-1,1,0),if(R9-$R$4=-1,1,0),if(S9-$S$4=-1,1,0),if(T9-$T$4=-1,1,0),if(U9-$U$4=-1,1,0))</f>
        <v>0</v>
      </c>
      <c r="AC9" s="38">
        <f t="array" ref="AC9">sum(if(D9-$D$4=0,1,0),if(E9-$E$4=0,1,0),if(F9-$F$4=0,1,0),if(G9-$G$4=0,1,0),if(H9-$H$4=0,1,0),if(I9-$I$4=0,1,0),if(J9-$J$4=0,1,0),if(K9-$K$4=0,1,0),if(L9-$L$4=0,1,0),if(M9-$M$4=0,1,0),if(N9-$N$4=0,1,0),if(O9-$O$4=0,1,0),if(P9-$P$4=0,1,0),if(Q9-$Q$4=0,1,0),if(R9-$R$4=0,1,0),if(S9-$S$4=0,1,0),if(T9-$T$4=0,1,0),if(U9-$U$4=0,1,0))</f>
        <v>5</v>
      </c>
      <c r="AD9" s="38">
        <f t="array" ref="AD9">sum(if(D9-$D$4=1,1,0),if(E9-$E$4=1,1,0),if(F9-$F$4=1,1,0),if(G9-$G$4=1,1,0),if(H9-$H$4=1,1,0),if(I9-$I$4=1,1,0),if(J9-$J$4=1,1,0),if(K9-$K$4=1,1,0),if(L9-$L$4=1,1,0),if(M9-$M$4=1,1,0),if(N9-$N$4=1,1,0),if(O9-$O$4=1,1,0),if(P9-$P$4=1,1,0),if(Q9-$Q$4=1,1,0),if(R9-$R$4=1,1,0),if(S9-$S$4=1,1,0),if(T9-$T$4=1,1,0),if(U9-$U$4=1,1,0))</f>
        <v>7</v>
      </c>
      <c r="AE9" s="38">
        <f t="array" ref="AE9">sum(if(D9-$D$4=2,1,0),if(E9-$E$4=2,1,0),if(F9-$F$4=2,1,0),if(G9-$G$4=2,1,0),if(H9-$H$4=2,1,0),if(I9-$I$4=2,1,0),if(J9-$J$4=2,1,0),if(K9-$K$4=2,1,0),if(L9-$L$4=2,1,0),if(M9-$M$4=2,1,0),if(N9-$N$4=2,1,0),if(O9-$O$4=2,1,0),if(P9-$P$4=2,1,0),if(Q9-$Q$4=2,1,0),if(R9-$R$4=2,1,0),if(S9-$S$4=2,1,0),if(T9-$T$4=2,1,0),if(U9-$U$4=2,1,0))</f>
        <v>4</v>
      </c>
      <c r="AF9" s="38">
        <f t="array" ref="AF9">sum(if(D9-$D$4=3,1,0),if(E9-$E$4=3,1,0),if(F9-$F$4=3,1,0),if(G9-$G$4=3,1,0),if(H9-$H$4=3,1,0),if(I9-$I$4=3,1,0),if(J9-$J$4=3,1,0),if(K9-$K$4=3,1,0),if(L9-$L$4=3,1,0),if(M9-$M$4=3,1,0),if(N9-$N$4=3,1,0),if(O9-$O$4=3,1,0),if(P9-$P$4=3,1,0),if(Q9-$Q$4=3,1,0),if(R9-$R$4=3,1,0),if(S9-$S$4=3,1,0),if(T9-$T$4=3,1,0),if(U9-$U$4=3,1,0))</f>
        <v>2</v>
      </c>
      <c r="AG9" s="38">
        <f t="array" ref="AG9">sum(if(D9-$D$4&gt;3,1,0),if(E9-$E$4&gt;3,1,0),if(F9-$F$4&gt;3,1,0),if(G9-$G$4&gt;3,1,0),if(H9-$H$4&gt;3,1,0),if(I9-$I$4&gt;3,1,0),if(J9-$J$4&gt;3,1,0),if(K9-$K$4&gt;3,1,0),if(L9-$L$4&gt;3,1,0),if(M9-$M$4&gt;3,1,0),if(N9-$N$4&gt;3,1,0),if(O9-$O$4&gt;3,1,0),if(P9-$P$4&gt;3,1,0),if(Q9-$Q$4&gt;3,1,0),if(R9-$R$4&gt;3,1,0),if(S9-$S$4&gt;3,1,0),if(T9-$T$4&gt;3,1,0),if(U9-$U$4&gt;3,1,0))</f>
        <v>0</v>
      </c>
      <c r="AH9" s="38">
        <f t="shared" si="5"/>
        <v>18</v>
      </c>
    </row>
    <row r="10" ht="12.75" customHeight="1">
      <c r="A10" s="32" t="str">
        <f>SETUP!A10</f>
        <v>Eric O</v>
      </c>
      <c r="B10" s="33">
        <f t="array" ref="B10">if(A10="","",index(SETUP!C:C,match(A10,SETUP!A:A,0)))</f>
        <v>19</v>
      </c>
      <c r="C10" s="34"/>
      <c r="D10" s="35">
        <v>4.0</v>
      </c>
      <c r="E10" s="35">
        <v>4.0</v>
      </c>
      <c r="F10" s="35">
        <v>5.0</v>
      </c>
      <c r="G10" s="35">
        <v>6.0</v>
      </c>
      <c r="H10" s="35">
        <v>6.0</v>
      </c>
      <c r="I10" s="35">
        <v>5.0</v>
      </c>
      <c r="J10" s="35">
        <v>7.0</v>
      </c>
      <c r="K10" s="35">
        <v>8.0</v>
      </c>
      <c r="L10" s="35">
        <v>4.0</v>
      </c>
      <c r="M10" s="35">
        <v>5.0</v>
      </c>
      <c r="N10" s="35">
        <v>6.0</v>
      </c>
      <c r="O10" s="35">
        <v>7.0</v>
      </c>
      <c r="P10" s="35">
        <v>6.0</v>
      </c>
      <c r="Q10" s="35">
        <v>4.0</v>
      </c>
      <c r="R10" s="35">
        <v>6.0</v>
      </c>
      <c r="S10" s="35">
        <v>7.0</v>
      </c>
      <c r="T10" s="35">
        <v>4.0</v>
      </c>
      <c r="U10" s="35">
        <v>7.0</v>
      </c>
      <c r="V10" s="36">
        <f t="shared" si="1"/>
        <v>49</v>
      </c>
      <c r="W10" s="36">
        <f t="shared" si="2"/>
        <v>52</v>
      </c>
      <c r="X10" s="36">
        <f t="shared" si="3"/>
        <v>101</v>
      </c>
      <c r="Y10" s="37">
        <f t="shared" si="4"/>
        <v>82</v>
      </c>
      <c r="Z10" s="38">
        <f t="array" ref="Z10">sum(if(D10-$D$4=-3,1,0),if(E10-$E$4=-3,1,0),if(F10-$F$4=-3,1,0),if(G10-$G$4=-3,1,0),if(H10-$H$4=-3,1,0),if(I10-$I$4=-3,1,0),if(J10-$J$4=-3,1,0),if(K10-$K$4=-3,1,0),if(L10-$L$4=-3,1,0),if(M10-$M$4=-3,1,0),if(N10-$N$4=-3,1,0),if(O10-$O$4=-3,1,0),if(P10-$P$4=-3,1,0),if(Q10-$Q$4=-3,1,0),if(R10-$R$4=-3,1,0),if(S10-$S$4=-3,1,0),if(T10-$T$4=-3,1,0),if(U10-$U$4=-3,1,0))</f>
        <v>0</v>
      </c>
      <c r="AA10" s="38">
        <f t="array" ref="AA10">sum(if(D10-$D$4=-2,1,0),if(E10-$E$4=-2,1,0),if(F10-$F$4=-2,1,0),if(G10-$G$4=-2,1,0),if(H10-$H$4=-2,1,0),if(I10-$I$4=-2,1,0),if(J10-$J$4=-2,1,0),if(K10-$K$4=-2,1,0),if(L10-$L$4=-2,1,0),if(M10-$M$4=-2,1,0),if(N10-$N$4=-2,1,0),if(O10-$O$4=-2,1,0),if(P10-$P$4=-2,1,0),if(Q10-$Q$4=-2,1,0),if(R10-$R$4=-2,1,0),if(S10-$S$4=-2,1,0),if(T10-$T$4=-2,1,0),if(U10-$U$4=-2,1,0))</f>
        <v>0</v>
      </c>
      <c r="AB10" s="38">
        <f t="array" ref="AB10">sum(if(D10-$D$4=-1,1,0),if(E10-$E$4=-1,1,0),if(F10-$F$4=-1,1,0),if(G10-$G$4=-1,1,0),if(H10-$H$4=-1,1,0),if(I10-$I$4=-1,1,0),if(J10-$J$4=-1,1,0),if(K10-$K$4=-1,1,0),if(L10-$L$4=-1,1,0),if(M10-$M$4=-1,1,0),if(N10-$N$4=-1,1,0),if(O10-$O$4=-1,1,0),if(P10-$P$4=-1,1,0),if(Q10-$Q$4=-1,1,0),if(R10-$R$4=-1,1,0),if(S10-$S$4=-1,1,0),if(T10-$T$4=-1,1,0),if(U10-$U$4=-1,1,0))</f>
        <v>0</v>
      </c>
      <c r="AC10" s="38">
        <f t="array" ref="AC10">sum(if(D10-$D$4=0,1,0),if(E10-$E$4=0,1,0),if(F10-$F$4=0,1,0),if(G10-$G$4=0,1,0),if(H10-$H$4=0,1,0),if(I10-$I$4=0,1,0),if(J10-$J$4=0,1,0),if(K10-$K$4=0,1,0),if(L10-$L$4=0,1,0),if(M10-$M$4=0,1,0),if(N10-$N$4=0,1,0),if(O10-$O$4=0,1,0),if(P10-$P$4=0,1,0),if(Q10-$Q$4=0,1,0),if(R10-$R$4=0,1,0),if(S10-$S$4=0,1,0),if(T10-$T$4=0,1,0),if(U10-$U$4=0,1,0))</f>
        <v>3</v>
      </c>
      <c r="AD10" s="38">
        <f t="array" ref="AD10">sum(if(D10-$D$4=1,1,0),if(E10-$E$4=1,1,0),if(F10-$F$4=1,1,0),if(G10-$G$4=1,1,0),if(H10-$H$4=1,1,0),if(I10-$I$4=1,1,0),if(J10-$J$4=1,1,0),if(K10-$K$4=1,1,0),if(L10-$L$4=1,1,0),if(M10-$M$4=1,1,0),if(N10-$N$4=1,1,0),if(O10-$O$4=1,1,0),if(P10-$P$4=1,1,0),if(Q10-$Q$4=1,1,0),if(R10-$R$4=1,1,0),if(S10-$S$4=1,1,0),if(T10-$T$4=1,1,0),if(U10-$U$4=1,1,0))</f>
        <v>6</v>
      </c>
      <c r="AE10" s="38">
        <f t="array" ref="AE10">sum(if(D10-$D$4=2,1,0),if(E10-$E$4=2,1,0),if(F10-$F$4=2,1,0),if(G10-$G$4=2,1,0),if(H10-$H$4=2,1,0),if(I10-$I$4=2,1,0),if(J10-$J$4=2,1,0),if(K10-$K$4=2,1,0),if(L10-$L$4=2,1,0),if(M10-$M$4=2,1,0),if(N10-$N$4=2,1,0),if(O10-$O$4=2,1,0),if(P10-$P$4=2,1,0),if(Q10-$Q$4=2,1,0),if(R10-$R$4=2,1,0),if(S10-$S$4=2,1,0),if(T10-$T$4=2,1,0),if(U10-$U$4=2,1,0))</f>
        <v>5</v>
      </c>
      <c r="AF10" s="38">
        <f t="array" ref="AF10">sum(if(D10-$D$4=3,1,0),if(E10-$E$4=3,1,0),if(F10-$F$4=3,1,0),if(G10-$G$4=3,1,0),if(H10-$H$4=3,1,0),if(I10-$I$4=3,1,0),if(J10-$J$4=3,1,0),if(K10-$K$4=3,1,0),if(L10-$L$4=3,1,0),if(M10-$M$4=3,1,0),if(N10-$N$4=3,1,0),if(O10-$O$4=3,1,0),if(P10-$P$4=3,1,0),if(Q10-$Q$4=3,1,0),if(R10-$R$4=3,1,0),if(S10-$S$4=3,1,0),if(T10-$T$4=3,1,0),if(U10-$U$4=3,1,0))</f>
        <v>3</v>
      </c>
      <c r="AG10" s="38">
        <f t="array" ref="AG10">sum(if(D10-$D$4&gt;3,1,0),if(E10-$E$4&gt;3,1,0),if(F10-$F$4&gt;3,1,0),if(G10-$G$4&gt;3,1,0),if(H10-$H$4&gt;3,1,0),if(I10-$I$4&gt;3,1,0),if(J10-$J$4&gt;3,1,0),if(K10-$K$4&gt;3,1,0),if(L10-$L$4&gt;3,1,0),if(M10-$M$4&gt;3,1,0),if(N10-$N$4&gt;3,1,0),if(O10-$O$4&gt;3,1,0),if(P10-$P$4&gt;3,1,0),if(Q10-$Q$4&gt;3,1,0),if(R10-$R$4&gt;3,1,0),if(S10-$S$4&gt;3,1,0),if(T10-$T$4&gt;3,1,0),if(U10-$U$4&gt;3,1,0))</f>
        <v>1</v>
      </c>
      <c r="AH10" s="38">
        <f t="shared" si="5"/>
        <v>18</v>
      </c>
    </row>
    <row r="11" ht="12.75" customHeight="1">
      <c r="A11" s="32" t="str">
        <f>SETUP!A11</f>
        <v>Jeff B</v>
      </c>
      <c r="B11" s="33">
        <f t="array" ref="B11">if(A11="","",index(SETUP!C:C,match(A11,SETUP!A:A,0)))</f>
        <v>22</v>
      </c>
      <c r="C11" s="34"/>
      <c r="D11" s="35">
        <v>4.0</v>
      </c>
      <c r="E11" s="35">
        <v>6.0</v>
      </c>
      <c r="F11" s="35">
        <v>6.0</v>
      </c>
      <c r="G11" s="35">
        <v>5.0</v>
      </c>
      <c r="H11" s="35">
        <v>6.0</v>
      </c>
      <c r="I11" s="35">
        <v>4.0</v>
      </c>
      <c r="J11" s="35">
        <v>9.0</v>
      </c>
      <c r="K11" s="35">
        <v>5.0</v>
      </c>
      <c r="L11" s="35">
        <v>4.0</v>
      </c>
      <c r="M11" s="35">
        <v>4.0</v>
      </c>
      <c r="N11" s="35">
        <v>5.0</v>
      </c>
      <c r="O11" s="35">
        <v>6.0</v>
      </c>
      <c r="P11" s="35">
        <v>4.0</v>
      </c>
      <c r="Q11" s="35">
        <v>8.0</v>
      </c>
      <c r="R11" s="35">
        <v>6.0</v>
      </c>
      <c r="S11" s="35">
        <v>7.0</v>
      </c>
      <c r="T11" s="35">
        <v>5.0</v>
      </c>
      <c r="U11" s="35">
        <v>5.0</v>
      </c>
      <c r="V11" s="36">
        <f t="shared" si="1"/>
        <v>49</v>
      </c>
      <c r="W11" s="36">
        <f t="shared" si="2"/>
        <v>50</v>
      </c>
      <c r="X11" s="36">
        <f t="shared" si="3"/>
        <v>99</v>
      </c>
      <c r="Y11" s="37">
        <f t="shared" si="4"/>
        <v>77</v>
      </c>
      <c r="Z11" s="38">
        <f t="array" ref="Z11">sum(if(D11-$D$4=-3,1,0),if(E11-$E$4=-3,1,0),if(F11-$F$4=-3,1,0),if(G11-$G$4=-3,1,0),if(H11-$H$4=-3,1,0),if(I11-$I$4=-3,1,0),if(J11-$J$4=-3,1,0),if(K11-$K$4=-3,1,0),if(L11-$L$4=-3,1,0),if(M11-$M$4=-3,1,0),if(N11-$N$4=-3,1,0),if(O11-$O$4=-3,1,0),if(P11-$P$4=-3,1,0),if(Q11-$Q$4=-3,1,0),if(R11-$R$4=-3,1,0),if(S11-$S$4=-3,1,0),if(T11-$T$4=-3,1,0),if(U11-$U$4=-3,1,0))</f>
        <v>0</v>
      </c>
      <c r="AA11" s="38">
        <f t="array" ref="AA11">sum(if(D11-$D$4=-2,1,0),if(E11-$E$4=-2,1,0),if(F11-$F$4=-2,1,0),if(G11-$G$4=-2,1,0),if(H11-$H$4=-2,1,0),if(I11-$I$4=-2,1,0),if(J11-$J$4=-2,1,0),if(K11-$K$4=-2,1,0),if(L11-$L$4=-2,1,0),if(M11-$M$4=-2,1,0),if(N11-$N$4=-2,1,0),if(O11-$O$4=-2,1,0),if(P11-$P$4=-2,1,0),if(Q11-$Q$4=-2,1,0),if(R11-$R$4=-2,1,0),if(S11-$S$4=-2,1,0),if(T11-$T$4=-2,1,0),if(U11-$U$4=-2,1,0))</f>
        <v>0</v>
      </c>
      <c r="AB11" s="38">
        <f t="array" ref="AB11">sum(if(D11-$D$4=-1,1,0),if(E11-$E$4=-1,1,0),if(F11-$F$4=-1,1,0),if(G11-$G$4=-1,1,0),if(H11-$H$4=-1,1,0),if(I11-$I$4=-1,1,0),if(J11-$J$4=-1,1,0),if(K11-$K$4=-1,1,0),if(L11-$L$4=-1,1,0),if(M11-$M$4=-1,1,0),if(N11-$N$4=-1,1,0),if(O11-$O$4=-1,1,0),if(P11-$P$4=-1,1,0),if(Q11-$Q$4=-1,1,0),if(R11-$R$4=-1,1,0),if(S11-$S$4=-1,1,0),if(T11-$T$4=-1,1,0),if(U11-$U$4=-1,1,0))</f>
        <v>0</v>
      </c>
      <c r="AC11" s="38">
        <f t="array" ref="AC11">sum(if(D11-$D$4=0,1,0),if(E11-$E$4=0,1,0),if(F11-$F$4=0,1,0),if(G11-$G$4=0,1,0),if(H11-$H$4=0,1,0),if(I11-$I$4=0,1,0),if(J11-$J$4=0,1,0),if(K11-$K$4=0,1,0),if(L11-$L$4=0,1,0),if(M11-$M$4=0,1,0),if(N11-$N$4=0,1,0),if(O11-$O$4=0,1,0),if(P11-$P$4=0,1,0),if(Q11-$Q$4=0,1,0),if(R11-$R$4=0,1,0),if(S11-$S$4=0,1,0),if(T11-$T$4=0,1,0),if(U11-$U$4=0,1,0))</f>
        <v>4</v>
      </c>
      <c r="AD11" s="38">
        <f t="array" ref="AD11">sum(if(D11-$D$4=1,1,0),if(E11-$E$4=1,1,0),if(F11-$F$4=1,1,0),if(G11-$G$4=1,1,0),if(H11-$H$4=1,1,0),if(I11-$I$4=1,1,0),if(J11-$J$4=1,1,0),if(K11-$K$4=1,1,0),if(L11-$L$4=1,1,0),if(M11-$M$4=1,1,0),if(N11-$N$4=1,1,0),if(O11-$O$4=1,1,0),if(P11-$P$4=1,1,0),if(Q11-$Q$4=1,1,0),if(R11-$R$4=1,1,0),if(S11-$S$4=1,1,0),if(T11-$T$4=1,1,0),if(U11-$U$4=1,1,0))</f>
        <v>5</v>
      </c>
      <c r="AE11" s="38">
        <f t="array" ref="AE11">sum(if(D11-$D$4=2,1,0),if(E11-$E$4=2,1,0),if(F11-$F$4=2,1,0),if(G11-$G$4=2,1,0),if(H11-$H$4=2,1,0),if(I11-$I$4=2,1,0),if(J11-$J$4=2,1,0),if(K11-$K$4=2,1,0),if(L11-$L$4=2,1,0),if(M11-$M$4=2,1,0),if(N11-$N$4=2,1,0),if(O11-$O$4=2,1,0),if(P11-$P$4=2,1,0),if(Q11-$Q$4=2,1,0),if(R11-$R$4=2,1,0),if(S11-$S$4=2,1,0),if(T11-$T$4=2,1,0),if(U11-$U$4=2,1,0))</f>
        <v>7</v>
      </c>
      <c r="AF11" s="38">
        <f t="array" ref="AF11">sum(if(D11-$D$4=3,1,0),if(E11-$E$4=3,1,0),if(F11-$F$4=3,1,0),if(G11-$G$4=3,1,0),if(H11-$H$4=3,1,0),if(I11-$I$4=3,1,0),if(J11-$J$4=3,1,0),if(K11-$K$4=3,1,0),if(L11-$L$4=3,1,0),if(M11-$M$4=3,1,0),if(N11-$N$4=3,1,0),if(O11-$O$4=3,1,0),if(P11-$P$4=3,1,0),if(Q11-$Q$4=3,1,0),if(R11-$R$4=3,1,0),if(S11-$S$4=3,1,0),if(T11-$T$4=3,1,0),if(U11-$U$4=3,1,0))</f>
        <v>0</v>
      </c>
      <c r="AG11" s="38">
        <f t="array" ref="AG11">sum(if(D11-$D$4&gt;3,1,0),if(E11-$E$4&gt;3,1,0),if(F11-$F$4&gt;3,1,0),if(G11-$G$4&gt;3,1,0),if(H11-$H$4&gt;3,1,0),if(I11-$I$4&gt;3,1,0),if(J11-$J$4&gt;3,1,0),if(K11-$K$4&gt;3,1,0),if(L11-$L$4&gt;3,1,0),if(M11-$M$4&gt;3,1,0),if(N11-$N$4&gt;3,1,0),if(O11-$O$4&gt;3,1,0),if(P11-$P$4&gt;3,1,0),if(Q11-$Q$4&gt;3,1,0),if(R11-$R$4&gt;3,1,0),if(S11-$S$4&gt;3,1,0),if(T11-$T$4&gt;3,1,0),if(U11-$U$4&gt;3,1,0))</f>
        <v>2</v>
      </c>
      <c r="AH11" s="38">
        <f t="shared" si="5"/>
        <v>18</v>
      </c>
    </row>
    <row r="12" ht="12.75" customHeight="1">
      <c r="A12" s="32" t="str">
        <f>SETUP!A12</f>
        <v>Joe S</v>
      </c>
      <c r="B12" s="33">
        <f t="array" ref="B12">if(A12="","",index(SETUP!C:C,match(A12,SETUP!A:A,0)))</f>
        <v>15</v>
      </c>
      <c r="C12" s="34"/>
      <c r="D12" s="35">
        <v>5.0</v>
      </c>
      <c r="E12" s="35">
        <v>5.0</v>
      </c>
      <c r="F12" s="35">
        <v>5.0</v>
      </c>
      <c r="G12" s="35">
        <v>7.0</v>
      </c>
      <c r="H12" s="35">
        <v>5.0</v>
      </c>
      <c r="I12" s="35">
        <v>4.0</v>
      </c>
      <c r="J12" s="35">
        <v>6.0</v>
      </c>
      <c r="K12" s="35">
        <v>5.0</v>
      </c>
      <c r="L12" s="35">
        <v>5.0</v>
      </c>
      <c r="M12" s="35">
        <v>5.0</v>
      </c>
      <c r="N12" s="35">
        <v>4.0</v>
      </c>
      <c r="O12" s="35">
        <v>5.0</v>
      </c>
      <c r="P12" s="35">
        <v>4.0</v>
      </c>
      <c r="Q12" s="35">
        <v>6.0</v>
      </c>
      <c r="R12" s="35">
        <v>4.0</v>
      </c>
      <c r="S12" s="35">
        <v>5.0</v>
      </c>
      <c r="T12" s="35">
        <v>3.0</v>
      </c>
      <c r="U12" s="35">
        <v>4.0</v>
      </c>
      <c r="V12" s="36">
        <f t="shared" si="1"/>
        <v>47</v>
      </c>
      <c r="W12" s="36">
        <f t="shared" si="2"/>
        <v>40</v>
      </c>
      <c r="X12" s="36">
        <f t="shared" si="3"/>
        <v>87</v>
      </c>
      <c r="Y12" s="37">
        <f t="shared" si="4"/>
        <v>72</v>
      </c>
      <c r="Z12" s="38">
        <f t="array" ref="Z12">sum(if(D12-$D$4=-3,1,0),if(E12-$E$4=-3,1,0),if(F12-$F$4=-3,1,0),if(G12-$G$4=-3,1,0),if(H12-$H$4=-3,1,0),if(I12-$I$4=-3,1,0),if(J12-$J$4=-3,1,0),if(K12-$K$4=-3,1,0),if(L12-$L$4=-3,1,0),if(M12-$M$4=-3,1,0),if(N12-$N$4=-3,1,0),if(O12-$O$4=-3,1,0),if(P12-$P$4=-3,1,0),if(Q12-$Q$4=-3,1,0),if(R12-$R$4=-3,1,0),if(S12-$S$4=-3,1,0),if(T12-$T$4=-3,1,0),if(U12-$U$4=-3,1,0))</f>
        <v>0</v>
      </c>
      <c r="AA12" s="38">
        <f t="array" ref="AA12">sum(if(D12-$D$4=-2,1,0),if(E12-$E$4=-2,1,0),if(F12-$F$4=-2,1,0),if(G12-$G$4=-2,1,0),if(H12-$H$4=-2,1,0),if(I12-$I$4=-2,1,0),if(J12-$J$4=-2,1,0),if(K12-$K$4=-2,1,0),if(L12-$L$4=-2,1,0),if(M12-$M$4=-2,1,0),if(N12-$N$4=-2,1,0),if(O12-$O$4=-2,1,0),if(P12-$P$4=-2,1,0),if(Q12-$Q$4=-2,1,0),if(R12-$R$4=-2,1,0),if(S12-$S$4=-2,1,0),if(T12-$T$4=-2,1,0),if(U12-$U$4=-2,1,0))</f>
        <v>0</v>
      </c>
      <c r="AB12" s="38">
        <f t="array" ref="AB12">sum(if(D12-$D$4=-1,1,0),if(E12-$E$4=-1,1,0),if(F12-$F$4=-1,1,0),if(G12-$G$4=-1,1,0),if(H12-$H$4=-1,1,0),if(I12-$I$4=-1,1,0),if(J12-$J$4=-1,1,0),if(K12-$K$4=-1,1,0),if(L12-$L$4=-1,1,0),if(M12-$M$4=-1,1,0),if(N12-$N$4=-1,1,0),if(O12-$O$4=-1,1,0),if(P12-$P$4=-1,1,0),if(Q12-$Q$4=-1,1,0),if(R12-$R$4=-1,1,0),if(S12-$S$4=-1,1,0),if(T12-$T$4=-1,1,0),if(U12-$U$4=-1,1,0))</f>
        <v>1</v>
      </c>
      <c r="AC12" s="38">
        <f t="array" ref="AC12">sum(if(D12-$D$4=0,1,0),if(E12-$E$4=0,1,0),if(F12-$F$4=0,1,0),if(G12-$G$4=0,1,0),if(H12-$H$4=0,1,0),if(I12-$I$4=0,1,0),if(J12-$J$4=0,1,0),if(K12-$K$4=0,1,0),if(L12-$L$4=0,1,0),if(M12-$M$4=0,1,0),if(N12-$N$4=0,1,0),if(O12-$O$4=0,1,0),if(P12-$P$4=0,1,0),if(Q12-$Q$4=0,1,0),if(R12-$R$4=0,1,0),if(S12-$S$4=0,1,0),if(T12-$T$4=0,1,0),if(U12-$U$4=0,1,0))</f>
        <v>4</v>
      </c>
      <c r="AD12" s="38">
        <f t="array" ref="AD12">sum(if(D12-$D$4=1,1,0),if(E12-$E$4=1,1,0),if(F12-$F$4=1,1,0),if(G12-$G$4=1,1,0),if(H12-$H$4=1,1,0),if(I12-$I$4=1,1,0),if(J12-$J$4=1,1,0),if(K12-$K$4=1,1,0),if(L12-$L$4=1,1,0),if(M12-$M$4=1,1,0),if(N12-$N$4=1,1,0),if(O12-$O$4=1,1,0),if(P12-$P$4=1,1,0),if(Q12-$Q$4=1,1,0),if(R12-$R$4=1,1,0),if(S12-$S$4=1,1,0),if(T12-$T$4=1,1,0),if(U12-$U$4=1,1,0))</f>
        <v>10</v>
      </c>
      <c r="AE12" s="38">
        <f t="array" ref="AE12">sum(if(D12-$D$4=2,1,0),if(E12-$E$4=2,1,0),if(F12-$F$4=2,1,0),if(G12-$G$4=2,1,0),if(H12-$H$4=2,1,0),if(I12-$I$4=2,1,0),if(J12-$J$4=2,1,0),if(K12-$K$4=2,1,0),if(L12-$L$4=2,1,0),if(M12-$M$4=2,1,0),if(N12-$N$4=2,1,0),if(O12-$O$4=2,1,0),if(P12-$P$4=2,1,0),if(Q12-$Q$4=2,1,0),if(R12-$R$4=2,1,0),if(S12-$S$4=2,1,0),if(T12-$T$4=2,1,0),if(U12-$U$4=2,1,0))</f>
        <v>3</v>
      </c>
      <c r="AF12" s="38">
        <f t="array" ref="AF12">sum(if(D12-$D$4=3,1,0),if(E12-$E$4=3,1,0),if(F12-$F$4=3,1,0),if(G12-$G$4=3,1,0),if(H12-$H$4=3,1,0),if(I12-$I$4=3,1,0),if(J12-$J$4=3,1,0),if(K12-$K$4=3,1,0),if(L12-$L$4=3,1,0),if(M12-$M$4=3,1,0),if(N12-$N$4=3,1,0),if(O12-$O$4=3,1,0),if(P12-$P$4=3,1,0),if(Q12-$Q$4=3,1,0),if(R12-$R$4=3,1,0),if(S12-$S$4=3,1,0),if(T12-$T$4=3,1,0),if(U12-$U$4=3,1,0))</f>
        <v>0</v>
      </c>
      <c r="AG12" s="38">
        <f t="array" ref="AG12">sum(if(D12-$D$4&gt;3,1,0),if(E12-$E$4&gt;3,1,0),if(F12-$F$4&gt;3,1,0),if(G12-$G$4&gt;3,1,0),if(H12-$H$4&gt;3,1,0),if(I12-$I$4&gt;3,1,0),if(J12-$J$4&gt;3,1,0),if(K12-$K$4&gt;3,1,0),if(L12-$L$4&gt;3,1,0),if(M12-$M$4&gt;3,1,0),if(N12-$N$4&gt;3,1,0),if(O12-$O$4&gt;3,1,0),if(P12-$P$4&gt;3,1,0),if(Q12-$Q$4&gt;3,1,0),if(R12-$R$4&gt;3,1,0),if(S12-$S$4&gt;3,1,0),if(T12-$T$4&gt;3,1,0),if(U12-$U$4&gt;3,1,0))</f>
        <v>0</v>
      </c>
      <c r="AH12" s="38">
        <f t="shared" si="5"/>
        <v>18</v>
      </c>
    </row>
    <row r="13" ht="12.75" customHeight="1">
      <c r="A13" s="32" t="str">
        <f>SETUP!A13</f>
        <v>John C</v>
      </c>
      <c r="B13" s="33">
        <f t="array" ref="B13">if(A13="","",index(SETUP!C:C,match(A13,SETUP!A:A,0)))</f>
        <v>23</v>
      </c>
      <c r="C13" s="39"/>
      <c r="D13" s="35">
        <v>7.0</v>
      </c>
      <c r="E13" s="35">
        <v>6.0</v>
      </c>
      <c r="F13" s="35">
        <v>4.0</v>
      </c>
      <c r="G13" s="35">
        <v>7.0</v>
      </c>
      <c r="H13" s="35">
        <v>5.0</v>
      </c>
      <c r="I13" s="35">
        <v>3.0</v>
      </c>
      <c r="J13" s="35">
        <v>6.0</v>
      </c>
      <c r="K13" s="35">
        <v>4.0</v>
      </c>
      <c r="L13" s="35">
        <v>3.0</v>
      </c>
      <c r="M13" s="35">
        <v>7.0</v>
      </c>
      <c r="N13" s="35">
        <v>7.0</v>
      </c>
      <c r="O13" s="35">
        <v>5.0</v>
      </c>
      <c r="P13" s="35">
        <v>3.0</v>
      </c>
      <c r="Q13" s="35">
        <v>5.0</v>
      </c>
      <c r="R13" s="35">
        <v>5.0</v>
      </c>
      <c r="S13" s="35">
        <v>6.0</v>
      </c>
      <c r="T13" s="35">
        <v>5.0</v>
      </c>
      <c r="U13" s="35">
        <v>6.0</v>
      </c>
      <c r="V13" s="36">
        <f t="shared" si="1"/>
        <v>45</v>
      </c>
      <c r="W13" s="36">
        <f t="shared" si="2"/>
        <v>49</v>
      </c>
      <c r="X13" s="36">
        <f t="shared" si="3"/>
        <v>94</v>
      </c>
      <c r="Y13" s="37">
        <f t="shared" si="4"/>
        <v>71</v>
      </c>
      <c r="Z13" s="38">
        <f t="array" ref="Z13">sum(if(D13-$D$4=-3,1,0),if(E13-$E$4=-3,1,0),if(F13-$F$4=-3,1,0),if(G13-$G$4=-3,1,0),if(H13-$H$4=-3,1,0),if(I13-$I$4=-3,1,0),if(J13-$J$4=-3,1,0),if(K13-$K$4=-3,1,0),if(L13-$L$4=-3,1,0),if(M13-$M$4=-3,1,0),if(N13-$N$4=-3,1,0),if(O13-$O$4=-3,1,0),if(P13-$P$4=-3,1,0),if(Q13-$Q$4=-3,1,0),if(R13-$R$4=-3,1,0),if(S13-$S$4=-3,1,0),if(T13-$T$4=-3,1,0),if(U13-$U$4=-3,1,0))</f>
        <v>0</v>
      </c>
      <c r="AA13" s="38">
        <f t="array" ref="AA13">sum(if(D13-$D$4=-2,1,0),if(E13-$E$4=-2,1,0),if(F13-$F$4=-2,1,0),if(G13-$G$4=-2,1,0),if(H13-$H$4=-2,1,0),if(I13-$I$4=-2,1,0),if(J13-$J$4=-2,1,0),if(K13-$K$4=-2,1,0),if(L13-$L$4=-2,1,0),if(M13-$M$4=-2,1,0),if(N13-$N$4=-2,1,0),if(O13-$O$4=-2,1,0),if(P13-$P$4=-2,1,0),if(Q13-$Q$4=-2,1,0),if(R13-$R$4=-2,1,0),if(S13-$S$4=-2,1,0),if(T13-$T$4=-2,1,0),if(U13-$U$4=-2,1,0))</f>
        <v>0</v>
      </c>
      <c r="AB13" s="38">
        <f t="array" ref="AB13">sum(if(D13-$D$4=-1,1,0),if(E13-$E$4=-1,1,0),if(F13-$F$4=-1,1,0),if(G13-$G$4=-1,1,0),if(H13-$H$4=-1,1,0),if(I13-$I$4=-1,1,0),if(J13-$J$4=-1,1,0),if(K13-$K$4=-1,1,0),if(L13-$L$4=-1,1,0),if(M13-$M$4=-1,1,0),if(N13-$N$4=-1,1,0),if(O13-$O$4=-1,1,0),if(P13-$P$4=-1,1,0),if(Q13-$Q$4=-1,1,0),if(R13-$R$4=-1,1,0),if(S13-$S$4=-1,1,0),if(T13-$T$4=-1,1,0),if(U13-$U$4=-1,1,0))</f>
        <v>0</v>
      </c>
      <c r="AC13" s="38">
        <f t="array" ref="AC13">sum(if(D13-$D$4=0,1,0),if(E13-$E$4=0,1,0),if(F13-$F$4=0,1,0),if(G13-$G$4=0,1,0),if(H13-$H$4=0,1,0),if(I13-$I$4=0,1,0),if(J13-$J$4=0,1,0),if(K13-$K$4=0,1,0),if(L13-$L$4=0,1,0),if(M13-$M$4=0,1,0),if(N13-$N$4=0,1,0),if(O13-$O$4=0,1,0),if(P13-$P$4=0,1,0),if(Q13-$Q$4=0,1,0),if(R13-$R$4=0,1,0),if(S13-$S$4=0,1,0),if(T13-$T$4=0,1,0),if(U13-$U$4=0,1,0))</f>
        <v>5</v>
      </c>
      <c r="AD13" s="38">
        <f t="array" ref="AD13">sum(if(D13-$D$4=1,1,0),if(E13-$E$4=1,1,0),if(F13-$F$4=1,1,0),if(G13-$G$4=1,1,0),if(H13-$H$4=1,1,0),if(I13-$I$4=1,1,0),if(J13-$J$4=1,1,0),if(K13-$K$4=1,1,0),if(L13-$L$4=1,1,0),if(M13-$M$4=1,1,0),if(N13-$N$4=1,1,0),if(O13-$O$4=1,1,0),if(P13-$P$4=1,1,0),if(Q13-$Q$4=1,1,0),if(R13-$R$4=1,1,0),if(S13-$S$4=1,1,0),if(T13-$T$4=1,1,0),if(U13-$U$4=1,1,0))</f>
        <v>6</v>
      </c>
      <c r="AE13" s="38">
        <f t="array" ref="AE13">sum(if(D13-$D$4=2,1,0),if(E13-$E$4=2,1,0),if(F13-$F$4=2,1,0),if(G13-$G$4=2,1,0),if(H13-$H$4=2,1,0),if(I13-$I$4=2,1,0),if(J13-$J$4=2,1,0),if(K13-$K$4=2,1,0),if(L13-$L$4=2,1,0),if(M13-$M$4=2,1,0),if(N13-$N$4=2,1,0),if(O13-$O$4=2,1,0),if(P13-$P$4=2,1,0),if(Q13-$Q$4=2,1,0),if(R13-$R$4=2,1,0),if(S13-$S$4=2,1,0),if(T13-$T$4=2,1,0),if(U13-$U$4=2,1,0))</f>
        <v>5</v>
      </c>
      <c r="AF13" s="38">
        <f t="array" ref="AF13">sum(if(D13-$D$4=3,1,0),if(E13-$E$4=3,1,0),if(F13-$F$4=3,1,0),if(G13-$G$4=3,1,0),if(H13-$H$4=3,1,0),if(I13-$I$4=3,1,0),if(J13-$J$4=3,1,0),if(K13-$K$4=3,1,0),if(L13-$L$4=3,1,0),if(M13-$M$4=3,1,0),if(N13-$N$4=3,1,0),if(O13-$O$4=3,1,0),if(P13-$P$4=3,1,0),if(Q13-$Q$4=3,1,0),if(R13-$R$4=3,1,0),if(S13-$S$4=3,1,0),if(T13-$T$4=3,1,0),if(U13-$U$4=3,1,0))</f>
        <v>2</v>
      </c>
      <c r="AG13" s="38">
        <f t="array" ref="AG13">sum(if(D13-$D$4&gt;3,1,0),if(E13-$E$4&gt;3,1,0),if(F13-$F$4&gt;3,1,0),if(G13-$G$4&gt;3,1,0),if(H13-$H$4&gt;3,1,0),if(I13-$I$4&gt;3,1,0),if(J13-$J$4&gt;3,1,0),if(K13-$K$4&gt;3,1,0),if(L13-$L$4&gt;3,1,0),if(M13-$M$4&gt;3,1,0),if(N13-$N$4&gt;3,1,0),if(O13-$O$4&gt;3,1,0),if(P13-$P$4&gt;3,1,0),if(Q13-$Q$4&gt;3,1,0),if(R13-$R$4&gt;3,1,0),if(S13-$S$4&gt;3,1,0),if(T13-$T$4&gt;3,1,0),if(U13-$U$4&gt;3,1,0))</f>
        <v>0</v>
      </c>
      <c r="AH13" s="38">
        <f t="shared" si="5"/>
        <v>18</v>
      </c>
    </row>
    <row r="14" ht="12.75" customHeight="1">
      <c r="A14" s="32" t="str">
        <f>SETUP!A14</f>
        <v>Ray H</v>
      </c>
      <c r="B14" s="33">
        <f t="array" ref="B14">if(A14="","",index(SETUP!C:C,match(A14,SETUP!A:A,0)))</f>
        <v>23</v>
      </c>
      <c r="C14" s="34"/>
      <c r="D14" s="35">
        <v>4.0</v>
      </c>
      <c r="E14" s="35">
        <v>7.0</v>
      </c>
      <c r="F14" s="35">
        <v>7.0</v>
      </c>
      <c r="G14" s="35">
        <v>7.0</v>
      </c>
      <c r="H14" s="35">
        <v>8.0</v>
      </c>
      <c r="I14" s="35">
        <v>5.0</v>
      </c>
      <c r="J14" s="35">
        <v>7.0</v>
      </c>
      <c r="K14" s="35">
        <v>7.0</v>
      </c>
      <c r="L14" s="35">
        <v>5.0</v>
      </c>
      <c r="M14" s="35">
        <v>5.0</v>
      </c>
      <c r="N14" s="35">
        <v>6.0</v>
      </c>
      <c r="O14" s="35">
        <v>4.0</v>
      </c>
      <c r="P14" s="35">
        <v>5.0</v>
      </c>
      <c r="Q14" s="35">
        <v>6.0</v>
      </c>
      <c r="R14" s="35">
        <v>6.0</v>
      </c>
      <c r="S14" s="35">
        <v>7.0</v>
      </c>
      <c r="T14" s="35">
        <v>5.0</v>
      </c>
      <c r="U14" s="35">
        <v>7.0</v>
      </c>
      <c r="V14" s="36">
        <f t="shared" si="1"/>
        <v>57</v>
      </c>
      <c r="W14" s="36">
        <f t="shared" si="2"/>
        <v>51</v>
      </c>
      <c r="X14" s="36">
        <f t="shared" si="3"/>
        <v>108</v>
      </c>
      <c r="Y14" s="37">
        <f t="shared" si="4"/>
        <v>85</v>
      </c>
      <c r="Z14" s="38">
        <f t="array" ref="Z14">sum(if(D14-$D$4=-3,1,0),if(E14-$E$4=-3,1,0),if(F14-$F$4=-3,1,0),if(G14-$G$4=-3,1,0),if(H14-$H$4=-3,1,0),if(I14-$I$4=-3,1,0),if(J14-$J$4=-3,1,0),if(K14-$K$4=-3,1,0),if(L14-$L$4=-3,1,0),if(M14-$M$4=-3,1,0),if(N14-$N$4=-3,1,0),if(O14-$O$4=-3,1,0),if(P14-$P$4=-3,1,0),if(Q14-$Q$4=-3,1,0),if(R14-$R$4=-3,1,0),if(S14-$S$4=-3,1,0),if(T14-$T$4=-3,1,0),if(U14-$U$4=-3,1,0))</f>
        <v>0</v>
      </c>
      <c r="AA14" s="38">
        <f t="array" ref="AA14">sum(if(D14-$D$4=-2,1,0),if(E14-$E$4=-2,1,0),if(F14-$F$4=-2,1,0),if(G14-$G$4=-2,1,0),if(H14-$H$4=-2,1,0),if(I14-$I$4=-2,1,0),if(J14-$J$4=-2,1,0),if(K14-$K$4=-2,1,0),if(L14-$L$4=-2,1,0),if(M14-$M$4=-2,1,0),if(N14-$N$4=-2,1,0),if(O14-$O$4=-2,1,0),if(P14-$P$4=-2,1,0),if(Q14-$Q$4=-2,1,0),if(R14-$R$4=-2,1,0),if(S14-$S$4=-2,1,0),if(T14-$T$4=-2,1,0),if(U14-$U$4=-2,1,0))</f>
        <v>0</v>
      </c>
      <c r="AB14" s="38">
        <f t="array" ref="AB14">sum(if(D14-$D$4=-1,1,0),if(E14-$E$4=-1,1,0),if(F14-$F$4=-1,1,0),if(G14-$G$4=-1,1,0),if(H14-$H$4=-1,1,0),if(I14-$I$4=-1,1,0),if(J14-$J$4=-1,1,0),if(K14-$K$4=-1,1,0),if(L14-$L$4=-1,1,0),if(M14-$M$4=-1,1,0),if(N14-$N$4=-1,1,0),if(O14-$O$4=-1,1,0),if(P14-$P$4=-1,1,0),if(Q14-$Q$4=-1,1,0),if(R14-$R$4=-1,1,0),if(S14-$S$4=-1,1,0),if(T14-$T$4=-1,1,0),if(U14-$U$4=-1,1,0))</f>
        <v>0</v>
      </c>
      <c r="AC14" s="38">
        <f t="array" ref="AC14">sum(if(D14-$D$4=0,1,0),if(E14-$E$4=0,1,0),if(F14-$F$4=0,1,0),if(G14-$G$4=0,1,0),if(H14-$H$4=0,1,0),if(I14-$I$4=0,1,0),if(J14-$J$4=0,1,0),if(K14-$K$4=0,1,0),if(L14-$L$4=0,1,0),if(M14-$M$4=0,1,0),if(N14-$N$4=0,1,0),if(O14-$O$4=0,1,0),if(P14-$P$4=0,1,0),if(Q14-$Q$4=0,1,0),if(R14-$R$4=0,1,0),if(S14-$S$4=0,1,0),if(T14-$T$4=0,1,0),if(U14-$U$4=0,1,0))</f>
        <v>2</v>
      </c>
      <c r="AD14" s="38">
        <f t="array" ref="AD14">sum(if(D14-$D$4=1,1,0),if(E14-$E$4=1,1,0),if(F14-$F$4=1,1,0),if(G14-$G$4=1,1,0),if(H14-$H$4=1,1,0),if(I14-$I$4=1,1,0),if(J14-$J$4=1,1,0),if(K14-$K$4=1,1,0),if(L14-$L$4=1,1,0),if(M14-$M$4=1,1,0),if(N14-$N$4=1,1,0),if(O14-$O$4=1,1,0),if(P14-$P$4=1,1,0),if(Q14-$Q$4=1,1,0),if(R14-$R$4=1,1,0),if(S14-$S$4=1,1,0),if(T14-$T$4=1,1,0),if(U14-$U$4=1,1,0))</f>
        <v>2</v>
      </c>
      <c r="AE14" s="38">
        <f t="array" ref="AE14">sum(if(D14-$D$4=2,1,0),if(E14-$E$4=2,1,0),if(F14-$F$4=2,1,0),if(G14-$G$4=2,1,0),if(H14-$H$4=2,1,0),if(I14-$I$4=2,1,0),if(J14-$J$4=2,1,0),if(K14-$K$4=2,1,0),if(L14-$L$4=2,1,0),if(M14-$M$4=2,1,0),if(N14-$N$4=2,1,0),if(O14-$O$4=2,1,0),if(P14-$P$4=2,1,0),if(Q14-$Q$4=2,1,0),if(R14-$R$4=2,1,0),if(S14-$S$4=2,1,0),if(T14-$T$4=2,1,0),if(U14-$U$4=2,1,0))</f>
        <v>9</v>
      </c>
      <c r="AF14" s="38">
        <f t="array" ref="AF14">sum(if(D14-$D$4=3,1,0),if(E14-$E$4=3,1,0),if(F14-$F$4=3,1,0),if(G14-$G$4=3,1,0),if(H14-$H$4=3,1,0),if(I14-$I$4=3,1,0),if(J14-$J$4=3,1,0),if(K14-$K$4=3,1,0),if(L14-$L$4=3,1,0),if(M14-$M$4=3,1,0),if(N14-$N$4=3,1,0),if(O14-$O$4=3,1,0),if(P14-$P$4=3,1,0),if(Q14-$Q$4=3,1,0),if(R14-$R$4=3,1,0),if(S14-$S$4=3,1,0),if(T14-$T$4=3,1,0),if(U14-$U$4=3,1,0))</f>
        <v>4</v>
      </c>
      <c r="AG14" s="38">
        <f t="array" ref="AG14">sum(if(D14-$D$4&gt;3,1,0),if(E14-$E$4&gt;3,1,0),if(F14-$F$4&gt;3,1,0),if(G14-$G$4&gt;3,1,0),if(H14-$H$4&gt;3,1,0),if(I14-$I$4&gt;3,1,0),if(J14-$J$4&gt;3,1,0),if(K14-$K$4&gt;3,1,0),if(L14-$L$4&gt;3,1,0),if(M14-$M$4&gt;3,1,0),if(N14-$N$4&gt;3,1,0),if(O14-$O$4&gt;3,1,0),if(P14-$P$4&gt;3,1,0),if(Q14-$Q$4&gt;3,1,0),if(R14-$R$4&gt;3,1,0),if(S14-$S$4&gt;3,1,0),if(T14-$T$4&gt;3,1,0),if(U14-$U$4&gt;3,1,0))</f>
        <v>1</v>
      </c>
      <c r="AH14" s="38">
        <f t="shared" si="5"/>
        <v>18</v>
      </c>
    </row>
    <row r="15" ht="12.75" customHeight="1">
      <c r="A15" s="32" t="str">
        <f>SETUP!A15</f>
        <v>Russ W</v>
      </c>
      <c r="B15" s="33">
        <f t="array" ref="B15">if(A15="","",index(SETUP!C:C,match(A15,SETUP!A:A,0)))</f>
        <v>17</v>
      </c>
      <c r="C15" s="40"/>
      <c r="D15" s="35">
        <v>5.0</v>
      </c>
      <c r="E15" s="35">
        <v>5.0</v>
      </c>
      <c r="F15" s="35">
        <v>6.0</v>
      </c>
      <c r="G15" s="35">
        <v>8.0</v>
      </c>
      <c r="H15" s="35">
        <v>4.0</v>
      </c>
      <c r="I15" s="35">
        <v>3.0</v>
      </c>
      <c r="J15" s="35">
        <v>7.0</v>
      </c>
      <c r="K15" s="35">
        <v>4.0</v>
      </c>
      <c r="L15" s="35">
        <v>4.0</v>
      </c>
      <c r="M15" s="35">
        <v>4.0</v>
      </c>
      <c r="N15" s="35">
        <v>5.0</v>
      </c>
      <c r="O15" s="35">
        <v>5.0</v>
      </c>
      <c r="P15" s="35">
        <v>4.0</v>
      </c>
      <c r="Q15" s="35">
        <v>5.0</v>
      </c>
      <c r="R15" s="35">
        <v>4.0</v>
      </c>
      <c r="S15" s="35">
        <v>6.0</v>
      </c>
      <c r="T15" s="35">
        <v>4.0</v>
      </c>
      <c r="U15" s="35">
        <v>5.0</v>
      </c>
      <c r="V15" s="36">
        <f t="shared" si="1"/>
        <v>46</v>
      </c>
      <c r="W15" s="36">
        <f t="shared" si="2"/>
        <v>42</v>
      </c>
      <c r="X15" s="36">
        <f t="shared" si="3"/>
        <v>88</v>
      </c>
      <c r="Y15" s="37">
        <f t="shared" si="4"/>
        <v>71</v>
      </c>
      <c r="Z15" s="38">
        <f t="array" ref="Z15">sum(if(D15-$D$4=-3,1,0),if(E15-$E$4=-3,1,0),if(F15-$F$4=-3,1,0),if(G15-$G$4=-3,1,0),if(H15-$H$4=-3,1,0),if(I15-$I$4=-3,1,0),if(J15-$J$4=-3,1,0),if(K15-$K$4=-3,1,0),if(L15-$L$4=-3,1,0),if(M15-$M$4=-3,1,0),if(N15-$N$4=-3,1,0),if(O15-$O$4=-3,1,0),if(P15-$P$4=-3,1,0),if(Q15-$Q$4=-3,1,0),if(R15-$R$4=-3,1,0),if(S15-$S$4=-3,1,0),if(T15-$T$4=-3,1,0),if(U15-$U$4=-3,1,0))</f>
        <v>0</v>
      </c>
      <c r="AA15" s="38">
        <f t="array" ref="AA15">sum(if(D15-$D$4=-2,1,0),if(E15-$E$4=-2,1,0),if(F15-$F$4=-2,1,0),if(G15-$G$4=-2,1,0),if(H15-$H$4=-2,1,0),if(I15-$I$4=-2,1,0),if(J15-$J$4=-2,1,0),if(K15-$K$4=-2,1,0),if(L15-$L$4=-2,1,0),if(M15-$M$4=-2,1,0),if(N15-$N$4=-2,1,0),if(O15-$O$4=-2,1,0),if(P15-$P$4=-2,1,0),if(Q15-$Q$4=-2,1,0),if(R15-$R$4=-2,1,0),if(S15-$S$4=-2,1,0),if(T15-$T$4=-2,1,0),if(U15-$U$4=-2,1,0))</f>
        <v>0</v>
      </c>
      <c r="AB15" s="38">
        <f t="array" ref="AB15">sum(if(D15-$D$4=-1,1,0),if(E15-$E$4=-1,1,0),if(F15-$F$4=-1,1,0),if(G15-$G$4=-1,1,0),if(H15-$H$4=-1,1,0),if(I15-$I$4=-1,1,0),if(J15-$J$4=-1,1,0),if(K15-$K$4=-1,1,0),if(L15-$L$4=-1,1,0),if(M15-$M$4=-1,1,0),if(N15-$N$4=-1,1,0),if(O15-$O$4=-1,1,0),if(P15-$P$4=-1,1,0),if(Q15-$Q$4=-1,1,0),if(R15-$R$4=-1,1,0),if(S15-$S$4=-1,1,0),if(T15-$T$4=-1,1,0),if(U15-$U$4=-1,1,0))</f>
        <v>0</v>
      </c>
      <c r="AC15" s="38">
        <f t="array" ref="AC15">sum(if(D15-$D$4=0,1,0),if(E15-$E$4=0,1,0),if(F15-$F$4=0,1,0),if(G15-$G$4=0,1,0),if(H15-$H$4=0,1,0),if(I15-$I$4=0,1,0),if(J15-$J$4=0,1,0),if(K15-$K$4=0,1,0),if(L15-$L$4=0,1,0),if(M15-$M$4=0,1,0),if(N15-$N$4=0,1,0),if(O15-$O$4=0,1,0),if(P15-$P$4=0,1,0),if(Q15-$Q$4=0,1,0),if(R15-$R$4=0,1,0),if(S15-$S$4=0,1,0),if(T15-$T$4=0,1,0),if(U15-$U$4=0,1,0))</f>
        <v>6</v>
      </c>
      <c r="AD15" s="38">
        <f t="array" ref="AD15">sum(if(D15-$D$4=1,1,0),if(E15-$E$4=1,1,0),if(F15-$F$4=1,1,0),if(G15-$G$4=1,1,0),if(H15-$H$4=1,1,0),if(I15-$I$4=1,1,0),if(J15-$J$4=1,1,0),if(K15-$K$4=1,1,0),if(L15-$L$4=1,1,0),if(M15-$M$4=1,1,0),if(N15-$N$4=1,1,0),if(O15-$O$4=1,1,0),if(P15-$P$4=1,1,0),if(Q15-$Q$4=1,1,0),if(R15-$R$4=1,1,0),if(S15-$S$4=1,1,0),if(T15-$T$4=1,1,0),if(U15-$U$4=1,1,0))</f>
        <v>9</v>
      </c>
      <c r="AE15" s="38">
        <f t="array" ref="AE15">sum(if(D15-$D$4=2,1,0),if(E15-$E$4=2,1,0),if(F15-$F$4=2,1,0),if(G15-$G$4=2,1,0),if(H15-$H$4=2,1,0),if(I15-$I$4=2,1,0),if(J15-$J$4=2,1,0),if(K15-$K$4=2,1,0),if(L15-$L$4=2,1,0),if(M15-$M$4=2,1,0),if(N15-$N$4=2,1,0),if(O15-$O$4=2,1,0),if(P15-$P$4=2,1,0),if(Q15-$Q$4=2,1,0),if(R15-$R$4=2,1,0),if(S15-$S$4=2,1,0),if(T15-$T$4=2,1,0),if(U15-$U$4=2,1,0))</f>
        <v>2</v>
      </c>
      <c r="AF15" s="38">
        <f t="array" ref="AF15">sum(if(D15-$D$4=3,1,0),if(E15-$E$4=3,1,0),if(F15-$F$4=3,1,0),if(G15-$G$4=3,1,0),if(H15-$H$4=3,1,0),if(I15-$I$4=3,1,0),if(J15-$J$4=3,1,0),if(K15-$K$4=3,1,0),if(L15-$L$4=3,1,0),if(M15-$M$4=3,1,0),if(N15-$N$4=3,1,0),if(O15-$O$4=3,1,0),if(P15-$P$4=3,1,0),if(Q15-$Q$4=3,1,0),if(R15-$R$4=3,1,0),if(S15-$S$4=3,1,0),if(T15-$T$4=3,1,0),if(U15-$U$4=3,1,0))</f>
        <v>1</v>
      </c>
      <c r="AG15" s="38">
        <f t="array" ref="AG15">sum(if(D15-$D$4&gt;3,1,0),if(E15-$E$4&gt;3,1,0),if(F15-$F$4&gt;3,1,0),if(G15-$G$4&gt;3,1,0),if(H15-$H$4&gt;3,1,0),if(I15-$I$4&gt;3,1,0),if(J15-$J$4&gt;3,1,0),if(K15-$K$4&gt;3,1,0),if(L15-$L$4&gt;3,1,0),if(M15-$M$4&gt;3,1,0),if(N15-$N$4&gt;3,1,0),if(O15-$O$4&gt;3,1,0),if(P15-$P$4&gt;3,1,0),if(Q15-$Q$4&gt;3,1,0),if(R15-$R$4&gt;3,1,0),if(S15-$S$4&gt;3,1,0),if(T15-$T$4&gt;3,1,0),if(U15-$U$4&gt;3,1,0))</f>
        <v>0</v>
      </c>
      <c r="AH15" s="38">
        <f t="shared" si="5"/>
        <v>18</v>
      </c>
    </row>
    <row r="16" ht="12.75" customHeight="1">
      <c r="A16" s="32" t="str">
        <f>SETUP!A16</f>
        <v>Scott R</v>
      </c>
      <c r="B16" s="33">
        <f t="array" ref="B16">if(A16="","",index(SETUP!C:C,match(A16,SETUP!A:A,0)))</f>
        <v>10</v>
      </c>
      <c r="C16" s="40"/>
      <c r="D16" s="35">
        <v>5.0</v>
      </c>
      <c r="E16" s="35">
        <v>4.0</v>
      </c>
      <c r="F16" s="35">
        <v>5.0</v>
      </c>
      <c r="G16" s="35">
        <v>6.0</v>
      </c>
      <c r="H16" s="35">
        <v>6.0</v>
      </c>
      <c r="I16" s="35">
        <v>3.0</v>
      </c>
      <c r="J16" s="35">
        <v>6.0</v>
      </c>
      <c r="K16" s="35">
        <v>4.0</v>
      </c>
      <c r="L16" s="35">
        <v>4.0</v>
      </c>
      <c r="M16" s="35">
        <v>5.0</v>
      </c>
      <c r="N16" s="35">
        <v>5.0</v>
      </c>
      <c r="O16" s="35">
        <v>5.0</v>
      </c>
      <c r="P16" s="35">
        <v>5.0</v>
      </c>
      <c r="Q16" s="35">
        <v>4.0</v>
      </c>
      <c r="R16" s="35">
        <v>4.0</v>
      </c>
      <c r="S16" s="35">
        <v>6.0</v>
      </c>
      <c r="T16" s="35">
        <v>3.0</v>
      </c>
      <c r="U16" s="35">
        <v>6.0</v>
      </c>
      <c r="V16" s="36">
        <f t="shared" si="1"/>
        <v>43</v>
      </c>
      <c r="W16" s="36">
        <f t="shared" si="2"/>
        <v>43</v>
      </c>
      <c r="X16" s="36">
        <f t="shared" si="3"/>
        <v>86</v>
      </c>
      <c r="Y16" s="37">
        <f t="shared" si="4"/>
        <v>76</v>
      </c>
      <c r="Z16" s="38">
        <f t="array" ref="Z16">sum(if(D16-$D$4=-3,1,0),if(E16-$E$4=-3,1,0),if(F16-$F$4=-3,1,0),if(G16-$G$4=-3,1,0),if(H16-$H$4=-3,1,0),if(I16-$I$4=-3,1,0),if(J16-$J$4=-3,1,0),if(K16-$K$4=-3,1,0),if(L16-$L$4=-3,1,0),if(M16-$M$4=-3,1,0),if(N16-$N$4=-3,1,0),if(O16-$O$4=-3,1,0),if(P16-$P$4=-3,1,0),if(Q16-$Q$4=-3,1,0),if(R16-$R$4=-3,1,0),if(S16-$S$4=-3,1,0),if(T16-$T$4=-3,1,0),if(U16-$U$4=-3,1,0))</f>
        <v>0</v>
      </c>
      <c r="AA16" s="38">
        <f t="array" ref="AA16">sum(if(D16-$D$4=-2,1,0),if(E16-$E$4=-2,1,0),if(F16-$F$4=-2,1,0),if(G16-$G$4=-2,1,0),if(H16-$H$4=-2,1,0),if(I16-$I$4=-2,1,0),if(J16-$J$4=-2,1,0),if(K16-$K$4=-2,1,0),if(L16-$L$4=-2,1,0),if(M16-$M$4=-2,1,0),if(N16-$N$4=-2,1,0),if(O16-$O$4=-2,1,0),if(P16-$P$4=-2,1,0),if(Q16-$Q$4=-2,1,0),if(R16-$R$4=-2,1,0),if(S16-$S$4=-2,1,0),if(T16-$T$4=-2,1,0),if(U16-$U$4=-2,1,0))</f>
        <v>0</v>
      </c>
      <c r="AB16" s="38">
        <f t="array" ref="AB16">sum(if(D16-$D$4=-1,1,0),if(E16-$E$4=-1,1,0),if(F16-$F$4=-1,1,0),if(G16-$G$4=-1,1,0),if(H16-$H$4=-1,1,0),if(I16-$I$4=-1,1,0),if(J16-$J$4=-1,1,0),if(K16-$K$4=-1,1,0),if(L16-$L$4=-1,1,0),if(M16-$M$4=-1,1,0),if(N16-$N$4=-1,1,0),if(O16-$O$4=-1,1,0),if(P16-$P$4=-1,1,0),if(Q16-$Q$4=-1,1,0),if(R16-$R$4=-1,1,0),if(S16-$S$4=-1,1,0),if(T16-$T$4=-1,1,0),if(U16-$U$4=-1,1,0))</f>
        <v>0</v>
      </c>
      <c r="AC16" s="38">
        <f t="array" ref="AC16">sum(if(D16-$D$4=0,1,0),if(E16-$E$4=0,1,0),if(F16-$F$4=0,1,0),if(G16-$G$4=0,1,0),if(H16-$H$4=0,1,0),if(I16-$I$4=0,1,0),if(J16-$J$4=0,1,0),if(K16-$K$4=0,1,0),if(L16-$L$4=0,1,0),if(M16-$M$4=0,1,0),if(N16-$N$4=0,1,0),if(O16-$O$4=0,1,0),if(P16-$P$4=0,1,0),if(Q16-$Q$4=0,1,0),if(R16-$R$4=0,1,0),if(S16-$S$4=0,1,0),if(T16-$T$4=0,1,0),if(U16-$U$4=0,1,0))</f>
        <v>7</v>
      </c>
      <c r="AD16" s="38">
        <f t="array" ref="AD16">sum(if(D16-$D$4=1,1,0),if(E16-$E$4=1,1,0),if(F16-$F$4=1,1,0),if(G16-$G$4=1,1,0),if(H16-$H$4=1,1,0),if(I16-$I$4=1,1,0),if(J16-$J$4=1,1,0),if(K16-$K$4=1,1,0),if(L16-$L$4=1,1,0),if(M16-$M$4=1,1,0),if(N16-$N$4=1,1,0),if(O16-$O$4=1,1,0),if(P16-$P$4=1,1,0),if(Q16-$Q$4=1,1,0),if(R16-$R$4=1,1,0),if(S16-$S$4=1,1,0),if(T16-$T$4=1,1,0),if(U16-$U$4=1,1,0))</f>
        <v>8</v>
      </c>
      <c r="AE16" s="38">
        <f t="array" ref="AE16">sum(if(D16-$D$4=2,1,0),if(E16-$E$4=2,1,0),if(F16-$F$4=2,1,0),if(G16-$G$4=2,1,0),if(H16-$H$4=2,1,0),if(I16-$I$4=2,1,0),if(J16-$J$4=2,1,0),if(K16-$K$4=2,1,0),if(L16-$L$4=2,1,0),if(M16-$M$4=2,1,0),if(N16-$N$4=2,1,0),if(O16-$O$4=2,1,0),if(P16-$P$4=2,1,0),if(Q16-$Q$4=2,1,0),if(R16-$R$4=2,1,0),if(S16-$S$4=2,1,0),if(T16-$T$4=2,1,0),if(U16-$U$4=2,1,0))</f>
        <v>3</v>
      </c>
      <c r="AF16" s="38">
        <f t="array" ref="AF16">sum(if(D16-$D$4=3,1,0),if(E16-$E$4=3,1,0),if(F16-$F$4=3,1,0),if(G16-$G$4=3,1,0),if(H16-$H$4=3,1,0),if(I16-$I$4=3,1,0),if(J16-$J$4=3,1,0),if(K16-$K$4=3,1,0),if(L16-$L$4=3,1,0),if(M16-$M$4=3,1,0),if(N16-$N$4=3,1,0),if(O16-$O$4=3,1,0),if(P16-$P$4=3,1,0),if(Q16-$Q$4=3,1,0),if(R16-$R$4=3,1,0),if(S16-$S$4=3,1,0),if(T16-$T$4=3,1,0),if(U16-$U$4=3,1,0))</f>
        <v>0</v>
      </c>
      <c r="AG16" s="38">
        <f t="array" ref="AG16">sum(if(D16-$D$4&gt;3,1,0),if(E16-$E$4&gt;3,1,0),if(F16-$F$4&gt;3,1,0),if(G16-$G$4&gt;3,1,0),if(H16-$H$4&gt;3,1,0),if(I16-$I$4&gt;3,1,0),if(J16-$J$4&gt;3,1,0),if(K16-$K$4&gt;3,1,0),if(L16-$L$4&gt;3,1,0),if(M16-$M$4&gt;3,1,0),if(N16-$N$4&gt;3,1,0),if(O16-$O$4&gt;3,1,0),if(P16-$P$4&gt;3,1,0),if(Q16-$Q$4&gt;3,1,0),if(R16-$R$4&gt;3,1,0),if(S16-$S$4&gt;3,1,0),if(T16-$T$4&gt;3,1,0),if(U16-$U$4&gt;3,1,0))</f>
        <v>0</v>
      </c>
      <c r="AH16" s="38">
        <f t="shared" si="5"/>
        <v>18</v>
      </c>
    </row>
    <row r="17" ht="12.75" customHeight="1">
      <c r="A17" s="10"/>
      <c r="B17" s="11"/>
      <c r="C17" s="41" t="s">
        <v>19</v>
      </c>
      <c r="D17" s="42" t="str">
        <f t="array" ref="D17">IF(SUM(IF(IF('Betting SETUP'!$D$5:$D$16="Y", D5:D16, 10)=MIN(IF('Betting SETUP'!$D$5:$D$16="Y", D5:D16, 10)), 1, 0)) &gt; 1, "", INDEX('Betting SETUP'!$A$5:$A$16,MATCH(MIN(IF('Betting SETUP'!$D$5:$D$16="Y",D5:D16,10)),IF('Betting SETUP'!$D$5:$D$16="Y",D5:D16,10),0)))</f>
        <v/>
      </c>
      <c r="E17" s="42" t="str">
        <f t="array" ref="E17">IF(SUM(IF(IF('Betting SETUP'!$D$5:$D$16="Y", E5:E16, 10)=MIN(IF('Betting SETUP'!$D$5:$D$16="Y", E5:E16, 10)), 1, 0)) &gt; 1, "", INDEX('Betting SETUP'!$A$5:$A$16,MATCH(MIN(IF('Betting SETUP'!$D$5:$D$16="Y",E5:E16,10)),IF('Betting SETUP'!$D$5:$D$16="Y",E5:E16,10),0)))</f>
        <v/>
      </c>
      <c r="F17" s="42" t="str">
        <f t="array" ref="F17">IF(SUM(IF(IF('Betting SETUP'!$D$5:$D$16="Y", F5:F16, 10)=MIN(IF('Betting SETUP'!$D$5:$D$16="Y", F5:F16, 10)), 1, 0)) &gt; 1, "", INDEX('Betting SETUP'!$A$5:$A$16,MATCH(MIN(IF('Betting SETUP'!$D$5:$D$16="Y",F5:F16,10)),IF('Betting SETUP'!$D$5:$D$16="Y",F5:F16,10),0)))</f>
        <v/>
      </c>
      <c r="G17" s="42" t="str">
        <f t="array" ref="G17">IF(SUM(IF(IF('Betting SETUP'!$D$5:$D$16="Y", G5:G16, 10)=MIN(IF('Betting SETUP'!$D$5:$D$16="Y", G5:G16, 10)), 1, 0)) &gt; 1, "", INDEX('Betting SETUP'!$A$5:$A$16,MATCH(MIN(IF('Betting SETUP'!$D$5:$D$16="Y",G5:G16,10)),IF('Betting SETUP'!$D$5:$D$16="Y",G5:G16,10),0)))</f>
        <v>Jeff B</v>
      </c>
      <c r="H17" s="42" t="str">
        <f t="array" ref="H17">IF(SUM(IF(IF('Betting SETUP'!$D$5:$D$16="Y", H5:H16, 10)=MIN(IF('Betting SETUP'!$D$5:$D$16="Y", H5:H16, 10)), 1, 0)) &gt; 1, "", INDEX('Betting SETUP'!$A$5:$A$16,MATCH(MIN(IF('Betting SETUP'!$D$5:$D$16="Y",H5:H16,10)),IF('Betting SETUP'!$D$5:$D$16="Y",H5:H16,10),0)))</f>
        <v/>
      </c>
      <c r="I17" s="42" t="str">
        <f t="array" ref="I17">IF(SUM(IF(IF('Betting SETUP'!$D$5:$D$16="Y", I5:I16, 10)=MIN(IF('Betting SETUP'!$D$5:$D$16="Y", I5:I16, 10)), 1, 0)) &gt; 1, "", INDEX('Betting SETUP'!$A$5:$A$16,MATCH(MIN(IF('Betting SETUP'!$D$5:$D$16="Y",I5:I16,10)),IF('Betting SETUP'!$D$5:$D$16="Y",I5:I16,10),0)))</f>
        <v/>
      </c>
      <c r="J17" s="42" t="str">
        <f t="array" ref="J17">IF(SUM(IF(IF('Betting SETUP'!$D$5:$D$16="Y", J5:J16, 10)=MIN(IF('Betting SETUP'!$D$5:$D$16="Y", J5:J16, 10)), 1, 0)) &gt; 1, "", INDEX('Betting SETUP'!$A$5:$A$16,MATCH(MIN(IF('Betting SETUP'!$D$5:$D$16="Y",J5:J16,10)),IF('Betting SETUP'!$D$5:$D$16="Y",J5:J16,10),0)))</f>
        <v/>
      </c>
      <c r="K17" s="42" t="str">
        <f t="array" ref="K17">IF(SUM(IF(IF('Betting SETUP'!$D$5:$D$16="Y", K5:K16, 10)=MIN(IF('Betting SETUP'!$D$5:$D$16="Y", K5:K16, 10)), 1, 0)) &gt; 1, "", INDEX('Betting SETUP'!$A$5:$A$16,MATCH(MIN(IF('Betting SETUP'!$D$5:$D$16="Y",K5:K16,10)),IF('Betting SETUP'!$D$5:$D$16="Y",K5:K16,10),0)))</f>
        <v/>
      </c>
      <c r="L17" s="42" t="str">
        <f t="array" ref="L17">IF(SUM(IF(IF('Betting SETUP'!$D$5:$D$16="Y", L5:L16, 10)=MIN(IF('Betting SETUP'!$D$5:$D$16="Y", L5:L16, 10)), 1, 0)) &gt; 1, "", INDEX('Betting SETUP'!$A$5:$A$16,MATCH(MIN(IF('Betting SETUP'!$D$5:$D$16="Y",L5:L16,10)),IF('Betting SETUP'!$D$5:$D$16="Y",L5:L16,10),0)))</f>
        <v/>
      </c>
      <c r="M17" s="42" t="str">
        <f t="array" ref="M17">IF(SUM(IF(IF('Betting SETUP'!$D$5:$D$16="Y", M5:M16, 10)=MIN(IF('Betting SETUP'!$D$5:$D$16="Y", M5:M16, 10)), 1, 0)) &gt; 1, "", INDEX('Betting SETUP'!$A$5:$A$16,MATCH(MIN(IF('Betting SETUP'!$D$5:$D$16="Y",M5:M16,10)),IF('Betting SETUP'!$D$5:$D$16="Y",M5:M16,10),0)))</f>
        <v/>
      </c>
      <c r="N17" s="42" t="str">
        <f t="array" ref="N17">IF(SUM(IF(IF('Betting SETUP'!$D$5:$D$16="Y", N5:N16, 10)=MIN(IF('Betting SETUP'!$D$5:$D$16="Y", N5:N16, 10)), 1, 0)) &gt; 1, "", INDEX('Betting SETUP'!$A$5:$A$16,MATCH(MIN(IF('Betting SETUP'!$D$5:$D$16="Y",N5:N16,10)),IF('Betting SETUP'!$D$5:$D$16="Y",N5:N16,10),0)))</f>
        <v>Joe S</v>
      </c>
      <c r="O17" s="42" t="str">
        <f t="array" ref="O17">IF(SUM(IF(IF('Betting SETUP'!$D$5:$D$16="Y", O5:O16, 10)=MIN(IF('Betting SETUP'!$D$5:$D$16="Y", O5:O16, 10)), 1, 0)) &gt; 1, "", INDEX('Betting SETUP'!$A$5:$A$16,MATCH(MIN(IF('Betting SETUP'!$D$5:$D$16="Y",O5:O16,10)),IF('Betting SETUP'!$D$5:$D$16="Y",O5:O16,10),0)))</f>
        <v/>
      </c>
      <c r="P17" s="42" t="str">
        <f t="array" ref="P17">IF(SUM(IF(IF('Betting SETUP'!$D$5:$D$16="Y", P5:P16, 10)=MIN(IF('Betting SETUP'!$D$5:$D$16="Y", P5:P16, 10)), 1, 0)) &gt; 1, "", INDEX('Betting SETUP'!$A$5:$A$16,MATCH(MIN(IF('Betting SETUP'!$D$5:$D$16="Y",P5:P16,10)),IF('Betting SETUP'!$D$5:$D$16="Y",P5:P16,10),0)))</f>
        <v/>
      </c>
      <c r="Q17" s="42" t="str">
        <f t="array" ref="Q17">IF(SUM(IF(IF('Betting SETUP'!$D$5:$D$16="Y", Q5:Q16, 10)=MIN(IF('Betting SETUP'!$D$5:$D$16="Y", Q5:Q16, 10)), 1, 0)) &gt; 1, "", INDEX('Betting SETUP'!$A$5:$A$16,MATCH(MIN(IF('Betting SETUP'!$D$5:$D$16="Y",Q5:Q16,10)),IF('Betting SETUP'!$D$5:$D$16="Y",Q5:Q16,10),0)))</f>
        <v/>
      </c>
      <c r="R17" s="42" t="str">
        <f t="array" ref="R17">IF(SUM(IF(IF('Betting SETUP'!$D$5:$D$16="Y", R5:R16, 10)=MIN(IF('Betting SETUP'!$D$5:$D$16="Y", R5:R16, 10)), 1, 0)) &gt; 1, "", INDEX('Betting SETUP'!$A$5:$A$16,MATCH(MIN(IF('Betting SETUP'!$D$5:$D$16="Y",R5:R16,10)),IF('Betting SETUP'!$D$5:$D$16="Y",R5:R16,10),0)))</f>
        <v>Aaron J</v>
      </c>
      <c r="S17" s="42" t="str">
        <f t="array" ref="S17">IF(SUM(IF(IF('Betting SETUP'!$D$5:$D$16="Y", S5:S16, 10)=MIN(IF('Betting SETUP'!$D$5:$D$16="Y", S5:S16, 10)), 1, 0)) &gt; 1, "", INDEX('Betting SETUP'!$A$5:$A$16,MATCH(MIN(IF('Betting SETUP'!$D$5:$D$16="Y",S5:S16,10)),IF('Betting SETUP'!$D$5:$D$16="Y",S5:S16,10),0)))</f>
        <v>Aaron J</v>
      </c>
      <c r="T17" s="42" t="str">
        <f t="array" ref="T17">IF(SUM(IF(IF('Betting SETUP'!$D$5:$D$16="Y", T5:T16, 10)=MIN(IF('Betting SETUP'!$D$5:$D$16="Y", T5:T16, 10)), 1, 0)) &gt; 1, "", INDEX('Betting SETUP'!$A$5:$A$16,MATCH(MIN(IF('Betting SETUP'!$D$5:$D$16="Y",T5:T16,10)),IF('Betting SETUP'!$D$5:$D$16="Y",T5:T16,10),0)))</f>
        <v/>
      </c>
      <c r="U17" s="42" t="str">
        <f t="array" ref="U17">IF(SUM(IF(IF('Betting SETUP'!$D$5:$D$16="Y", U5:U16, 10)=MIN(IF('Betting SETUP'!$D$5:$D$16="Y", U5:U16, 10)), 1, 0)) &gt; 1, "", INDEX('Betting SETUP'!$A$5:$A$16,MATCH(MIN(IF('Betting SETUP'!$D$5:$D$16="Y",U5:U16,10)),IF('Betting SETUP'!$D$5:$D$16="Y",U5:U16,10),0)))</f>
        <v/>
      </c>
      <c r="V17" s="14"/>
      <c r="W17" s="15"/>
      <c r="X17" s="15">
        <f>18-COUNTBLANK(D17:U17)</f>
        <v>4</v>
      </c>
      <c r="Y17" s="43"/>
      <c r="Z17" s="44"/>
      <c r="AA17" s="44"/>
      <c r="AB17" s="44"/>
      <c r="AC17" s="44"/>
      <c r="AD17" s="44"/>
      <c r="AE17" s="44"/>
      <c r="AF17" s="44"/>
      <c r="AG17" s="44"/>
      <c r="AH17" s="44"/>
    </row>
    <row r="18" ht="12.75" customHeight="1">
      <c r="A18" s="10"/>
      <c r="B18" s="11"/>
      <c r="C18" s="41" t="s">
        <v>20</v>
      </c>
      <c r="D18" s="42"/>
      <c r="E18" s="45"/>
      <c r="F18" s="45"/>
      <c r="G18" s="45"/>
      <c r="H18" s="45"/>
      <c r="I18" s="45" t="s">
        <v>21</v>
      </c>
      <c r="J18" s="45"/>
      <c r="K18" s="45"/>
      <c r="L18" s="45" t="s">
        <v>22</v>
      </c>
      <c r="M18" s="42"/>
      <c r="N18" s="45"/>
      <c r="O18" s="45"/>
      <c r="P18" s="45" t="s">
        <v>23</v>
      </c>
      <c r="Q18" s="45"/>
      <c r="R18" s="45"/>
      <c r="S18" s="45"/>
      <c r="T18" s="45" t="s">
        <v>23</v>
      </c>
      <c r="U18" s="45"/>
      <c r="V18" s="46"/>
      <c r="W18" s="46"/>
      <c r="X18" s="42">
        <f>COUNTA(D18:U18)</f>
        <v>4</v>
      </c>
      <c r="Y18" s="43"/>
      <c r="Z18" s="44"/>
      <c r="AA18" s="44"/>
      <c r="AB18" s="44"/>
      <c r="AC18" s="44"/>
      <c r="AD18" s="44"/>
      <c r="AE18" s="44"/>
      <c r="AF18" s="44"/>
      <c r="AG18" s="44"/>
      <c r="AH18" s="44"/>
    </row>
    <row r="19" ht="12.75" customHeight="1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12.75" customHeight="1">
      <c r="A20" s="10"/>
      <c r="B20" s="11"/>
      <c r="C20" s="12" t="str">
        <f>SETUP!D1</f>
        <v>THE PREMIER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 s="15"/>
      <c r="X20" s="16">
        <f>SETUP!D2</f>
        <v>71</v>
      </c>
      <c r="Y20" s="17">
        <f>SETUP!D3</f>
        <v>132</v>
      </c>
      <c r="Z20" s="18"/>
      <c r="AA20" s="18"/>
      <c r="AB20" s="18"/>
      <c r="AC20" s="18"/>
      <c r="AD20" s="18"/>
      <c r="AE20" s="18"/>
      <c r="AF20" s="18"/>
      <c r="AG20" s="18"/>
      <c r="AH20" s="18"/>
    </row>
    <row r="21" ht="12.75" customHeight="1">
      <c r="A21" s="10"/>
      <c r="B21" s="11"/>
      <c r="C21" s="17" t="s">
        <v>5</v>
      </c>
      <c r="D21" s="19">
        <v>1.0</v>
      </c>
      <c r="E21" s="19">
        <v>2.0</v>
      </c>
      <c r="F21" s="19">
        <v>3.0</v>
      </c>
      <c r="G21" s="19">
        <v>4.0</v>
      </c>
      <c r="H21" s="19">
        <v>5.0</v>
      </c>
      <c r="I21" s="19">
        <v>6.0</v>
      </c>
      <c r="J21" s="19">
        <v>7.0</v>
      </c>
      <c r="K21" s="19">
        <v>8.0</v>
      </c>
      <c r="L21" s="19">
        <v>9.0</v>
      </c>
      <c r="M21" s="19">
        <v>10.0</v>
      </c>
      <c r="N21" s="19">
        <v>11.0</v>
      </c>
      <c r="O21" s="19">
        <v>12.0</v>
      </c>
      <c r="P21" s="19">
        <v>13.0</v>
      </c>
      <c r="Q21" s="19">
        <v>14.0</v>
      </c>
      <c r="R21" s="19">
        <v>15.0</v>
      </c>
      <c r="S21" s="19">
        <v>16.0</v>
      </c>
      <c r="T21" s="19">
        <v>17.0</v>
      </c>
      <c r="U21" s="19">
        <v>18.0</v>
      </c>
      <c r="V21" s="19" t="s">
        <v>6</v>
      </c>
      <c r="W21" s="19" t="s">
        <v>7</v>
      </c>
      <c r="X21" s="19" t="s">
        <v>8</v>
      </c>
      <c r="Y21" s="19" t="s">
        <v>9</v>
      </c>
      <c r="Z21" s="20"/>
      <c r="AA21" s="20"/>
      <c r="AB21" s="20"/>
      <c r="AC21" s="20"/>
      <c r="AD21" s="20"/>
      <c r="AE21" s="20"/>
      <c r="AF21" s="20"/>
      <c r="AG21" s="20"/>
      <c r="AH21" s="20"/>
    </row>
    <row r="22" ht="12.75" customHeight="1">
      <c r="A22" s="21"/>
      <c r="B22" s="22"/>
      <c r="C22" s="23" t="s">
        <v>10</v>
      </c>
      <c r="D22" s="24">
        <f>SETUP!I7</f>
        <v>5</v>
      </c>
      <c r="E22" s="24">
        <f>SETUP!J7</f>
        <v>11</v>
      </c>
      <c r="F22" s="24">
        <f>SETUP!K7</f>
        <v>1</v>
      </c>
      <c r="G22" s="24">
        <f>SETUP!L7</f>
        <v>13</v>
      </c>
      <c r="H22" s="24">
        <f>SETUP!M7</f>
        <v>17</v>
      </c>
      <c r="I22" s="24">
        <f>SETUP!N7</f>
        <v>15</v>
      </c>
      <c r="J22" s="24">
        <f>SETUP!O7</f>
        <v>3</v>
      </c>
      <c r="K22" s="24">
        <f>SETUP!P7</f>
        <v>7</v>
      </c>
      <c r="L22" s="24">
        <f>SETUP!Q7</f>
        <v>9</v>
      </c>
      <c r="M22" s="24">
        <f>SETUP!R7</f>
        <v>8</v>
      </c>
      <c r="N22" s="24">
        <f>SETUP!S7</f>
        <v>16</v>
      </c>
      <c r="O22" s="24">
        <f>SETUP!T7</f>
        <v>10</v>
      </c>
      <c r="P22" s="24">
        <f>SETUP!U7</f>
        <v>4</v>
      </c>
      <c r="Q22" s="24">
        <f>SETUP!V7</f>
        <v>2</v>
      </c>
      <c r="R22" s="24">
        <f>SETUP!W7</f>
        <v>18</v>
      </c>
      <c r="S22" s="24">
        <f>SETUP!X7</f>
        <v>12</v>
      </c>
      <c r="T22" s="24">
        <f>SETUP!Y7</f>
        <v>14</v>
      </c>
      <c r="U22" s="24">
        <f>SETUP!Z7</f>
        <v>6</v>
      </c>
      <c r="V22" s="26"/>
      <c r="W22" s="26"/>
      <c r="X22" s="26"/>
      <c r="Y22" s="26"/>
      <c r="Z22" s="27"/>
      <c r="AA22" s="27"/>
      <c r="AB22" s="27"/>
      <c r="AC22" s="27"/>
      <c r="AD22" s="27"/>
      <c r="AE22" s="27"/>
      <c r="AF22" s="27"/>
      <c r="AG22" s="27"/>
      <c r="AH22" s="27"/>
    </row>
    <row r="23" ht="12.75" customHeight="1">
      <c r="A23" s="28" t="s">
        <v>24</v>
      </c>
      <c r="B23" s="29" t="s">
        <v>10</v>
      </c>
      <c r="C23" s="17" t="s">
        <v>11</v>
      </c>
      <c r="D23" s="47">
        <f>SETUP!I8</f>
        <v>4</v>
      </c>
      <c r="E23" s="47">
        <f>SETUP!J8</f>
        <v>5</v>
      </c>
      <c r="F23" s="47">
        <f>SETUP!K8</f>
        <v>4</v>
      </c>
      <c r="G23" s="47">
        <f>SETUP!L8</f>
        <v>3</v>
      </c>
      <c r="H23" s="47">
        <f>SETUP!M8</f>
        <v>4</v>
      </c>
      <c r="I23" s="47">
        <f>SETUP!N8</f>
        <v>5</v>
      </c>
      <c r="J23" s="47">
        <f>SETUP!O8</f>
        <v>4</v>
      </c>
      <c r="K23" s="47">
        <f>SETUP!P8</f>
        <v>3</v>
      </c>
      <c r="L23" s="47">
        <f>SETUP!Q8</f>
        <v>4</v>
      </c>
      <c r="M23" s="47">
        <f>SETUP!R8</f>
        <v>4</v>
      </c>
      <c r="N23" s="47">
        <f>SETUP!S8</f>
        <v>3</v>
      </c>
      <c r="O23" s="47">
        <f>SETUP!T8</f>
        <v>5</v>
      </c>
      <c r="P23" s="47">
        <f>SETUP!U8</f>
        <v>4</v>
      </c>
      <c r="Q23" s="47">
        <f>SETUP!V8</f>
        <v>4</v>
      </c>
      <c r="R23" s="47">
        <f>SETUP!W8</f>
        <v>4</v>
      </c>
      <c r="S23" s="47">
        <f>SETUP!X8</f>
        <v>5</v>
      </c>
      <c r="T23" s="47">
        <f>SETUP!Y8</f>
        <v>3</v>
      </c>
      <c r="U23" s="47">
        <f>SETUP!Z8</f>
        <v>4</v>
      </c>
      <c r="V23" s="30">
        <f>SUM(D23:L23)</f>
        <v>36</v>
      </c>
      <c r="W23" s="30">
        <f>SUM(M23:U23)</f>
        <v>36</v>
      </c>
      <c r="X23" s="30">
        <f>V23+W23</f>
        <v>72</v>
      </c>
      <c r="Y23" s="30"/>
      <c r="Z23" s="31" t="s">
        <v>12</v>
      </c>
      <c r="AA23" s="31" t="s">
        <v>13</v>
      </c>
      <c r="AB23" s="31" t="s">
        <v>14</v>
      </c>
      <c r="AC23" s="31" t="s">
        <v>11</v>
      </c>
      <c r="AD23" s="31" t="s">
        <v>15</v>
      </c>
      <c r="AE23" s="31" t="s">
        <v>16</v>
      </c>
      <c r="AF23" s="31" t="s">
        <v>17</v>
      </c>
      <c r="AG23" s="31" t="s">
        <v>18</v>
      </c>
      <c r="AH23" s="27"/>
    </row>
    <row r="24" ht="12.75" customHeight="1">
      <c r="A24" s="32" t="str">
        <f>SETUP!A5</f>
        <v>Aaron J</v>
      </c>
      <c r="B24" s="33">
        <f t="array" ref="B24">if(A24="","",index(SETUP!D:D,match(A24,SETUP!A:A,0)))</f>
        <v>7</v>
      </c>
      <c r="C24" s="34"/>
      <c r="D24" s="35">
        <v>5.0</v>
      </c>
      <c r="E24" s="35">
        <v>4.0</v>
      </c>
      <c r="F24" s="35">
        <v>4.0</v>
      </c>
      <c r="G24" s="35">
        <v>4.0</v>
      </c>
      <c r="H24" s="35">
        <v>4.0</v>
      </c>
      <c r="I24" s="35">
        <v>5.0</v>
      </c>
      <c r="J24" s="35">
        <v>6.0</v>
      </c>
      <c r="K24" s="35">
        <v>4.0</v>
      </c>
      <c r="L24" s="35">
        <v>5.0</v>
      </c>
      <c r="M24" s="35">
        <v>4.0</v>
      </c>
      <c r="N24" s="35">
        <v>4.0</v>
      </c>
      <c r="O24" s="35">
        <v>5.0</v>
      </c>
      <c r="P24" s="35">
        <v>4.0</v>
      </c>
      <c r="Q24" s="35">
        <v>4.0</v>
      </c>
      <c r="R24" s="35">
        <v>4.0</v>
      </c>
      <c r="S24" s="35">
        <v>7.0</v>
      </c>
      <c r="T24" s="35">
        <v>4.0</v>
      </c>
      <c r="U24" s="35">
        <v>7.0</v>
      </c>
      <c r="V24" s="36">
        <f t="shared" ref="V24:V35" si="6">if(C24="WD","WD", SUM(D24:L24))</f>
        <v>41</v>
      </c>
      <c r="W24" s="36">
        <f t="shared" ref="W24:W35" si="7">if(C24="WD","WD",SUM(M24:U24))</f>
        <v>43</v>
      </c>
      <c r="X24" s="36">
        <f t="shared" ref="X24:X35" si="8">if(C24="WD","WD",IF(W24&gt;0,V24+W24,""))</f>
        <v>84</v>
      </c>
      <c r="Y24" s="37">
        <f t="shared" ref="Y24:Y35" si="9">if(C24="WD","WD",IF(W24=0,"",X24-B24))</f>
        <v>77</v>
      </c>
      <c r="Z24" s="38">
        <f t="array" ref="Z24">sum(if(D24-$D$23=-3,1,0),if(E24-$E$23=-3,1,0),if(F24-$F$23=-3,1,0),if(G24-$G$23=-3,1,0),if(H24-$H$23=-3,1,0),if(I24-$I$23=-3,1,0),if(J24-$J$23=-3,1,0),if(K24-$K$23=-3,1,0),if(L24-$L$23=-3,1,0),if(M24-$M$23=-3,1,0),if(N24-$N$23=-3,1,0),if(O24-$O$23=-3,1,0),if(P24-$P$23=-3,1,0),if(Q24-$Q$23=-3,1,0),if(R24-$R$23=-3,1,0),if(S24-$S$23=-3,1,0),if(T24-$T$23=-3,1,0),if(U24-$U$23=-3,1,0))</f>
        <v>0</v>
      </c>
      <c r="AA24" s="38">
        <f t="array" ref="AA24">sum(if(D24-$D$23=-2,1,0),if(E24-$E$23=-2,1,0),if(F24-$F$23=-2,1,0),if(G24-$G$23=-2,1,0),if(H24-$H$23=-2,1,0),if(I24-$I$23=-2,1,0),if(J24-$J$23=-2,1,0),if(K24-$K$23=-2,1,0),if(L24-$L$23=-2,1,0),if(M24-$M$23=-2,1,0),if(N24-$N$23=-2,1,0),if(O24-$O$23=-2,1,0),if(P24-$P$23=-2,1,0),if(Q24-$Q$23=-2,1,0),if(R24-$R$23=-2,1,0),if(S24-$S$23=-2,1,0),if(T24-$T$23=-2,1,0),if(U24-$U$23=-2,1,0))</f>
        <v>0</v>
      </c>
      <c r="AB24" s="38">
        <f t="array" ref="AB24">sum(if(D24-$D$23=-1,1,0),if(E24-$E$23=-1,1,0),if(F24-$F$23=-1,1,0),if(G24-$G$23=-1,1,0),if(H24-$H$23=-1,1,0),if(I24-$I$23=-1,1,0),if(J24-$J$23=-1,1,0),if(K24-$K$23=-1,1,0),if(L24-$L$23=-1,1,0),if(M24-$M$23=-1,1,0),if(N24-$N$23=-1,1,0),if(O24-$O$23=-1,1,0),if(P24-$P$23=-1,1,0),if(Q24-$Q$23=-1,1,0),if(R24-$R$23=-1,1,0),if(S24-$S$23=-1,1,0),if(T24-$T$23=-1,1,0),if(U24-$U$23=-1,1,0))</f>
        <v>1</v>
      </c>
      <c r="AC24" s="38">
        <f t="array" ref="AC24">sum(if(D24-$D$23=0,1,0),if(E24-$E$23=0,1,0),if(F24-$F$23=0,1,0),if(G24-$G$23=0,1,0),if(H24-$H$23=0,1,0),if(I24-$I$23=0,1,0),if(J24-$J$23=0,1,0),if(K24-$K$23=0,1,0),if(L24-$L$23=0,1,0),if(M24-$M$23=0,1,0),if(N24-$N$23=0,1,0),if(O24-$O$23=0,1,0),if(P24-$P$23=0,1,0),if(Q24-$Q$23=0,1,0),if(R24-$R$23=0,1,0),if(S24-$S$23=0,1,0),if(T24-$T$23=0,1,0),if(U24-$U$23=0,1,0))</f>
        <v>8</v>
      </c>
      <c r="AD24" s="38">
        <f t="array" ref="AD24">sum(if(D24-$D$23=1,1,0),if(E24-$E$23=1,1,0),if(F24-$F$23=1,1,0),if(G24-$G$23=1,1,0),if(H24-$H$23=1,1,0),if(I24-$I$23=1,1,0),if(J24-$J$23=1,1,0),if(K24-$K$23=1,1,0),if(L24-$L$23=1,1,0),if(M24-$M$23=1,1,0),if(N24-$N$23=1,1,0),if(O24-$O$23=1,1,0),if(P24-$P$23=1,1,0),if(Q24-$Q$23=1,1,0),if(R24-$R$23=1,1,0),if(S24-$S$23=1,1,0),if(T24-$T$23=1,1,0),if(U24-$U$23=1,1,0))</f>
        <v>6</v>
      </c>
      <c r="AE24" s="38">
        <f t="array" ref="AE24">sum(if(D24-$D$23=2,1,0),if(E24-$E$23=2,1,0),if(F24-$F$23=2,1,0),if(G24-$G$23=2,1,0),if(H24-$H$23=2,1,0),if(I24-$I$23=2,1,0),if(J24-$J$23=2,1,0),if(K24-$K$23=2,1,0),if(L24-$L$23=2,1,0),if(M24-$M$23=2,1,0),if(N24-$N$23=2,1,0),if(O24-$O$23=2,1,0),if(P24-$P$23=2,1,0),if(Q24-$Q$23=2,1,0),if(R24-$R$23=2,1,0),if(S24-$S$23=2,1,0),if(T24-$T$23=2,1,0),if(U24-$U$23=2,1,0))</f>
        <v>2</v>
      </c>
      <c r="AF24" s="38">
        <f t="array" ref="AF24">sum(if(D24-$D$23=3,1,0),if(E24-$E$23=3,1,0),if(F24-$F$23=3,1,0),if(G24-$G$23=3,1,0),if(H24-$H$23=3,1,0),if(I24-$I$23=3,1,0),if(J24-$J$23=3,1,0),if(K24-$K$23=3,1,0),if(L24-$L$23=3,1,0),if(M24-$M$23=3,1,0),if(N24-$N$23=3,1,0),if(O24-$O$23=3,1,0),if(P24-$P$23=3,1,0),if(Q24-$Q$23=3,1,0),if(R24-$R$23=3,1,0),if(S24-$S$23=3,1,0),if(T24-$T$23=3,1,0),if(U24-$U$23=3,1,0))</f>
        <v>1</v>
      </c>
      <c r="AG24" s="38">
        <f t="array" ref="AG24">sum(if(D24-$D$23&gt;3,1,0),if(E24-$E$23&gt;3,1,0),if(F24-$F$23&gt;3,1,0),if(G24-$G$23&gt;3,1,0),if(H24-$H$23&gt;3,1,0),if(I24-$I$23&gt;3,1,0),if(J24-$J$23&gt;3,1,0),if(K24-$K$23&gt;3,1,0),if(L24-$L$23&gt;3,1,0),if(M24-$M$23&gt;3,1,0),if(N24-$N$23&gt;3,1,0),if(O24-$O$23&gt;3,1,0),if(P24-$P$23&gt;3,1,0),if(Q24-$Q$23&gt;3,1,0),if(R24-$R$23&gt;3,1,0),if(S24-$S$23&gt;3,1,0),if(T24-$T$23&gt;3,1,0),if(U24-$U$23&gt;3,1,0))</f>
        <v>0</v>
      </c>
      <c r="AH24" s="38">
        <f t="shared" ref="AH24:AH35" si="10">sum(Z24:AG24)</f>
        <v>18</v>
      </c>
    </row>
    <row r="25" ht="12.75" customHeight="1">
      <c r="A25" s="32" t="str">
        <f>SETUP!A6</f>
        <v>Andy V</v>
      </c>
      <c r="B25" s="33">
        <f t="array" ref="B25">if(A25="","",index(SETUP!D:D,match(A25,SETUP!A:A,0)))</f>
        <v>19</v>
      </c>
      <c r="C25" s="34"/>
      <c r="D25" s="35">
        <v>5.0</v>
      </c>
      <c r="E25" s="35">
        <v>7.0</v>
      </c>
      <c r="F25" s="35">
        <v>5.0</v>
      </c>
      <c r="G25" s="35">
        <v>3.0</v>
      </c>
      <c r="H25" s="35">
        <v>4.0</v>
      </c>
      <c r="I25" s="35">
        <v>7.0</v>
      </c>
      <c r="J25" s="35">
        <v>6.0</v>
      </c>
      <c r="K25" s="35">
        <v>7.0</v>
      </c>
      <c r="L25" s="35">
        <v>5.0</v>
      </c>
      <c r="M25" s="35">
        <v>4.0</v>
      </c>
      <c r="N25" s="35">
        <v>4.0</v>
      </c>
      <c r="O25" s="35">
        <v>6.0</v>
      </c>
      <c r="P25" s="35">
        <v>4.0</v>
      </c>
      <c r="Q25" s="35">
        <v>5.0</v>
      </c>
      <c r="R25" s="35">
        <v>5.0</v>
      </c>
      <c r="S25" s="35">
        <v>6.0</v>
      </c>
      <c r="T25" s="35">
        <v>4.0</v>
      </c>
      <c r="U25" s="35">
        <v>6.0</v>
      </c>
      <c r="V25" s="36">
        <f t="shared" si="6"/>
        <v>49</v>
      </c>
      <c r="W25" s="36">
        <f t="shared" si="7"/>
        <v>44</v>
      </c>
      <c r="X25" s="36">
        <f t="shared" si="8"/>
        <v>93</v>
      </c>
      <c r="Y25" s="37">
        <f t="shared" si="9"/>
        <v>74</v>
      </c>
      <c r="Z25" s="38">
        <f t="array" ref="Z25">sum(if(D25-$D$23=-3,1,0),if(E25-$E$23=-3,1,0),if(F25-$F$23=-3,1,0),if(G25-$G$23=-3,1,0),if(H25-$H$23=-3,1,0),if(I25-$I$23=-3,1,0),if(J25-$J$23=-3,1,0),if(K25-$K$23=-3,1,0),if(L25-$L$23=-3,1,0),if(M25-$M$23=-3,1,0),if(N25-$N$23=-3,1,0),if(O25-$O$23=-3,1,0),if(P25-$P$23=-3,1,0),if(Q25-$Q$23=-3,1,0),if(R25-$R$23=-3,1,0),if(S25-$S$23=-3,1,0),if(T25-$T$23=-3,1,0),if(U25-$U$23=-3,1,0))</f>
        <v>0</v>
      </c>
      <c r="AA25" s="38">
        <f t="array" ref="AA25">sum(if(D25-$D$23=-2,1,0),if(E25-$E$23=-2,1,0),if(F25-$F$23=-2,1,0),if(G25-$G$23=-2,1,0),if(H25-$H$23=-2,1,0),if(I25-$I$23=-2,1,0),if(J25-$J$23=-2,1,0),if(K25-$K$23=-2,1,0),if(L25-$L$23=-2,1,0),if(M25-$M$23=-2,1,0),if(N25-$N$23=-2,1,0),if(O25-$O$23=-2,1,0),if(P25-$P$23=-2,1,0),if(Q25-$Q$23=-2,1,0),if(R25-$R$23=-2,1,0),if(S25-$S$23=-2,1,0),if(T25-$T$23=-2,1,0),if(U25-$U$23=-2,1,0))</f>
        <v>0</v>
      </c>
      <c r="AB25" s="38">
        <f t="array" ref="AB25">sum(if(D25-$D$23=-1,1,0),if(E25-$E$23=-1,1,0),if(F25-$F$23=-1,1,0),if(G25-$G$23=-1,1,0),if(H25-$H$23=-1,1,0),if(I25-$I$23=-1,1,0),if(J25-$J$23=-1,1,0),if(K25-$K$23=-1,1,0),if(L25-$L$23=-1,1,0),if(M25-$M$23=-1,1,0),if(N25-$N$23=-1,1,0),if(O25-$O$23=-1,1,0),if(P25-$P$23=-1,1,0),if(Q25-$Q$23=-1,1,0),if(R25-$R$23=-1,1,0),if(S25-$S$23=-1,1,0),if(T25-$T$23=-1,1,0),if(U25-$U$23=-1,1,0))</f>
        <v>0</v>
      </c>
      <c r="AC25" s="38">
        <f t="array" ref="AC25">sum(if(D25-$D$23=0,1,0),if(E25-$E$23=0,1,0),if(F25-$F$23=0,1,0),if(G25-$G$23=0,1,0),if(H25-$H$23=0,1,0),if(I25-$I$23=0,1,0),if(J25-$J$23=0,1,0),if(K25-$K$23=0,1,0),if(L25-$L$23=0,1,0),if(M25-$M$23=0,1,0),if(N25-$N$23=0,1,0),if(O25-$O$23=0,1,0),if(P25-$P$23=0,1,0),if(Q25-$Q$23=0,1,0),if(R25-$R$23=0,1,0),if(S25-$S$23=0,1,0),if(T25-$T$23=0,1,0),if(U25-$U$23=0,1,0))</f>
        <v>4</v>
      </c>
      <c r="AD25" s="38">
        <f t="array" ref="AD25">sum(if(D25-$D$23=1,1,0),if(E25-$E$23=1,1,0),if(F25-$F$23=1,1,0),if(G25-$G$23=1,1,0),if(H25-$H$23=1,1,0),if(I25-$I$23=1,1,0),if(J25-$J$23=1,1,0),if(K25-$K$23=1,1,0),if(L25-$L$23=1,1,0),if(M25-$M$23=1,1,0),if(N25-$N$23=1,1,0),if(O25-$O$23=1,1,0),if(P25-$P$23=1,1,0),if(Q25-$Q$23=1,1,0),if(R25-$R$23=1,1,0),if(S25-$S$23=1,1,0),if(T25-$T$23=1,1,0),if(U25-$U$23=1,1,0))</f>
        <v>9</v>
      </c>
      <c r="AE25" s="38">
        <f t="array" ref="AE25">sum(if(D25-$D$23=2,1,0),if(E25-$E$23=2,1,0),if(F25-$F$23=2,1,0),if(G25-$G$23=2,1,0),if(H25-$H$23=2,1,0),if(I25-$I$23=2,1,0),if(J25-$J$23=2,1,0),if(K25-$K$23=2,1,0),if(L25-$L$23=2,1,0),if(M25-$M$23=2,1,0),if(N25-$N$23=2,1,0),if(O25-$O$23=2,1,0),if(P25-$P$23=2,1,0),if(Q25-$Q$23=2,1,0),if(R25-$R$23=2,1,0),if(S25-$S$23=2,1,0),if(T25-$T$23=2,1,0),if(U25-$U$23=2,1,0))</f>
        <v>4</v>
      </c>
      <c r="AF25" s="38">
        <f t="array" ref="AF25">sum(if(D25-$D$23=3,1,0),if(E25-$E$23=3,1,0),if(F25-$F$23=3,1,0),if(G25-$G$23=3,1,0),if(H25-$H$23=3,1,0),if(I25-$I$23=3,1,0),if(J25-$J$23=3,1,0),if(K25-$K$23=3,1,0),if(L25-$L$23=3,1,0),if(M25-$M$23=3,1,0),if(N25-$N$23=3,1,0),if(O25-$O$23=3,1,0),if(P25-$P$23=3,1,0),if(Q25-$Q$23=3,1,0),if(R25-$R$23=3,1,0),if(S25-$S$23=3,1,0),if(T25-$T$23=3,1,0),if(U25-$U$23=3,1,0))</f>
        <v>0</v>
      </c>
      <c r="AG25" s="38">
        <f t="array" ref="AG25">sum(if(D25-$D$23&gt;3,1,0),if(E25-$E$23&gt;3,1,0),if(F25-$F$23&gt;3,1,0),if(G25-$G$23&gt;3,1,0),if(H25-$H$23&gt;3,1,0),if(I25-$I$23&gt;3,1,0),if(J25-$J$23&gt;3,1,0),if(K25-$K$23&gt;3,1,0),if(L25-$L$23&gt;3,1,0),if(M25-$M$23&gt;3,1,0),if(N25-$N$23&gt;3,1,0),if(O25-$O$23&gt;3,1,0),if(P25-$P$23&gt;3,1,0),if(Q25-$Q$23&gt;3,1,0),if(R25-$R$23&gt;3,1,0),if(S25-$S$23&gt;3,1,0),if(T25-$T$23&gt;3,1,0),if(U25-$U$23&gt;3,1,0))</f>
        <v>1</v>
      </c>
      <c r="AH25" s="38">
        <f t="shared" si="10"/>
        <v>18</v>
      </c>
    </row>
    <row r="26" ht="12.75" customHeight="1">
      <c r="A26" s="32" t="str">
        <f>SETUP!A7</f>
        <v>Bob B</v>
      </c>
      <c r="B26" s="33">
        <f t="array" ref="B26">if(A26="","",index(SETUP!D:D,match(A26,SETUP!A:A,0)))</f>
        <v>18</v>
      </c>
      <c r="C26" s="34"/>
      <c r="D26" s="35">
        <v>6.0</v>
      </c>
      <c r="E26" s="35">
        <v>5.0</v>
      </c>
      <c r="F26" s="35">
        <v>4.0</v>
      </c>
      <c r="G26" s="35">
        <v>3.0</v>
      </c>
      <c r="H26" s="35">
        <v>7.0</v>
      </c>
      <c r="I26" s="35">
        <v>5.0</v>
      </c>
      <c r="J26" s="35">
        <v>4.0</v>
      </c>
      <c r="K26" s="35">
        <v>3.0</v>
      </c>
      <c r="L26" s="35">
        <v>5.0</v>
      </c>
      <c r="M26" s="35">
        <v>6.0</v>
      </c>
      <c r="N26" s="35">
        <v>4.0</v>
      </c>
      <c r="O26" s="35">
        <v>6.0</v>
      </c>
      <c r="P26" s="35">
        <v>5.0</v>
      </c>
      <c r="Q26" s="35">
        <v>5.0</v>
      </c>
      <c r="R26" s="35">
        <v>5.0</v>
      </c>
      <c r="S26" s="35">
        <v>5.0</v>
      </c>
      <c r="T26" s="35">
        <v>3.0</v>
      </c>
      <c r="U26" s="35">
        <v>6.0</v>
      </c>
      <c r="V26" s="36">
        <f t="shared" si="6"/>
        <v>42</v>
      </c>
      <c r="W26" s="36">
        <f t="shared" si="7"/>
        <v>45</v>
      </c>
      <c r="X26" s="36">
        <f t="shared" si="8"/>
        <v>87</v>
      </c>
      <c r="Y26" s="37">
        <f t="shared" si="9"/>
        <v>69</v>
      </c>
      <c r="Z26" s="38">
        <f t="array" ref="Z26">sum(if(D26-$D$23=-3,1,0),if(E26-$E$23=-3,1,0),if(F26-$F$23=-3,1,0),if(G26-$G$23=-3,1,0),if(H26-$H$23=-3,1,0),if(I26-$I$23=-3,1,0),if(J26-$J$23=-3,1,0),if(K26-$K$23=-3,1,0),if(L26-$L$23=-3,1,0),if(M26-$M$23=-3,1,0),if(N26-$N$23=-3,1,0),if(O26-$O$23=-3,1,0),if(P26-$P$23=-3,1,0),if(Q26-$Q$23=-3,1,0),if(R26-$R$23=-3,1,0),if(S26-$S$23=-3,1,0),if(T26-$T$23=-3,1,0),if(U26-$U$23=-3,1,0))</f>
        <v>0</v>
      </c>
      <c r="AA26" s="38">
        <f t="array" ref="AA26">sum(if(D26-$D$23=-2,1,0),if(E26-$E$23=-2,1,0),if(F26-$F$23=-2,1,0),if(G26-$G$23=-2,1,0),if(H26-$H$23=-2,1,0),if(I26-$I$23=-2,1,0),if(J26-$J$23=-2,1,0),if(K26-$K$23=-2,1,0),if(L26-$L$23=-2,1,0),if(M26-$M$23=-2,1,0),if(N26-$N$23=-2,1,0),if(O26-$O$23=-2,1,0),if(P26-$P$23=-2,1,0),if(Q26-$Q$23=-2,1,0),if(R26-$R$23=-2,1,0),if(S26-$S$23=-2,1,0),if(T26-$T$23=-2,1,0),if(U26-$U$23=-2,1,0))</f>
        <v>0</v>
      </c>
      <c r="AB26" s="38">
        <f t="array" ref="AB26">sum(if(D26-$D$23=-1,1,0),if(E26-$E$23=-1,1,0),if(F26-$F$23=-1,1,0),if(G26-$G$23=-1,1,0),if(H26-$H$23=-1,1,0),if(I26-$I$23=-1,1,0),if(J26-$J$23=-1,1,0),if(K26-$K$23=-1,1,0),if(L26-$L$23=-1,1,0),if(M26-$M$23=-1,1,0),if(N26-$N$23=-1,1,0),if(O26-$O$23=-1,1,0),if(P26-$P$23=-1,1,0),if(Q26-$Q$23=-1,1,0),if(R26-$R$23=-1,1,0),if(S26-$S$23=-1,1,0),if(T26-$T$23=-1,1,0),if(U26-$U$23=-1,1,0))</f>
        <v>0</v>
      </c>
      <c r="AC26" s="38">
        <f t="array" ref="AC26">sum(if(D26-$D$23=0,1,0),if(E26-$E$23=0,1,0),if(F26-$F$23=0,1,0),if(G26-$G$23=0,1,0),if(H26-$H$23=0,1,0),if(I26-$I$23=0,1,0),if(J26-$J$23=0,1,0),if(K26-$K$23=0,1,0),if(L26-$L$23=0,1,0),if(M26-$M$23=0,1,0),if(N26-$N$23=0,1,0),if(O26-$O$23=0,1,0),if(P26-$P$23=0,1,0),if(Q26-$Q$23=0,1,0),if(R26-$R$23=0,1,0),if(S26-$S$23=0,1,0),if(T26-$T$23=0,1,0),if(U26-$U$23=0,1,0))</f>
        <v>8</v>
      </c>
      <c r="AD26" s="38">
        <f t="array" ref="AD26">sum(if(D26-$D$23=1,1,0),if(E26-$E$23=1,1,0),if(F26-$F$23=1,1,0),if(G26-$G$23=1,1,0),if(H26-$H$23=1,1,0),if(I26-$I$23=1,1,0),if(J26-$J$23=1,1,0),if(K26-$K$23=1,1,0),if(L26-$L$23=1,1,0),if(M26-$M$23=1,1,0),if(N26-$N$23=1,1,0),if(O26-$O$23=1,1,0),if(P26-$P$23=1,1,0),if(Q26-$Q$23=1,1,0),if(R26-$R$23=1,1,0),if(S26-$S$23=1,1,0),if(T26-$T$23=1,1,0),if(U26-$U$23=1,1,0))</f>
        <v>6</v>
      </c>
      <c r="AE26" s="38">
        <f t="array" ref="AE26">sum(if(D26-$D$23=2,1,0),if(E26-$E$23=2,1,0),if(F26-$F$23=2,1,0),if(G26-$G$23=2,1,0),if(H26-$H$23=2,1,0),if(I26-$I$23=2,1,0),if(J26-$J$23=2,1,0),if(K26-$K$23=2,1,0),if(L26-$L$23=2,1,0),if(M26-$M$23=2,1,0),if(N26-$N$23=2,1,0),if(O26-$O$23=2,1,0),if(P26-$P$23=2,1,0),if(Q26-$Q$23=2,1,0),if(R26-$R$23=2,1,0),if(S26-$S$23=2,1,0),if(T26-$T$23=2,1,0),if(U26-$U$23=2,1,0))</f>
        <v>3</v>
      </c>
      <c r="AF26" s="38">
        <f t="array" ref="AF26">sum(if(D26-$D$23=3,1,0),if(E26-$E$23=3,1,0),if(F26-$F$23=3,1,0),if(G26-$G$23=3,1,0),if(H26-$H$23=3,1,0),if(I26-$I$23=3,1,0),if(J26-$J$23=3,1,0),if(K26-$K$23=3,1,0),if(L26-$L$23=3,1,0),if(M26-$M$23=3,1,0),if(N26-$N$23=3,1,0),if(O26-$O$23=3,1,0),if(P26-$P$23=3,1,0),if(Q26-$Q$23=3,1,0),if(R26-$R$23=3,1,0),if(S26-$S$23=3,1,0),if(T26-$T$23=3,1,0),if(U26-$U$23=3,1,0))</f>
        <v>1</v>
      </c>
      <c r="AG26" s="38">
        <f t="array" ref="AG26">sum(if(D26-$D$23&gt;3,1,0),if(E26-$E$23&gt;3,1,0),if(F26-$F$23&gt;3,1,0),if(G26-$G$23&gt;3,1,0),if(H26-$H$23&gt;3,1,0),if(I26-$I$23&gt;3,1,0),if(J26-$J$23&gt;3,1,0),if(K26-$K$23&gt;3,1,0),if(L26-$L$23&gt;3,1,0),if(M26-$M$23&gt;3,1,0),if(N26-$N$23&gt;3,1,0),if(O26-$O$23&gt;3,1,0),if(P26-$P$23&gt;3,1,0),if(Q26-$Q$23&gt;3,1,0),if(R26-$R$23&gt;3,1,0),if(S26-$S$23&gt;3,1,0),if(T26-$T$23&gt;3,1,0),if(U26-$U$23&gt;3,1,0))</f>
        <v>0</v>
      </c>
      <c r="AH26" s="38">
        <f t="shared" si="10"/>
        <v>18</v>
      </c>
    </row>
    <row r="27" ht="12.75" customHeight="1">
      <c r="A27" s="32" t="str">
        <f>SETUP!A8</f>
        <v>Brian K</v>
      </c>
      <c r="B27" s="33">
        <f t="array" ref="B27">if(A27="","",index(SETUP!D:D,match(A27,SETUP!A:A,0)))</f>
        <v>10</v>
      </c>
      <c r="C27" s="34"/>
      <c r="D27" s="35">
        <v>4.0</v>
      </c>
      <c r="E27" s="35">
        <v>5.0</v>
      </c>
      <c r="F27" s="35">
        <v>6.0</v>
      </c>
      <c r="G27" s="35">
        <v>3.0</v>
      </c>
      <c r="H27" s="35">
        <v>4.0</v>
      </c>
      <c r="I27" s="35">
        <v>6.0</v>
      </c>
      <c r="J27" s="35">
        <v>5.0</v>
      </c>
      <c r="K27" s="35">
        <v>4.0</v>
      </c>
      <c r="L27" s="35">
        <v>5.0</v>
      </c>
      <c r="M27" s="35">
        <v>5.0</v>
      </c>
      <c r="N27" s="35">
        <v>3.0</v>
      </c>
      <c r="O27" s="35">
        <v>6.0</v>
      </c>
      <c r="P27" s="35">
        <v>5.0</v>
      </c>
      <c r="Q27" s="35">
        <v>5.0</v>
      </c>
      <c r="R27" s="35">
        <v>4.0</v>
      </c>
      <c r="S27" s="35">
        <v>5.0</v>
      </c>
      <c r="T27" s="35">
        <v>4.0</v>
      </c>
      <c r="U27" s="35">
        <v>6.0</v>
      </c>
      <c r="V27" s="36">
        <f t="shared" si="6"/>
        <v>42</v>
      </c>
      <c r="W27" s="36">
        <f t="shared" si="7"/>
        <v>43</v>
      </c>
      <c r="X27" s="36">
        <f t="shared" si="8"/>
        <v>85</v>
      </c>
      <c r="Y27" s="37">
        <f t="shared" si="9"/>
        <v>75</v>
      </c>
      <c r="Z27" s="38">
        <f t="array" ref="Z27">sum(if(D27-$D$23=-3,1,0),if(E27-$E$23=-3,1,0),if(F27-$F$23=-3,1,0),if(G27-$G$23=-3,1,0),if(H27-$H$23=-3,1,0),if(I27-$I$23=-3,1,0),if(J27-$J$23=-3,1,0),if(K27-$K$23=-3,1,0),if(L27-$L$23=-3,1,0),if(M27-$M$23=-3,1,0),if(N27-$N$23=-3,1,0),if(O27-$O$23=-3,1,0),if(P27-$P$23=-3,1,0),if(Q27-$Q$23=-3,1,0),if(R27-$R$23=-3,1,0),if(S27-$S$23=-3,1,0),if(T27-$T$23=-3,1,0),if(U27-$U$23=-3,1,0))</f>
        <v>0</v>
      </c>
      <c r="AA27" s="38">
        <f t="array" ref="AA27">sum(if(D27-$D$23=-2,1,0),if(E27-$E$23=-2,1,0),if(F27-$F$23=-2,1,0),if(G27-$G$23=-2,1,0),if(H27-$H$23=-2,1,0),if(I27-$I$23=-2,1,0),if(J27-$J$23=-2,1,0),if(K27-$K$23=-2,1,0),if(L27-$L$23=-2,1,0),if(M27-$M$23=-2,1,0),if(N27-$N$23=-2,1,0),if(O27-$O$23=-2,1,0),if(P27-$P$23=-2,1,0),if(Q27-$Q$23=-2,1,0),if(R27-$R$23=-2,1,0),if(S27-$S$23=-2,1,0),if(T27-$T$23=-2,1,0),if(U27-$U$23=-2,1,0))</f>
        <v>0</v>
      </c>
      <c r="AB27" s="38">
        <f t="array" ref="AB27">sum(if(D27-$D$23=-1,1,0),if(E27-$E$23=-1,1,0),if(F27-$F$23=-1,1,0),if(G27-$G$23=-1,1,0),if(H27-$H$23=-1,1,0),if(I27-$I$23=-1,1,0),if(J27-$J$23=-1,1,0),if(K27-$K$23=-1,1,0),if(L27-$L$23=-1,1,0),if(M27-$M$23=-1,1,0),if(N27-$N$23=-1,1,0),if(O27-$O$23=-1,1,0),if(P27-$P$23=-1,1,0),if(Q27-$Q$23=-1,1,0),if(R27-$R$23=-1,1,0),if(S27-$S$23=-1,1,0),if(T27-$T$23=-1,1,0),if(U27-$U$23=-1,1,0))</f>
        <v>0</v>
      </c>
      <c r="AC27" s="38">
        <f t="array" ref="AC27">sum(if(D27-$D$23=0,1,0),if(E27-$E$23=0,1,0),if(F27-$F$23=0,1,0),if(G27-$G$23=0,1,0),if(H27-$H$23=0,1,0),if(I27-$I$23=0,1,0),if(J27-$J$23=0,1,0),if(K27-$K$23=0,1,0),if(L27-$L$23=0,1,0),if(M27-$M$23=0,1,0),if(N27-$N$23=0,1,0),if(O27-$O$23=0,1,0),if(P27-$P$23=0,1,0),if(Q27-$Q$23=0,1,0),if(R27-$R$23=0,1,0),if(S27-$S$23=0,1,0),if(T27-$T$23=0,1,0),if(U27-$U$23=0,1,0))</f>
        <v>7</v>
      </c>
      <c r="AD27" s="38">
        <f t="array" ref="AD27">sum(if(D27-$D$23=1,1,0),if(E27-$E$23=1,1,0),if(F27-$F$23=1,1,0),if(G27-$G$23=1,1,0),if(H27-$H$23=1,1,0),if(I27-$I$23=1,1,0),if(J27-$J$23=1,1,0),if(K27-$K$23=1,1,0),if(L27-$L$23=1,1,0),if(M27-$M$23=1,1,0),if(N27-$N$23=1,1,0),if(O27-$O$23=1,1,0),if(P27-$P$23=1,1,0),if(Q27-$Q$23=1,1,0),if(R27-$R$23=1,1,0),if(S27-$S$23=1,1,0),if(T27-$T$23=1,1,0),if(U27-$U$23=1,1,0))</f>
        <v>9</v>
      </c>
      <c r="AE27" s="38">
        <f t="array" ref="AE27">sum(if(D27-$D$23=2,1,0),if(E27-$E$23=2,1,0),if(F27-$F$23=2,1,0),if(G27-$G$23=2,1,0),if(H27-$H$23=2,1,0),if(I27-$I$23=2,1,0),if(J27-$J$23=2,1,0),if(K27-$K$23=2,1,0),if(L27-$L$23=2,1,0),if(M27-$M$23=2,1,0),if(N27-$N$23=2,1,0),if(O27-$O$23=2,1,0),if(P27-$P$23=2,1,0),if(Q27-$Q$23=2,1,0),if(R27-$R$23=2,1,0),if(S27-$S$23=2,1,0),if(T27-$T$23=2,1,0),if(U27-$U$23=2,1,0))</f>
        <v>2</v>
      </c>
      <c r="AF27" s="38">
        <f t="array" ref="AF27">sum(if(D27-$D$23=3,1,0),if(E27-$E$23=3,1,0),if(F27-$F$23=3,1,0),if(G27-$G$23=3,1,0),if(H27-$H$23=3,1,0),if(I27-$I$23=3,1,0),if(J27-$J$23=3,1,0),if(K27-$K$23=3,1,0),if(L27-$L$23=3,1,0),if(M27-$M$23=3,1,0),if(N27-$N$23=3,1,0),if(O27-$O$23=3,1,0),if(P27-$P$23=3,1,0),if(Q27-$Q$23=3,1,0),if(R27-$R$23=3,1,0),if(S27-$S$23=3,1,0),if(T27-$T$23=3,1,0),if(U27-$U$23=3,1,0))</f>
        <v>0</v>
      </c>
      <c r="AG27" s="38">
        <f t="array" ref="AG27">sum(if(D27-$D$23&gt;3,1,0),if(E27-$E$23&gt;3,1,0),if(F27-$F$23&gt;3,1,0),if(G27-$G$23&gt;3,1,0),if(H27-$H$23&gt;3,1,0),if(I27-$I$23&gt;3,1,0),if(J27-$J$23&gt;3,1,0),if(K27-$K$23&gt;3,1,0),if(L27-$L$23&gt;3,1,0),if(M27-$M$23&gt;3,1,0),if(N27-$N$23&gt;3,1,0),if(O27-$O$23&gt;3,1,0),if(P27-$P$23&gt;3,1,0),if(Q27-$Q$23&gt;3,1,0),if(R27-$R$23&gt;3,1,0),if(S27-$S$23&gt;3,1,0),if(T27-$T$23&gt;3,1,0),if(U27-$U$23&gt;3,1,0))</f>
        <v>0</v>
      </c>
      <c r="AH27" s="38">
        <f t="shared" si="10"/>
        <v>18</v>
      </c>
    </row>
    <row r="28" ht="12.75" customHeight="1">
      <c r="A28" s="32" t="str">
        <f>SETUP!A9</f>
        <v>Dave K</v>
      </c>
      <c r="B28" s="33">
        <f t="array" ref="B28">if(A28="","",index(SETUP!D:D,match(A28,SETUP!A:A,0)))</f>
        <v>18</v>
      </c>
      <c r="C28" s="34"/>
      <c r="D28" s="35">
        <v>7.0</v>
      </c>
      <c r="E28" s="35">
        <v>8.0</v>
      </c>
      <c r="F28" s="35">
        <v>5.0</v>
      </c>
      <c r="G28" s="35">
        <v>3.0</v>
      </c>
      <c r="H28" s="35">
        <v>4.0</v>
      </c>
      <c r="I28" s="35">
        <v>5.0</v>
      </c>
      <c r="J28" s="35">
        <v>7.0</v>
      </c>
      <c r="K28" s="35">
        <v>3.0</v>
      </c>
      <c r="L28" s="35">
        <v>4.0</v>
      </c>
      <c r="M28" s="35">
        <v>5.0</v>
      </c>
      <c r="N28" s="35">
        <v>3.0</v>
      </c>
      <c r="O28" s="35">
        <v>7.0</v>
      </c>
      <c r="P28" s="35">
        <v>6.0</v>
      </c>
      <c r="Q28" s="35">
        <v>5.0</v>
      </c>
      <c r="R28" s="35">
        <v>4.0</v>
      </c>
      <c r="S28" s="35">
        <v>6.0</v>
      </c>
      <c r="T28" s="35">
        <v>7.0</v>
      </c>
      <c r="U28" s="35">
        <v>8.0</v>
      </c>
      <c r="V28" s="36">
        <f t="shared" si="6"/>
        <v>46</v>
      </c>
      <c r="W28" s="36">
        <f t="shared" si="7"/>
        <v>51</v>
      </c>
      <c r="X28" s="36">
        <f t="shared" si="8"/>
        <v>97</v>
      </c>
      <c r="Y28" s="37">
        <f t="shared" si="9"/>
        <v>79</v>
      </c>
      <c r="Z28" s="38">
        <f t="array" ref="Z28">sum(if(D28-$D$23=-3,1,0),if(E28-$E$23=-3,1,0),if(F28-$F$23=-3,1,0),if(G28-$G$23=-3,1,0),if(H28-$H$23=-3,1,0),if(I28-$I$23=-3,1,0),if(J28-$J$23=-3,1,0),if(K28-$K$23=-3,1,0),if(L28-$L$23=-3,1,0),if(M28-$M$23=-3,1,0),if(N28-$N$23=-3,1,0),if(O28-$O$23=-3,1,0),if(P28-$P$23=-3,1,0),if(Q28-$Q$23=-3,1,0),if(R28-$R$23=-3,1,0),if(S28-$S$23=-3,1,0),if(T28-$T$23=-3,1,0),if(U28-$U$23=-3,1,0))</f>
        <v>0</v>
      </c>
      <c r="AA28" s="38">
        <f t="array" ref="AA28">sum(if(D28-$D$23=-2,1,0),if(E28-$E$23=-2,1,0),if(F28-$F$23=-2,1,0),if(G28-$G$23=-2,1,0),if(H28-$H$23=-2,1,0),if(I28-$I$23=-2,1,0),if(J28-$J$23=-2,1,0),if(K28-$K$23=-2,1,0),if(L28-$L$23=-2,1,0),if(M28-$M$23=-2,1,0),if(N28-$N$23=-2,1,0),if(O28-$O$23=-2,1,0),if(P28-$P$23=-2,1,0),if(Q28-$Q$23=-2,1,0),if(R28-$R$23=-2,1,0),if(S28-$S$23=-2,1,0),if(T28-$T$23=-2,1,0),if(U28-$U$23=-2,1,0))</f>
        <v>0</v>
      </c>
      <c r="AB28" s="38">
        <f t="array" ref="AB28">sum(if(D28-$D$23=-1,1,0),if(E28-$E$23=-1,1,0),if(F28-$F$23=-1,1,0),if(G28-$G$23=-1,1,0),if(H28-$H$23=-1,1,0),if(I28-$I$23=-1,1,0),if(J28-$J$23=-1,1,0),if(K28-$K$23=-1,1,0),if(L28-$L$23=-1,1,0),if(M28-$M$23=-1,1,0),if(N28-$N$23=-1,1,0),if(O28-$O$23=-1,1,0),if(P28-$P$23=-1,1,0),if(Q28-$Q$23=-1,1,0),if(R28-$R$23=-1,1,0),if(S28-$S$23=-1,1,0),if(T28-$T$23=-1,1,0),if(U28-$U$23=-1,1,0))</f>
        <v>0</v>
      </c>
      <c r="AC28" s="38">
        <f t="array" ref="AC28">sum(if(D28-$D$23=0,1,0),if(E28-$E$23=0,1,0),if(F28-$F$23=0,1,0),if(G28-$G$23=0,1,0),if(H28-$H$23=0,1,0),if(I28-$I$23=0,1,0),if(J28-$J$23=0,1,0),if(K28-$K$23=0,1,0),if(L28-$L$23=0,1,0),if(M28-$M$23=0,1,0),if(N28-$N$23=0,1,0),if(O28-$O$23=0,1,0),if(P28-$P$23=0,1,0),if(Q28-$Q$23=0,1,0),if(R28-$R$23=0,1,0),if(S28-$S$23=0,1,0),if(T28-$T$23=0,1,0),if(U28-$U$23=0,1,0))</f>
        <v>7</v>
      </c>
      <c r="AD28" s="38">
        <f t="array" ref="AD28">sum(if(D28-$D$23=1,1,0),if(E28-$E$23=1,1,0),if(F28-$F$23=1,1,0),if(G28-$G$23=1,1,0),if(H28-$H$23=1,1,0),if(I28-$I$23=1,1,0),if(J28-$J$23=1,1,0),if(K28-$K$23=1,1,0),if(L28-$L$23=1,1,0),if(M28-$M$23=1,1,0),if(N28-$N$23=1,1,0),if(O28-$O$23=1,1,0),if(P28-$P$23=1,1,0),if(Q28-$Q$23=1,1,0),if(R28-$R$23=1,1,0),if(S28-$S$23=1,1,0),if(T28-$T$23=1,1,0),if(U28-$U$23=1,1,0))</f>
        <v>4</v>
      </c>
      <c r="AE28" s="38">
        <f t="array" ref="AE28">sum(if(D28-$D$23=2,1,0),if(E28-$E$23=2,1,0),if(F28-$F$23=2,1,0),if(G28-$G$23=2,1,0),if(H28-$H$23=2,1,0),if(I28-$I$23=2,1,0),if(J28-$J$23=2,1,0),if(K28-$K$23=2,1,0),if(L28-$L$23=2,1,0),if(M28-$M$23=2,1,0),if(N28-$N$23=2,1,0),if(O28-$O$23=2,1,0),if(P28-$P$23=2,1,0),if(Q28-$Q$23=2,1,0),if(R28-$R$23=2,1,0),if(S28-$S$23=2,1,0),if(T28-$T$23=2,1,0),if(U28-$U$23=2,1,0))</f>
        <v>2</v>
      </c>
      <c r="AF28" s="38">
        <f t="array" ref="AF28">sum(if(D28-$D$23=3,1,0),if(E28-$E$23=3,1,0),if(F28-$F$23=3,1,0),if(G28-$G$23=3,1,0),if(H28-$H$23=3,1,0),if(I28-$I$23=3,1,0),if(J28-$J$23=3,1,0),if(K28-$K$23=3,1,0),if(L28-$L$23=3,1,0),if(M28-$M$23=3,1,0),if(N28-$N$23=3,1,0),if(O28-$O$23=3,1,0),if(P28-$P$23=3,1,0),if(Q28-$Q$23=3,1,0),if(R28-$R$23=3,1,0),if(S28-$S$23=3,1,0),if(T28-$T$23=3,1,0),if(U28-$U$23=3,1,0))</f>
        <v>3</v>
      </c>
      <c r="AG28" s="38">
        <f t="array" ref="AG28">sum(if(D28-$D$23&gt;3,1,0),if(E28-$E$23&gt;3,1,0),if(F28-$F$23&gt;3,1,0),if(G28-$G$23&gt;3,1,0),if(H28-$H$23&gt;3,1,0),if(I28-$I$23&gt;3,1,0),if(J28-$J$23&gt;3,1,0),if(K28-$K$23&gt;3,1,0),if(L28-$L$23&gt;3,1,0),if(M28-$M$23&gt;3,1,0),if(N28-$N$23&gt;3,1,0),if(O28-$O$23&gt;3,1,0),if(P28-$P$23&gt;3,1,0),if(Q28-$Q$23&gt;3,1,0),if(R28-$R$23&gt;3,1,0),if(S28-$S$23&gt;3,1,0),if(T28-$T$23&gt;3,1,0),if(U28-$U$23&gt;3,1,0))</f>
        <v>2</v>
      </c>
      <c r="AH28" s="38">
        <f t="shared" si="10"/>
        <v>18</v>
      </c>
    </row>
    <row r="29" ht="12.75" customHeight="1">
      <c r="A29" s="32" t="str">
        <f>SETUP!A10</f>
        <v>Eric O</v>
      </c>
      <c r="B29" s="33">
        <f t="array" ref="B29">if(A29="","",index(SETUP!D:D,match(A29,SETUP!A:A,0)))</f>
        <v>17</v>
      </c>
      <c r="C29" s="34"/>
      <c r="D29" s="35">
        <v>7.0</v>
      </c>
      <c r="E29" s="35">
        <v>5.0</v>
      </c>
      <c r="F29" s="35">
        <v>5.0</v>
      </c>
      <c r="G29" s="35">
        <v>3.0</v>
      </c>
      <c r="H29" s="35">
        <v>5.0</v>
      </c>
      <c r="I29" s="35">
        <v>6.0</v>
      </c>
      <c r="J29" s="35">
        <v>5.0</v>
      </c>
      <c r="K29" s="35">
        <v>4.0</v>
      </c>
      <c r="L29" s="35">
        <v>7.0</v>
      </c>
      <c r="M29" s="35">
        <v>6.0</v>
      </c>
      <c r="N29" s="35">
        <v>8.0</v>
      </c>
      <c r="O29" s="35">
        <v>5.0</v>
      </c>
      <c r="P29" s="35">
        <v>7.0</v>
      </c>
      <c r="Q29" s="35">
        <v>5.0</v>
      </c>
      <c r="R29" s="35">
        <v>4.0</v>
      </c>
      <c r="S29" s="35">
        <v>5.0</v>
      </c>
      <c r="T29" s="35">
        <v>5.0</v>
      </c>
      <c r="U29" s="35">
        <v>5.0</v>
      </c>
      <c r="V29" s="36">
        <f t="shared" si="6"/>
        <v>47</v>
      </c>
      <c r="W29" s="36">
        <f t="shared" si="7"/>
        <v>50</v>
      </c>
      <c r="X29" s="36">
        <f t="shared" si="8"/>
        <v>97</v>
      </c>
      <c r="Y29" s="37">
        <f t="shared" si="9"/>
        <v>80</v>
      </c>
      <c r="Z29" s="38">
        <f t="array" ref="Z29">sum(if(D29-$D$23=-3,1,0),if(E29-$E$23=-3,1,0),if(F29-$F$23=-3,1,0),if(G29-$G$23=-3,1,0),if(H29-$H$23=-3,1,0),if(I29-$I$23=-3,1,0),if(J29-$J$23=-3,1,0),if(K29-$K$23=-3,1,0),if(L29-$L$23=-3,1,0),if(M29-$M$23=-3,1,0),if(N29-$N$23=-3,1,0),if(O29-$O$23=-3,1,0),if(P29-$P$23=-3,1,0),if(Q29-$Q$23=-3,1,0),if(R29-$R$23=-3,1,0),if(S29-$S$23=-3,1,0),if(T29-$T$23=-3,1,0),if(U29-$U$23=-3,1,0))</f>
        <v>0</v>
      </c>
      <c r="AA29" s="38">
        <f t="array" ref="AA29">sum(if(D29-$D$23=-2,1,0),if(E29-$E$23=-2,1,0),if(F29-$F$23=-2,1,0),if(G29-$G$23=-2,1,0),if(H29-$H$23=-2,1,0),if(I29-$I$23=-2,1,0),if(J29-$J$23=-2,1,0),if(K29-$K$23=-2,1,0),if(L29-$L$23=-2,1,0),if(M29-$M$23=-2,1,0),if(N29-$N$23=-2,1,0),if(O29-$O$23=-2,1,0),if(P29-$P$23=-2,1,0),if(Q29-$Q$23=-2,1,0),if(R29-$R$23=-2,1,0),if(S29-$S$23=-2,1,0),if(T29-$T$23=-2,1,0),if(U29-$U$23=-2,1,0))</f>
        <v>0</v>
      </c>
      <c r="AB29" s="38">
        <f t="array" ref="AB29">sum(if(D29-$D$23=-1,1,0),if(E29-$E$23=-1,1,0),if(F29-$F$23=-1,1,0),if(G29-$G$23=-1,1,0),if(H29-$H$23=-1,1,0),if(I29-$I$23=-1,1,0),if(J29-$J$23=-1,1,0),if(K29-$K$23=-1,1,0),if(L29-$L$23=-1,1,0),if(M29-$M$23=-1,1,0),if(N29-$N$23=-1,1,0),if(O29-$O$23=-1,1,0),if(P29-$P$23=-1,1,0),if(Q29-$Q$23=-1,1,0),if(R29-$R$23=-1,1,0),if(S29-$S$23=-1,1,0),if(T29-$T$23=-1,1,0),if(U29-$U$23=-1,1,0))</f>
        <v>0</v>
      </c>
      <c r="AC29" s="38">
        <f t="array" ref="AC29">sum(if(D29-$D$23=0,1,0),if(E29-$E$23=0,1,0),if(F29-$F$23=0,1,0),if(G29-$G$23=0,1,0),if(H29-$H$23=0,1,0),if(I29-$I$23=0,1,0),if(J29-$J$23=0,1,0),if(K29-$K$23=0,1,0),if(L29-$L$23=0,1,0),if(M29-$M$23=0,1,0),if(N29-$N$23=0,1,0),if(O29-$O$23=0,1,0),if(P29-$P$23=0,1,0),if(Q29-$Q$23=0,1,0),if(R29-$R$23=0,1,0),if(S29-$S$23=0,1,0),if(T29-$T$23=0,1,0),if(U29-$U$23=0,1,0))</f>
        <v>5</v>
      </c>
      <c r="AD29" s="38">
        <f t="array" ref="AD29">sum(if(D29-$D$23=1,1,0),if(E29-$E$23=1,1,0),if(F29-$F$23=1,1,0),if(G29-$G$23=1,1,0),if(H29-$H$23=1,1,0),if(I29-$I$23=1,1,0),if(J29-$J$23=1,1,0),if(K29-$K$23=1,1,0),if(L29-$L$23=1,1,0),if(M29-$M$23=1,1,0),if(N29-$N$23=1,1,0),if(O29-$O$23=1,1,0),if(P29-$P$23=1,1,0),if(Q29-$Q$23=1,1,0),if(R29-$R$23=1,1,0),if(S29-$S$23=1,1,0),if(T29-$T$23=1,1,0),if(U29-$U$23=1,1,0))</f>
        <v>7</v>
      </c>
      <c r="AE29" s="38">
        <f t="array" ref="AE29">sum(if(D29-$D$23=2,1,0),if(E29-$E$23=2,1,0),if(F29-$F$23=2,1,0),if(G29-$G$23=2,1,0),if(H29-$H$23=2,1,0),if(I29-$I$23=2,1,0),if(J29-$J$23=2,1,0),if(K29-$K$23=2,1,0),if(L29-$L$23=2,1,0),if(M29-$M$23=2,1,0),if(N29-$N$23=2,1,0),if(O29-$O$23=2,1,0),if(P29-$P$23=2,1,0),if(Q29-$Q$23=2,1,0),if(R29-$R$23=2,1,0),if(S29-$S$23=2,1,0),if(T29-$T$23=2,1,0),if(U29-$U$23=2,1,0))</f>
        <v>2</v>
      </c>
      <c r="AF29" s="38">
        <f t="array" ref="AF29">sum(if(D29-$D$23=3,1,0),if(E29-$E$23=3,1,0),if(F29-$F$23=3,1,0),if(G29-$G$23=3,1,0),if(H29-$H$23=3,1,0),if(I29-$I$23=3,1,0),if(J29-$J$23=3,1,0),if(K29-$K$23=3,1,0),if(L29-$L$23=3,1,0),if(M29-$M$23=3,1,0),if(N29-$N$23=3,1,0),if(O29-$O$23=3,1,0),if(P29-$P$23=3,1,0),if(Q29-$Q$23=3,1,0),if(R29-$R$23=3,1,0),if(S29-$S$23=3,1,0),if(T29-$T$23=3,1,0),if(U29-$U$23=3,1,0))</f>
        <v>3</v>
      </c>
      <c r="AG29" s="38">
        <f t="array" ref="AG29">sum(if(D29-$D$23&gt;3,1,0),if(E29-$E$23&gt;3,1,0),if(F29-$F$23&gt;3,1,0),if(G29-$G$23&gt;3,1,0),if(H29-$H$23&gt;3,1,0),if(I29-$I$23&gt;3,1,0),if(J29-$J$23&gt;3,1,0),if(K29-$K$23&gt;3,1,0),if(L29-$L$23&gt;3,1,0),if(M29-$M$23&gt;3,1,0),if(N29-$N$23&gt;3,1,0),if(O29-$O$23&gt;3,1,0),if(P29-$P$23&gt;3,1,0),if(Q29-$Q$23&gt;3,1,0),if(R29-$R$23&gt;3,1,0),if(S29-$S$23&gt;3,1,0),if(T29-$T$23&gt;3,1,0),if(U29-$U$23&gt;3,1,0))</f>
        <v>1</v>
      </c>
      <c r="AH29" s="38">
        <f t="shared" si="10"/>
        <v>18</v>
      </c>
    </row>
    <row r="30" ht="12.75" customHeight="1">
      <c r="A30" s="32" t="str">
        <f>SETUP!A11</f>
        <v>Jeff B</v>
      </c>
      <c r="B30" s="33">
        <f t="array" ref="B30">if(A30="","",index(SETUP!D:D,match(A30,SETUP!A:A,0)))</f>
        <v>20</v>
      </c>
      <c r="C30" s="34"/>
      <c r="D30" s="35">
        <v>6.0</v>
      </c>
      <c r="E30" s="35">
        <v>8.0</v>
      </c>
      <c r="F30" s="35">
        <v>5.0</v>
      </c>
      <c r="G30" s="35">
        <v>4.0</v>
      </c>
      <c r="H30" s="35">
        <v>6.0</v>
      </c>
      <c r="I30" s="35">
        <v>6.0</v>
      </c>
      <c r="J30" s="35">
        <v>6.0</v>
      </c>
      <c r="K30" s="35">
        <v>4.0</v>
      </c>
      <c r="L30" s="35">
        <v>5.0</v>
      </c>
      <c r="M30" s="35">
        <v>5.0</v>
      </c>
      <c r="N30" s="35">
        <v>4.0</v>
      </c>
      <c r="O30" s="35">
        <v>7.0</v>
      </c>
      <c r="P30" s="35">
        <v>5.0</v>
      </c>
      <c r="Q30" s="35">
        <v>6.0</v>
      </c>
      <c r="R30" s="35">
        <v>6.0</v>
      </c>
      <c r="S30" s="35">
        <v>6.0</v>
      </c>
      <c r="T30" s="35">
        <v>4.0</v>
      </c>
      <c r="U30" s="35">
        <v>4.0</v>
      </c>
      <c r="V30" s="36">
        <f t="shared" si="6"/>
        <v>50</v>
      </c>
      <c r="W30" s="36">
        <f t="shared" si="7"/>
        <v>47</v>
      </c>
      <c r="X30" s="36">
        <f t="shared" si="8"/>
        <v>97</v>
      </c>
      <c r="Y30" s="37">
        <f t="shared" si="9"/>
        <v>77</v>
      </c>
      <c r="Z30" s="38">
        <f t="array" ref="Z30">sum(if(D30-$D$23=-3,1,0),if(E30-$E$23=-3,1,0),if(F30-$F$23=-3,1,0),if(G30-$G$23=-3,1,0),if(H30-$H$23=-3,1,0),if(I30-$I$23=-3,1,0),if(J30-$J$23=-3,1,0),if(K30-$K$23=-3,1,0),if(L30-$L$23=-3,1,0),if(M30-$M$23=-3,1,0),if(N30-$N$23=-3,1,0),if(O30-$O$23=-3,1,0),if(P30-$P$23=-3,1,0),if(Q30-$Q$23=-3,1,0),if(R30-$R$23=-3,1,0),if(S30-$S$23=-3,1,0),if(T30-$T$23=-3,1,0),if(U30-$U$23=-3,1,0))</f>
        <v>0</v>
      </c>
      <c r="AA30" s="38">
        <f t="array" ref="AA30">sum(if(D30-$D$23=-2,1,0),if(E30-$E$23=-2,1,0),if(F30-$F$23=-2,1,0),if(G30-$G$23=-2,1,0),if(H30-$H$23=-2,1,0),if(I30-$I$23=-2,1,0),if(J30-$J$23=-2,1,0),if(K30-$K$23=-2,1,0),if(L30-$L$23=-2,1,0),if(M30-$M$23=-2,1,0),if(N30-$N$23=-2,1,0),if(O30-$O$23=-2,1,0),if(P30-$P$23=-2,1,0),if(Q30-$Q$23=-2,1,0),if(R30-$R$23=-2,1,0),if(S30-$S$23=-2,1,0),if(T30-$T$23=-2,1,0),if(U30-$U$23=-2,1,0))</f>
        <v>0</v>
      </c>
      <c r="AB30" s="38">
        <f t="array" ref="AB30">sum(if(D30-$D$23=-1,1,0),if(E30-$E$23=-1,1,0),if(F30-$F$23=-1,1,0),if(G30-$G$23=-1,1,0),if(H30-$H$23=-1,1,0),if(I30-$I$23=-1,1,0),if(J30-$J$23=-1,1,0),if(K30-$K$23=-1,1,0),if(L30-$L$23=-1,1,0),if(M30-$M$23=-1,1,0),if(N30-$N$23=-1,1,0),if(O30-$O$23=-1,1,0),if(P30-$P$23=-1,1,0),if(Q30-$Q$23=-1,1,0),if(R30-$R$23=-1,1,0),if(S30-$S$23=-1,1,0),if(T30-$T$23=-1,1,0),if(U30-$U$23=-1,1,0))</f>
        <v>0</v>
      </c>
      <c r="AC30" s="38">
        <f t="array" ref="AC30">sum(if(D30-$D$23=0,1,0),if(E30-$E$23=0,1,0),if(F30-$F$23=0,1,0),if(G30-$G$23=0,1,0),if(H30-$H$23=0,1,0),if(I30-$I$23=0,1,0),if(J30-$J$23=0,1,0),if(K30-$K$23=0,1,0),if(L30-$L$23=0,1,0),if(M30-$M$23=0,1,0),if(N30-$N$23=0,1,0),if(O30-$O$23=0,1,0),if(P30-$P$23=0,1,0),if(Q30-$Q$23=0,1,0),if(R30-$R$23=0,1,0),if(S30-$S$23=0,1,0),if(T30-$T$23=0,1,0),if(U30-$U$23=0,1,0))</f>
        <v>1</v>
      </c>
      <c r="AD30" s="38">
        <f t="array" ref="AD30">sum(if(D30-$D$23=1,1,0),if(E30-$E$23=1,1,0),if(F30-$F$23=1,1,0),if(G30-$G$23=1,1,0),if(H30-$H$23=1,1,0),if(I30-$I$23=1,1,0),if(J30-$J$23=1,1,0),if(K30-$K$23=1,1,0),if(L30-$L$23=1,1,0),if(M30-$M$23=1,1,0),if(N30-$N$23=1,1,0),if(O30-$O$23=1,1,0),if(P30-$P$23=1,1,0),if(Q30-$Q$23=1,1,0),if(R30-$R$23=1,1,0),if(S30-$S$23=1,1,0),if(T30-$T$23=1,1,0),if(U30-$U$23=1,1,0))</f>
        <v>10</v>
      </c>
      <c r="AE30" s="38">
        <f t="array" ref="AE30">sum(if(D30-$D$23=2,1,0),if(E30-$E$23=2,1,0),if(F30-$F$23=2,1,0),if(G30-$G$23=2,1,0),if(H30-$H$23=2,1,0),if(I30-$I$23=2,1,0),if(J30-$J$23=2,1,0),if(K30-$K$23=2,1,0),if(L30-$L$23=2,1,0),if(M30-$M$23=2,1,0),if(N30-$N$23=2,1,0),if(O30-$O$23=2,1,0),if(P30-$P$23=2,1,0),if(Q30-$Q$23=2,1,0),if(R30-$R$23=2,1,0),if(S30-$S$23=2,1,0),if(T30-$T$23=2,1,0),if(U30-$U$23=2,1,0))</f>
        <v>6</v>
      </c>
      <c r="AF30" s="38">
        <f t="array" ref="AF30">sum(if(D30-$D$23=3,1,0),if(E30-$E$23=3,1,0),if(F30-$F$23=3,1,0),if(G30-$G$23=3,1,0),if(H30-$H$23=3,1,0),if(I30-$I$23=3,1,0),if(J30-$J$23=3,1,0),if(K30-$K$23=3,1,0),if(L30-$L$23=3,1,0),if(M30-$M$23=3,1,0),if(N30-$N$23=3,1,0),if(O30-$O$23=3,1,0),if(P30-$P$23=3,1,0),if(Q30-$Q$23=3,1,0),if(R30-$R$23=3,1,0),if(S30-$S$23=3,1,0),if(T30-$T$23=3,1,0),if(U30-$U$23=3,1,0))</f>
        <v>1</v>
      </c>
      <c r="AG30" s="38">
        <f t="array" ref="AG30">sum(if(D30-$D$23&gt;3,1,0),if(E30-$E$23&gt;3,1,0),if(F30-$F$23&gt;3,1,0),if(G30-$G$23&gt;3,1,0),if(H30-$H$23&gt;3,1,0),if(I30-$I$23&gt;3,1,0),if(J30-$J$23&gt;3,1,0),if(K30-$K$23&gt;3,1,0),if(L30-$L$23&gt;3,1,0),if(M30-$M$23&gt;3,1,0),if(N30-$N$23&gt;3,1,0),if(O30-$O$23&gt;3,1,0),if(P30-$P$23&gt;3,1,0),if(Q30-$Q$23&gt;3,1,0),if(R30-$R$23&gt;3,1,0),if(S30-$S$23&gt;3,1,0),if(T30-$T$23&gt;3,1,0),if(U30-$U$23&gt;3,1,0))</f>
        <v>0</v>
      </c>
      <c r="AH30" s="38">
        <f t="shared" si="10"/>
        <v>18</v>
      </c>
    </row>
    <row r="31" ht="12.75" customHeight="1">
      <c r="A31" s="32" t="str">
        <f>SETUP!A12</f>
        <v>Joe S</v>
      </c>
      <c r="B31" s="33">
        <f t="array" ref="B31">if(A31="","",index(SETUP!D:D,match(A31,SETUP!A:A,0)))</f>
        <v>13</v>
      </c>
      <c r="C31" s="34"/>
      <c r="D31" s="35">
        <v>6.0</v>
      </c>
      <c r="E31" s="35">
        <v>6.0</v>
      </c>
      <c r="F31" s="35">
        <v>6.0</v>
      </c>
      <c r="G31" s="35">
        <v>3.0</v>
      </c>
      <c r="H31" s="35">
        <v>6.0</v>
      </c>
      <c r="I31" s="35">
        <v>6.0</v>
      </c>
      <c r="J31" s="35">
        <v>4.0</v>
      </c>
      <c r="K31" s="35">
        <v>1.0</v>
      </c>
      <c r="L31" s="35">
        <v>4.0</v>
      </c>
      <c r="M31" s="35">
        <v>6.0</v>
      </c>
      <c r="N31" s="35">
        <v>3.0</v>
      </c>
      <c r="O31" s="35">
        <v>6.0</v>
      </c>
      <c r="P31" s="35">
        <v>4.0</v>
      </c>
      <c r="Q31" s="35">
        <v>5.0</v>
      </c>
      <c r="R31" s="35">
        <v>4.0</v>
      </c>
      <c r="S31" s="35">
        <v>6.0</v>
      </c>
      <c r="T31" s="35">
        <v>4.0</v>
      </c>
      <c r="U31" s="35">
        <v>5.0</v>
      </c>
      <c r="V31" s="36">
        <f t="shared" si="6"/>
        <v>42</v>
      </c>
      <c r="W31" s="36">
        <f t="shared" si="7"/>
        <v>43</v>
      </c>
      <c r="X31" s="36">
        <f t="shared" si="8"/>
        <v>85</v>
      </c>
      <c r="Y31" s="37">
        <f t="shared" si="9"/>
        <v>72</v>
      </c>
      <c r="Z31" s="38">
        <f t="array" ref="Z31">sum(if(D31-$D$23=-3,1,0),if(E31-$E$23=-3,1,0),if(F31-$F$23=-3,1,0),if(G31-$G$23=-3,1,0),if(H31-$H$23=-3,1,0),if(I31-$I$23=-3,1,0),if(J31-$J$23=-3,1,0),if(K31-$K$23=-3,1,0),if(L31-$L$23=-3,1,0),if(M31-$M$23=-3,1,0),if(N31-$N$23=-3,1,0),if(O31-$O$23=-3,1,0),if(P31-$P$23=-3,1,0),if(Q31-$Q$23=-3,1,0),if(R31-$R$23=-3,1,0),if(S31-$S$23=-3,1,0),if(T31-$T$23=-3,1,0),if(U31-$U$23=-3,1,0))</f>
        <v>0</v>
      </c>
      <c r="AA31" s="38">
        <f t="array" ref="AA31">sum(if(D31-$D$23=-2,1,0),if(E31-$E$23=-2,1,0),if(F31-$F$23=-2,1,0),if(G31-$G$23=-2,1,0),if(H31-$H$23=-2,1,0),if(I31-$I$23=-2,1,0),if(J31-$J$23=-2,1,0),if(K31-$K$23=-2,1,0),if(L31-$L$23=-2,1,0),if(M31-$M$23=-2,1,0),if(N31-$N$23=-2,1,0),if(O31-$O$23=-2,1,0),if(P31-$P$23=-2,1,0),if(Q31-$Q$23=-2,1,0),if(R31-$R$23=-2,1,0),if(S31-$S$23=-2,1,0),if(T31-$T$23=-2,1,0),if(U31-$U$23=-2,1,0))</f>
        <v>1</v>
      </c>
      <c r="AB31" s="38">
        <f t="array" ref="AB31">sum(if(D31-$D$23=-1,1,0),if(E31-$E$23=-1,1,0),if(F31-$F$23=-1,1,0),if(G31-$G$23=-1,1,0),if(H31-$H$23=-1,1,0),if(I31-$I$23=-1,1,0),if(J31-$J$23=-1,1,0),if(K31-$K$23=-1,1,0),if(L31-$L$23=-1,1,0),if(M31-$M$23=-1,1,0),if(N31-$N$23=-1,1,0),if(O31-$O$23=-1,1,0),if(P31-$P$23=-1,1,0),if(Q31-$Q$23=-1,1,0),if(R31-$R$23=-1,1,0),if(S31-$S$23=-1,1,0),if(T31-$T$23=-1,1,0),if(U31-$U$23=-1,1,0))</f>
        <v>0</v>
      </c>
      <c r="AC31" s="38">
        <f t="array" ref="AC31">sum(if(D31-$D$23=0,1,0),if(E31-$E$23=0,1,0),if(F31-$F$23=0,1,0),if(G31-$G$23=0,1,0),if(H31-$H$23=0,1,0),if(I31-$I$23=0,1,0),if(J31-$J$23=0,1,0),if(K31-$K$23=0,1,0),if(L31-$L$23=0,1,0),if(M31-$M$23=0,1,0),if(N31-$N$23=0,1,0),if(O31-$O$23=0,1,0),if(P31-$P$23=0,1,0),if(Q31-$Q$23=0,1,0),if(R31-$R$23=0,1,0),if(S31-$S$23=0,1,0),if(T31-$T$23=0,1,0),if(U31-$U$23=0,1,0))</f>
        <v>6</v>
      </c>
      <c r="AD31" s="38">
        <f t="array" ref="AD31">sum(if(D31-$D$23=1,1,0),if(E31-$E$23=1,1,0),if(F31-$F$23=1,1,0),if(G31-$G$23=1,1,0),if(H31-$H$23=1,1,0),if(I31-$I$23=1,1,0),if(J31-$J$23=1,1,0),if(K31-$K$23=1,1,0),if(L31-$L$23=1,1,0),if(M31-$M$23=1,1,0),if(N31-$N$23=1,1,0),if(O31-$O$23=1,1,0),if(P31-$P$23=1,1,0),if(Q31-$Q$23=1,1,0),if(R31-$R$23=1,1,0),if(S31-$S$23=1,1,0),if(T31-$T$23=1,1,0),if(U31-$U$23=1,1,0))</f>
        <v>7</v>
      </c>
      <c r="AE31" s="38">
        <f t="array" ref="AE31">sum(if(D31-$D$23=2,1,0),if(E31-$E$23=2,1,0),if(F31-$F$23=2,1,0),if(G31-$G$23=2,1,0),if(H31-$H$23=2,1,0),if(I31-$I$23=2,1,0),if(J31-$J$23=2,1,0),if(K31-$K$23=2,1,0),if(L31-$L$23=2,1,0),if(M31-$M$23=2,1,0),if(N31-$N$23=2,1,0),if(O31-$O$23=2,1,0),if(P31-$P$23=2,1,0),if(Q31-$Q$23=2,1,0),if(R31-$R$23=2,1,0),if(S31-$S$23=2,1,0),if(T31-$T$23=2,1,0),if(U31-$U$23=2,1,0))</f>
        <v>4</v>
      </c>
      <c r="AF31" s="38">
        <f t="array" ref="AF31">sum(if(D31-$D$23=3,1,0),if(E31-$E$23=3,1,0),if(F31-$F$23=3,1,0),if(G31-$G$23=3,1,0),if(H31-$H$23=3,1,0),if(I31-$I$23=3,1,0),if(J31-$J$23=3,1,0),if(K31-$K$23=3,1,0),if(L31-$L$23=3,1,0),if(M31-$M$23=3,1,0),if(N31-$N$23=3,1,0),if(O31-$O$23=3,1,0),if(P31-$P$23=3,1,0),if(Q31-$Q$23=3,1,0),if(R31-$R$23=3,1,0),if(S31-$S$23=3,1,0),if(T31-$T$23=3,1,0),if(U31-$U$23=3,1,0))</f>
        <v>0</v>
      </c>
      <c r="AG31" s="38">
        <f t="array" ref="AG31">sum(if(D31-$D$23&gt;3,1,0),if(E31-$E$23&gt;3,1,0),if(F31-$F$23&gt;3,1,0),if(G31-$G$23&gt;3,1,0),if(H31-$H$23&gt;3,1,0),if(I31-$I$23&gt;3,1,0),if(J31-$J$23&gt;3,1,0),if(K31-$K$23&gt;3,1,0),if(L31-$L$23&gt;3,1,0),if(M31-$M$23&gt;3,1,0),if(N31-$N$23&gt;3,1,0),if(O31-$O$23&gt;3,1,0),if(P31-$P$23&gt;3,1,0),if(Q31-$Q$23&gt;3,1,0),if(R31-$R$23&gt;3,1,0),if(S31-$S$23&gt;3,1,0),if(T31-$T$23&gt;3,1,0),if(U31-$U$23&gt;3,1,0))</f>
        <v>0</v>
      </c>
      <c r="AH31" s="38">
        <f t="shared" si="10"/>
        <v>18</v>
      </c>
    </row>
    <row r="32" ht="12.75" customHeight="1">
      <c r="A32" s="32" t="str">
        <f>SETUP!A13</f>
        <v>John C</v>
      </c>
      <c r="B32" s="33">
        <f t="array" ref="B32">if(A32="","",index(SETUP!D:D,match(A32,SETUP!A:A,0)))</f>
        <v>20</v>
      </c>
      <c r="C32" s="39"/>
      <c r="D32" s="35">
        <v>6.0</v>
      </c>
      <c r="E32" s="35">
        <v>6.0</v>
      </c>
      <c r="F32" s="35">
        <v>7.0</v>
      </c>
      <c r="G32" s="35">
        <v>3.0</v>
      </c>
      <c r="H32" s="35">
        <v>5.0</v>
      </c>
      <c r="I32" s="35">
        <v>5.0</v>
      </c>
      <c r="J32" s="35">
        <v>6.0</v>
      </c>
      <c r="K32" s="35">
        <v>5.0</v>
      </c>
      <c r="L32" s="35">
        <v>6.0</v>
      </c>
      <c r="M32" s="35">
        <v>5.0</v>
      </c>
      <c r="N32" s="35">
        <v>10.0</v>
      </c>
      <c r="O32" s="35">
        <v>6.0</v>
      </c>
      <c r="P32" s="35">
        <v>5.0</v>
      </c>
      <c r="Q32" s="35">
        <v>6.0</v>
      </c>
      <c r="R32" s="35">
        <v>6.0</v>
      </c>
      <c r="S32" s="35">
        <v>7.0</v>
      </c>
      <c r="T32" s="35">
        <v>6.0</v>
      </c>
      <c r="U32" s="35">
        <v>6.0</v>
      </c>
      <c r="V32" s="36">
        <f t="shared" si="6"/>
        <v>49</v>
      </c>
      <c r="W32" s="36">
        <f t="shared" si="7"/>
        <v>57</v>
      </c>
      <c r="X32" s="36">
        <f t="shared" si="8"/>
        <v>106</v>
      </c>
      <c r="Y32" s="37">
        <f t="shared" si="9"/>
        <v>86</v>
      </c>
      <c r="Z32" s="38">
        <f t="array" ref="Z32">sum(if(D32-$D$23=-3,1,0),if(E32-$E$23=-3,1,0),if(F32-$F$23=-3,1,0),if(G32-$G$23=-3,1,0),if(H32-$H$23=-3,1,0),if(I32-$I$23=-3,1,0),if(J32-$J$23=-3,1,0),if(K32-$K$23=-3,1,0),if(L32-$L$23=-3,1,0),if(M32-$M$23=-3,1,0),if(N32-$N$23=-3,1,0),if(O32-$O$23=-3,1,0),if(P32-$P$23=-3,1,0),if(Q32-$Q$23=-3,1,0),if(R32-$R$23=-3,1,0),if(S32-$S$23=-3,1,0),if(T32-$T$23=-3,1,0),if(U32-$U$23=-3,1,0))</f>
        <v>0</v>
      </c>
      <c r="AA32" s="38">
        <f t="array" ref="AA32">sum(if(D32-$D$23=-2,1,0),if(E32-$E$23=-2,1,0),if(F32-$F$23=-2,1,0),if(G32-$G$23=-2,1,0),if(H32-$H$23=-2,1,0),if(I32-$I$23=-2,1,0),if(J32-$J$23=-2,1,0),if(K32-$K$23=-2,1,0),if(L32-$L$23=-2,1,0),if(M32-$M$23=-2,1,0),if(N32-$N$23=-2,1,0),if(O32-$O$23=-2,1,0),if(P32-$P$23=-2,1,0),if(Q32-$Q$23=-2,1,0),if(R32-$R$23=-2,1,0),if(S32-$S$23=-2,1,0),if(T32-$T$23=-2,1,0),if(U32-$U$23=-2,1,0))</f>
        <v>0</v>
      </c>
      <c r="AB32" s="38">
        <f t="array" ref="AB32">sum(if(D32-$D$23=-1,1,0),if(E32-$E$23=-1,1,0),if(F32-$F$23=-1,1,0),if(G32-$G$23=-1,1,0),if(H32-$H$23=-1,1,0),if(I32-$I$23=-1,1,0),if(J32-$J$23=-1,1,0),if(K32-$K$23=-1,1,0),if(L32-$L$23=-1,1,0),if(M32-$M$23=-1,1,0),if(N32-$N$23=-1,1,0),if(O32-$O$23=-1,1,0),if(P32-$P$23=-1,1,0),if(Q32-$Q$23=-1,1,0),if(R32-$R$23=-1,1,0),if(S32-$S$23=-1,1,0),if(T32-$T$23=-1,1,0),if(U32-$U$23=-1,1,0))</f>
        <v>0</v>
      </c>
      <c r="AC32" s="38">
        <f t="array" ref="AC32">sum(if(D32-$D$23=0,1,0),if(E32-$E$23=0,1,0),if(F32-$F$23=0,1,0),if(G32-$G$23=0,1,0),if(H32-$H$23=0,1,0),if(I32-$I$23=0,1,0),if(J32-$J$23=0,1,0),if(K32-$K$23=0,1,0),if(L32-$L$23=0,1,0),if(M32-$M$23=0,1,0),if(N32-$N$23=0,1,0),if(O32-$O$23=0,1,0),if(P32-$P$23=0,1,0),if(Q32-$Q$23=0,1,0),if(R32-$R$23=0,1,0),if(S32-$S$23=0,1,0),if(T32-$T$23=0,1,0),if(U32-$U$23=0,1,0))</f>
        <v>2</v>
      </c>
      <c r="AD32" s="38">
        <f t="array" ref="AD32">sum(if(D32-$D$23=1,1,0),if(E32-$E$23=1,1,0),if(F32-$F$23=1,1,0),if(G32-$G$23=1,1,0),if(H32-$H$23=1,1,0),if(I32-$I$23=1,1,0),if(J32-$J$23=1,1,0),if(K32-$K$23=1,1,0),if(L32-$L$23=1,1,0),if(M32-$M$23=1,1,0),if(N32-$N$23=1,1,0),if(O32-$O$23=1,1,0),if(P32-$P$23=1,1,0),if(Q32-$Q$23=1,1,0),if(R32-$R$23=1,1,0),if(S32-$S$23=1,1,0),if(T32-$T$23=1,1,0),if(U32-$U$23=1,1,0))</f>
        <v>5</v>
      </c>
      <c r="AE32" s="38">
        <f t="array" ref="AE32">sum(if(D32-$D$23=2,1,0),if(E32-$E$23=2,1,0),if(F32-$F$23=2,1,0),if(G32-$G$23=2,1,0),if(H32-$H$23=2,1,0),if(I32-$I$23=2,1,0),if(J32-$J$23=2,1,0),if(K32-$K$23=2,1,0),if(L32-$L$23=2,1,0),if(M32-$M$23=2,1,0),if(N32-$N$23=2,1,0),if(O32-$O$23=2,1,0),if(P32-$P$23=2,1,0),if(Q32-$Q$23=2,1,0),if(R32-$R$23=2,1,0),if(S32-$S$23=2,1,0),if(T32-$T$23=2,1,0),if(U32-$U$23=2,1,0))</f>
        <v>8</v>
      </c>
      <c r="AF32" s="38">
        <f t="array" ref="AF32">sum(if(D32-$D$23=3,1,0),if(E32-$E$23=3,1,0),if(F32-$F$23=3,1,0),if(G32-$G$23=3,1,0),if(H32-$H$23=3,1,0),if(I32-$I$23=3,1,0),if(J32-$J$23=3,1,0),if(K32-$K$23=3,1,0),if(L32-$L$23=3,1,0),if(M32-$M$23=3,1,0),if(N32-$N$23=3,1,0),if(O32-$O$23=3,1,0),if(P32-$P$23=3,1,0),if(Q32-$Q$23=3,1,0),if(R32-$R$23=3,1,0),if(S32-$S$23=3,1,0),if(T32-$T$23=3,1,0),if(U32-$U$23=3,1,0))</f>
        <v>2</v>
      </c>
      <c r="AG32" s="38">
        <f t="array" ref="AG32">sum(if(D32-$D$23&gt;3,1,0),if(E32-$E$23&gt;3,1,0),if(F32-$F$23&gt;3,1,0),if(G32-$G$23&gt;3,1,0),if(H32-$H$23&gt;3,1,0),if(I32-$I$23&gt;3,1,0),if(J32-$J$23&gt;3,1,0),if(K32-$K$23&gt;3,1,0),if(L32-$L$23&gt;3,1,0),if(M32-$M$23&gt;3,1,0),if(N32-$N$23&gt;3,1,0),if(O32-$O$23&gt;3,1,0),if(P32-$P$23&gt;3,1,0),if(Q32-$Q$23&gt;3,1,0),if(R32-$R$23&gt;3,1,0),if(S32-$S$23&gt;3,1,0),if(T32-$T$23&gt;3,1,0),if(U32-$U$23&gt;3,1,0))</f>
        <v>1</v>
      </c>
      <c r="AH32" s="38">
        <f t="shared" si="10"/>
        <v>18</v>
      </c>
    </row>
    <row r="33" ht="12.75" customHeight="1">
      <c r="A33" s="32" t="str">
        <f>SETUP!A14</f>
        <v>Ray H</v>
      </c>
      <c r="B33" s="33">
        <f t="array" ref="B33">if(A33="","",index(SETUP!D:D,match(A33,SETUP!A:A,0)))</f>
        <v>20</v>
      </c>
      <c r="C33" s="34"/>
      <c r="D33" s="35">
        <v>6.0</v>
      </c>
      <c r="E33" s="35">
        <v>6.0</v>
      </c>
      <c r="F33" s="35">
        <v>5.0</v>
      </c>
      <c r="G33" s="35">
        <v>4.0</v>
      </c>
      <c r="H33" s="35">
        <v>5.0</v>
      </c>
      <c r="I33" s="35">
        <v>7.0</v>
      </c>
      <c r="J33" s="35">
        <v>5.0</v>
      </c>
      <c r="K33" s="35">
        <v>4.0</v>
      </c>
      <c r="L33" s="35">
        <v>10.0</v>
      </c>
      <c r="M33" s="35">
        <v>8.0</v>
      </c>
      <c r="N33" s="35">
        <v>4.0</v>
      </c>
      <c r="O33" s="35">
        <v>7.0</v>
      </c>
      <c r="P33" s="35">
        <v>7.0</v>
      </c>
      <c r="Q33" s="35">
        <v>5.0</v>
      </c>
      <c r="R33" s="35">
        <v>5.0</v>
      </c>
      <c r="S33" s="35">
        <v>8.0</v>
      </c>
      <c r="T33" s="35">
        <v>4.0</v>
      </c>
      <c r="U33" s="35">
        <v>8.0</v>
      </c>
      <c r="V33" s="36">
        <f t="shared" si="6"/>
        <v>52</v>
      </c>
      <c r="W33" s="36">
        <f t="shared" si="7"/>
        <v>56</v>
      </c>
      <c r="X33" s="36">
        <f t="shared" si="8"/>
        <v>108</v>
      </c>
      <c r="Y33" s="37">
        <f t="shared" si="9"/>
        <v>88</v>
      </c>
      <c r="Z33" s="38">
        <f t="array" ref="Z33">sum(if(D33-$D$23=-3,1,0),if(E33-$E$23=-3,1,0),if(F33-$F$23=-3,1,0),if(G33-$G$23=-3,1,0),if(H33-$H$23=-3,1,0),if(I33-$I$23=-3,1,0),if(J33-$J$23=-3,1,0),if(K33-$K$23=-3,1,0),if(L33-$L$23=-3,1,0),if(M33-$M$23=-3,1,0),if(N33-$N$23=-3,1,0),if(O33-$O$23=-3,1,0),if(P33-$P$23=-3,1,0),if(Q33-$Q$23=-3,1,0),if(R33-$R$23=-3,1,0),if(S33-$S$23=-3,1,0),if(T33-$T$23=-3,1,0),if(U33-$U$23=-3,1,0))</f>
        <v>0</v>
      </c>
      <c r="AA33" s="38">
        <f t="array" ref="AA33">sum(if(D33-$D$23=-2,1,0),if(E33-$E$23=-2,1,0),if(F33-$F$23=-2,1,0),if(G33-$G$23=-2,1,0),if(H33-$H$23=-2,1,0),if(I33-$I$23=-2,1,0),if(J33-$J$23=-2,1,0),if(K33-$K$23=-2,1,0),if(L33-$L$23=-2,1,0),if(M33-$M$23=-2,1,0),if(N33-$N$23=-2,1,0),if(O33-$O$23=-2,1,0),if(P33-$P$23=-2,1,0),if(Q33-$Q$23=-2,1,0),if(R33-$R$23=-2,1,0),if(S33-$S$23=-2,1,0),if(T33-$T$23=-2,1,0),if(U33-$U$23=-2,1,0))</f>
        <v>0</v>
      </c>
      <c r="AB33" s="38">
        <f t="array" ref="AB33">sum(if(D33-$D$23=-1,1,0),if(E33-$E$23=-1,1,0),if(F33-$F$23=-1,1,0),if(G33-$G$23=-1,1,0),if(H33-$H$23=-1,1,0),if(I33-$I$23=-1,1,0),if(J33-$J$23=-1,1,0),if(K33-$K$23=-1,1,0),if(L33-$L$23=-1,1,0),if(M33-$M$23=-1,1,0),if(N33-$N$23=-1,1,0),if(O33-$O$23=-1,1,0),if(P33-$P$23=-1,1,0),if(Q33-$Q$23=-1,1,0),if(R33-$R$23=-1,1,0),if(S33-$S$23=-1,1,0),if(T33-$T$23=-1,1,0),if(U33-$U$23=-1,1,0))</f>
        <v>0</v>
      </c>
      <c r="AC33" s="38">
        <f t="array" ref="AC33">sum(if(D33-$D$23=0,1,0),if(E33-$E$23=0,1,0),if(F33-$F$23=0,1,0),if(G33-$G$23=0,1,0),if(H33-$H$23=0,1,0),if(I33-$I$23=0,1,0),if(J33-$J$23=0,1,0),if(K33-$K$23=0,1,0),if(L33-$L$23=0,1,0),if(M33-$M$23=0,1,0),if(N33-$N$23=0,1,0),if(O33-$O$23=0,1,0),if(P33-$P$23=0,1,0),if(Q33-$Q$23=0,1,0),if(R33-$R$23=0,1,0),if(S33-$S$23=0,1,0),if(T33-$T$23=0,1,0),if(U33-$U$23=0,1,0))</f>
        <v>0</v>
      </c>
      <c r="AD33" s="38">
        <f t="array" ref="AD33">sum(if(D33-$D$23=1,1,0),if(E33-$E$23=1,1,0),if(F33-$F$23=1,1,0),if(G33-$G$23=1,1,0),if(H33-$H$23=1,1,0),if(I33-$I$23=1,1,0),if(J33-$J$23=1,1,0),if(K33-$K$23=1,1,0),if(L33-$L$23=1,1,0),if(M33-$M$23=1,1,0),if(N33-$N$23=1,1,0),if(O33-$O$23=1,1,0),if(P33-$P$23=1,1,0),if(Q33-$Q$23=1,1,0),if(R33-$R$23=1,1,0),if(S33-$S$23=1,1,0),if(T33-$T$23=1,1,0),if(U33-$U$23=1,1,0))</f>
        <v>10</v>
      </c>
      <c r="AE33" s="38">
        <f t="array" ref="AE33">sum(if(D33-$D$23=2,1,0),if(E33-$E$23=2,1,0),if(F33-$F$23=2,1,0),if(G33-$G$23=2,1,0),if(H33-$H$23=2,1,0),if(I33-$I$23=2,1,0),if(J33-$J$23=2,1,0),if(K33-$K$23=2,1,0),if(L33-$L$23=2,1,0),if(M33-$M$23=2,1,0),if(N33-$N$23=2,1,0),if(O33-$O$23=2,1,0),if(P33-$P$23=2,1,0),if(Q33-$Q$23=2,1,0),if(R33-$R$23=2,1,0),if(S33-$S$23=2,1,0),if(T33-$T$23=2,1,0),if(U33-$U$23=2,1,0))</f>
        <v>3</v>
      </c>
      <c r="AF33" s="38">
        <f t="array" ref="AF33">sum(if(D33-$D$23=3,1,0),if(E33-$E$23=3,1,0),if(F33-$F$23=3,1,0),if(G33-$G$23=3,1,0),if(H33-$H$23=3,1,0),if(I33-$I$23=3,1,0),if(J33-$J$23=3,1,0),if(K33-$K$23=3,1,0),if(L33-$L$23=3,1,0),if(M33-$M$23=3,1,0),if(N33-$N$23=3,1,0),if(O33-$O$23=3,1,0),if(P33-$P$23=3,1,0),if(Q33-$Q$23=3,1,0),if(R33-$R$23=3,1,0),if(S33-$S$23=3,1,0),if(T33-$T$23=3,1,0),if(U33-$U$23=3,1,0))</f>
        <v>2</v>
      </c>
      <c r="AG33" s="38">
        <f t="array" ref="AG33">sum(if(D33-$D$23&gt;3,1,0),if(E33-$E$23&gt;3,1,0),if(F33-$F$23&gt;3,1,0),if(G33-$G$23&gt;3,1,0),if(H33-$H$23&gt;3,1,0),if(I33-$I$23&gt;3,1,0),if(J33-$J$23&gt;3,1,0),if(K33-$K$23&gt;3,1,0),if(L33-$L$23&gt;3,1,0),if(M33-$M$23&gt;3,1,0),if(N33-$N$23&gt;3,1,0),if(O33-$O$23&gt;3,1,0),if(P33-$P$23&gt;3,1,0),if(Q33-$Q$23&gt;3,1,0),if(R33-$R$23&gt;3,1,0),if(S33-$S$23&gt;3,1,0),if(T33-$T$23&gt;3,1,0),if(U33-$U$23&gt;3,1,0))</f>
        <v>3</v>
      </c>
      <c r="AH33" s="38">
        <f t="shared" si="10"/>
        <v>18</v>
      </c>
    </row>
    <row r="34" ht="12.75" customHeight="1">
      <c r="A34" s="32" t="str">
        <f>SETUP!A15</f>
        <v>Russ W</v>
      </c>
      <c r="B34" s="33">
        <f t="array" ref="B34">if(A34="","",index(SETUP!D:D,match(A34,SETUP!A:A,0)))</f>
        <v>14</v>
      </c>
      <c r="C34" s="40"/>
      <c r="D34" s="35">
        <v>5.0</v>
      </c>
      <c r="E34" s="35">
        <v>6.0</v>
      </c>
      <c r="F34" s="35">
        <v>4.0</v>
      </c>
      <c r="G34" s="35">
        <v>3.0</v>
      </c>
      <c r="H34" s="35">
        <v>4.0</v>
      </c>
      <c r="I34" s="35">
        <v>5.0</v>
      </c>
      <c r="J34" s="35">
        <v>4.0</v>
      </c>
      <c r="K34" s="35">
        <v>4.0</v>
      </c>
      <c r="L34" s="35">
        <v>5.0</v>
      </c>
      <c r="M34" s="35">
        <v>5.0</v>
      </c>
      <c r="N34" s="35">
        <v>6.0</v>
      </c>
      <c r="O34" s="35">
        <v>5.0</v>
      </c>
      <c r="P34" s="35">
        <v>6.0</v>
      </c>
      <c r="Q34" s="35">
        <v>7.0</v>
      </c>
      <c r="R34" s="35">
        <v>5.0</v>
      </c>
      <c r="S34" s="35">
        <v>7.0</v>
      </c>
      <c r="T34" s="35">
        <v>7.0</v>
      </c>
      <c r="U34" s="35">
        <v>6.0</v>
      </c>
      <c r="V34" s="36">
        <f t="shared" si="6"/>
        <v>40</v>
      </c>
      <c r="W34" s="36">
        <f t="shared" si="7"/>
        <v>54</v>
      </c>
      <c r="X34" s="36">
        <f t="shared" si="8"/>
        <v>94</v>
      </c>
      <c r="Y34" s="37">
        <f t="shared" si="9"/>
        <v>80</v>
      </c>
      <c r="Z34" s="38">
        <f t="array" ref="Z34">sum(if(D34-$D$23=-3,1,0),if(E34-$E$23=-3,1,0),if(F34-$F$23=-3,1,0),if(G34-$G$23=-3,1,0),if(H34-$H$23=-3,1,0),if(I34-$I$23=-3,1,0),if(J34-$J$23=-3,1,0),if(K34-$K$23=-3,1,0),if(L34-$L$23=-3,1,0),if(M34-$M$23=-3,1,0),if(N34-$N$23=-3,1,0),if(O34-$O$23=-3,1,0),if(P34-$P$23=-3,1,0),if(Q34-$Q$23=-3,1,0),if(R34-$R$23=-3,1,0),if(S34-$S$23=-3,1,0),if(T34-$T$23=-3,1,0),if(U34-$U$23=-3,1,0))</f>
        <v>0</v>
      </c>
      <c r="AA34" s="38">
        <f t="array" ref="AA34">sum(if(D34-$D$23=-2,1,0),if(E34-$E$23=-2,1,0),if(F34-$F$23=-2,1,0),if(G34-$G$23=-2,1,0),if(H34-$H$23=-2,1,0),if(I34-$I$23=-2,1,0),if(J34-$J$23=-2,1,0),if(K34-$K$23=-2,1,0),if(L34-$L$23=-2,1,0),if(M34-$M$23=-2,1,0),if(N34-$N$23=-2,1,0),if(O34-$O$23=-2,1,0),if(P34-$P$23=-2,1,0),if(Q34-$Q$23=-2,1,0),if(R34-$R$23=-2,1,0),if(S34-$S$23=-2,1,0),if(T34-$T$23=-2,1,0),if(U34-$U$23=-2,1,0))</f>
        <v>0</v>
      </c>
      <c r="AB34" s="38">
        <f t="array" ref="AB34">sum(if(D34-$D$23=-1,1,0),if(E34-$E$23=-1,1,0),if(F34-$F$23=-1,1,0),if(G34-$G$23=-1,1,0),if(H34-$H$23=-1,1,0),if(I34-$I$23=-1,1,0),if(J34-$J$23=-1,1,0),if(K34-$K$23=-1,1,0),if(L34-$L$23=-1,1,0),if(M34-$M$23=-1,1,0),if(N34-$N$23=-1,1,0),if(O34-$O$23=-1,1,0),if(P34-$P$23=-1,1,0),if(Q34-$Q$23=-1,1,0),if(R34-$R$23=-1,1,0),if(S34-$S$23=-1,1,0),if(T34-$T$23=-1,1,0),if(U34-$U$23=-1,1,0))</f>
        <v>0</v>
      </c>
      <c r="AC34" s="38">
        <f t="array" ref="AC34">sum(if(D34-$D$23=0,1,0),if(E34-$E$23=0,1,0),if(F34-$F$23=0,1,0),if(G34-$G$23=0,1,0),if(H34-$H$23=0,1,0),if(I34-$I$23=0,1,0),if(J34-$J$23=0,1,0),if(K34-$K$23=0,1,0),if(L34-$L$23=0,1,0),if(M34-$M$23=0,1,0),if(N34-$N$23=0,1,0),if(O34-$O$23=0,1,0),if(P34-$P$23=0,1,0),if(Q34-$Q$23=0,1,0),if(R34-$R$23=0,1,0),if(S34-$S$23=0,1,0),if(T34-$T$23=0,1,0),if(U34-$U$23=0,1,0))</f>
        <v>6</v>
      </c>
      <c r="AD34" s="38">
        <f t="array" ref="AD34">sum(if(D34-$D$23=1,1,0),if(E34-$E$23=1,1,0),if(F34-$F$23=1,1,0),if(G34-$G$23=1,1,0),if(H34-$H$23=1,1,0),if(I34-$I$23=1,1,0),if(J34-$J$23=1,1,0),if(K34-$K$23=1,1,0),if(L34-$L$23=1,1,0),if(M34-$M$23=1,1,0),if(N34-$N$23=1,1,0),if(O34-$O$23=1,1,0),if(P34-$P$23=1,1,0),if(Q34-$Q$23=1,1,0),if(R34-$R$23=1,1,0),if(S34-$S$23=1,1,0),if(T34-$T$23=1,1,0),if(U34-$U$23=1,1,0))</f>
        <v>6</v>
      </c>
      <c r="AE34" s="38">
        <f t="array" ref="AE34">sum(if(D34-$D$23=2,1,0),if(E34-$E$23=2,1,0),if(F34-$F$23=2,1,0),if(G34-$G$23=2,1,0),if(H34-$H$23=2,1,0),if(I34-$I$23=2,1,0),if(J34-$J$23=2,1,0),if(K34-$K$23=2,1,0),if(L34-$L$23=2,1,0),if(M34-$M$23=2,1,0),if(N34-$N$23=2,1,0),if(O34-$O$23=2,1,0),if(P34-$P$23=2,1,0),if(Q34-$Q$23=2,1,0),if(R34-$R$23=2,1,0),if(S34-$S$23=2,1,0),if(T34-$T$23=2,1,0),if(U34-$U$23=2,1,0))</f>
        <v>3</v>
      </c>
      <c r="AF34" s="38">
        <f t="array" ref="AF34">sum(if(D34-$D$23=3,1,0),if(E34-$E$23=3,1,0),if(F34-$F$23=3,1,0),if(G34-$G$23=3,1,0),if(H34-$H$23=3,1,0),if(I34-$I$23=3,1,0),if(J34-$J$23=3,1,0),if(K34-$K$23=3,1,0),if(L34-$L$23=3,1,0),if(M34-$M$23=3,1,0),if(N34-$N$23=3,1,0),if(O34-$O$23=3,1,0),if(P34-$P$23=3,1,0),if(Q34-$Q$23=3,1,0),if(R34-$R$23=3,1,0),if(S34-$S$23=3,1,0),if(T34-$T$23=3,1,0),if(U34-$U$23=3,1,0))</f>
        <v>2</v>
      </c>
      <c r="AG34" s="38">
        <f t="array" ref="AG34">sum(if(D34-$D$23&gt;3,1,0),if(E34-$E$23&gt;3,1,0),if(F34-$F$23&gt;3,1,0),if(G34-$G$23&gt;3,1,0),if(H34-$H$23&gt;3,1,0),if(I34-$I$23&gt;3,1,0),if(J34-$J$23&gt;3,1,0),if(K34-$K$23&gt;3,1,0),if(L34-$L$23&gt;3,1,0),if(M34-$M$23&gt;3,1,0),if(N34-$N$23&gt;3,1,0),if(O34-$O$23&gt;3,1,0),if(P34-$P$23&gt;3,1,0),if(Q34-$Q$23&gt;3,1,0),if(R34-$R$23&gt;3,1,0),if(S34-$S$23&gt;3,1,0),if(T34-$T$23&gt;3,1,0),if(U34-$U$23&gt;3,1,0))</f>
        <v>1</v>
      </c>
      <c r="AH34" s="38">
        <f t="shared" si="10"/>
        <v>18</v>
      </c>
    </row>
    <row r="35" ht="12.75" customHeight="1">
      <c r="A35" s="32" t="str">
        <f>SETUP!A16</f>
        <v>Scott R</v>
      </c>
      <c r="B35" s="33">
        <f t="array" ref="B35">if(A35="","",index(SETUP!D:D,match(A35,SETUP!A:A,0)))</f>
        <v>8</v>
      </c>
      <c r="C35" s="40"/>
      <c r="D35" s="35">
        <v>4.0</v>
      </c>
      <c r="E35" s="35">
        <v>7.0</v>
      </c>
      <c r="F35" s="35">
        <v>4.0</v>
      </c>
      <c r="G35" s="35">
        <v>2.0</v>
      </c>
      <c r="H35" s="35">
        <v>4.0</v>
      </c>
      <c r="I35" s="35">
        <v>4.0</v>
      </c>
      <c r="J35" s="35">
        <v>4.0</v>
      </c>
      <c r="K35" s="35">
        <v>4.0</v>
      </c>
      <c r="L35" s="35">
        <v>6.0</v>
      </c>
      <c r="M35" s="35">
        <v>4.0</v>
      </c>
      <c r="N35" s="35">
        <v>3.0</v>
      </c>
      <c r="O35" s="35">
        <v>5.0</v>
      </c>
      <c r="P35" s="35">
        <v>4.0</v>
      </c>
      <c r="Q35" s="35">
        <v>5.0</v>
      </c>
      <c r="R35" s="35">
        <v>3.0</v>
      </c>
      <c r="S35" s="35">
        <v>5.0</v>
      </c>
      <c r="T35" s="35">
        <v>4.0</v>
      </c>
      <c r="U35" s="35">
        <v>7.0</v>
      </c>
      <c r="V35" s="36">
        <f t="shared" si="6"/>
        <v>39</v>
      </c>
      <c r="W35" s="36">
        <f t="shared" si="7"/>
        <v>40</v>
      </c>
      <c r="X35" s="36">
        <f t="shared" si="8"/>
        <v>79</v>
      </c>
      <c r="Y35" s="37">
        <f t="shared" si="9"/>
        <v>71</v>
      </c>
      <c r="Z35" s="38">
        <f t="array" ref="Z35">sum(if(D35-$D$23=-3,1,0),if(E35-$E$23=-3,1,0),if(F35-$F$23=-3,1,0),if(G35-$G$23=-3,1,0),if(H35-$H$23=-3,1,0),if(I35-$I$23=-3,1,0),if(J35-$J$23=-3,1,0),if(K35-$K$23=-3,1,0),if(L35-$L$23=-3,1,0),if(M35-$M$23=-3,1,0),if(N35-$N$23=-3,1,0),if(O35-$O$23=-3,1,0),if(P35-$P$23=-3,1,0),if(Q35-$Q$23=-3,1,0),if(R35-$R$23=-3,1,0),if(S35-$S$23=-3,1,0),if(T35-$T$23=-3,1,0),if(U35-$U$23=-3,1,0))</f>
        <v>0</v>
      </c>
      <c r="AA35" s="38">
        <f t="array" ref="AA35">sum(if(D35-$D$23=-2,1,0),if(E35-$E$23=-2,1,0),if(F35-$F$23=-2,1,0),if(G35-$G$23=-2,1,0),if(H35-$H$23=-2,1,0),if(I35-$I$23=-2,1,0),if(J35-$J$23=-2,1,0),if(K35-$K$23=-2,1,0),if(L35-$L$23=-2,1,0),if(M35-$M$23=-2,1,0),if(N35-$N$23=-2,1,0),if(O35-$O$23=-2,1,0),if(P35-$P$23=-2,1,0),if(Q35-$Q$23=-2,1,0),if(R35-$R$23=-2,1,0),if(S35-$S$23=-2,1,0),if(T35-$T$23=-2,1,0),if(U35-$U$23=-2,1,0))</f>
        <v>0</v>
      </c>
      <c r="AB35" s="38">
        <f t="array" ref="AB35">sum(if(D35-$D$23=-1,1,0),if(E35-$E$23=-1,1,0),if(F35-$F$23=-1,1,0),if(G35-$G$23=-1,1,0),if(H35-$H$23=-1,1,0),if(I35-$I$23=-1,1,0),if(J35-$J$23=-1,1,0),if(K35-$K$23=-1,1,0),if(L35-$L$23=-1,1,0),if(M35-$M$23=-1,1,0),if(N35-$N$23=-1,1,0),if(O35-$O$23=-1,1,0),if(P35-$P$23=-1,1,0),if(Q35-$Q$23=-1,1,0),if(R35-$R$23=-1,1,0),if(S35-$S$23=-1,1,0),if(T35-$T$23=-1,1,0),if(U35-$U$23=-1,1,0))</f>
        <v>3</v>
      </c>
      <c r="AC35" s="38">
        <f t="array" ref="AC35">sum(if(D35-$D$23=0,1,0),if(E35-$E$23=0,1,0),if(F35-$F$23=0,1,0),if(G35-$G$23=0,1,0),if(H35-$H$23=0,1,0),if(I35-$I$23=0,1,0),if(J35-$J$23=0,1,0),if(K35-$K$23=0,1,0),if(L35-$L$23=0,1,0),if(M35-$M$23=0,1,0),if(N35-$N$23=0,1,0),if(O35-$O$23=0,1,0),if(P35-$P$23=0,1,0),if(Q35-$Q$23=0,1,0),if(R35-$R$23=0,1,0),if(S35-$S$23=0,1,0),if(T35-$T$23=0,1,0),if(U35-$U$23=0,1,0))</f>
        <v>9</v>
      </c>
      <c r="AD35" s="38">
        <f t="array" ref="AD35">sum(if(D35-$D$23=1,1,0),if(E35-$E$23=1,1,0),if(F35-$F$23=1,1,0),if(G35-$G$23=1,1,0),if(H35-$H$23=1,1,0),if(I35-$I$23=1,1,0),if(J35-$J$23=1,1,0),if(K35-$K$23=1,1,0),if(L35-$L$23=1,1,0),if(M35-$M$23=1,1,0),if(N35-$N$23=1,1,0),if(O35-$O$23=1,1,0),if(P35-$P$23=1,1,0),if(Q35-$Q$23=1,1,0),if(R35-$R$23=1,1,0),if(S35-$S$23=1,1,0),if(T35-$T$23=1,1,0),if(U35-$U$23=1,1,0))</f>
        <v>3</v>
      </c>
      <c r="AE35" s="38">
        <f t="array" ref="AE35">sum(if(D35-$D$23=2,1,0),if(E35-$E$23=2,1,0),if(F35-$F$23=2,1,0),if(G35-$G$23=2,1,0),if(H35-$H$23=2,1,0),if(I35-$I$23=2,1,0),if(J35-$J$23=2,1,0),if(K35-$K$23=2,1,0),if(L35-$L$23=2,1,0),if(M35-$M$23=2,1,0),if(N35-$N$23=2,1,0),if(O35-$O$23=2,1,0),if(P35-$P$23=2,1,0),if(Q35-$Q$23=2,1,0),if(R35-$R$23=2,1,0),if(S35-$S$23=2,1,0),if(T35-$T$23=2,1,0),if(U35-$U$23=2,1,0))</f>
        <v>2</v>
      </c>
      <c r="AF35" s="38">
        <f t="array" ref="AF35">sum(if(D35-$D$23=3,1,0),if(E35-$E$23=3,1,0),if(F35-$F$23=3,1,0),if(G35-$G$23=3,1,0),if(H35-$H$23=3,1,0),if(I35-$I$23=3,1,0),if(J35-$J$23=3,1,0),if(K35-$K$23=3,1,0),if(L35-$L$23=3,1,0),if(M35-$M$23=3,1,0),if(N35-$N$23=3,1,0),if(O35-$O$23=3,1,0),if(P35-$P$23=3,1,0),if(Q35-$Q$23=3,1,0),if(R35-$R$23=3,1,0),if(S35-$S$23=3,1,0),if(T35-$T$23=3,1,0),if(U35-$U$23=3,1,0))</f>
        <v>1</v>
      </c>
      <c r="AG35" s="38">
        <f t="array" ref="AG35">sum(if(D35-$D$23&gt;3,1,0),if(E35-$E$23&gt;3,1,0),if(F35-$F$23&gt;3,1,0),if(G35-$G$23&gt;3,1,0),if(H35-$H$23&gt;3,1,0),if(I35-$I$23&gt;3,1,0),if(J35-$J$23&gt;3,1,0),if(K35-$K$23&gt;3,1,0),if(L35-$L$23&gt;3,1,0),if(M35-$M$23&gt;3,1,0),if(N35-$N$23&gt;3,1,0),if(O35-$O$23&gt;3,1,0),if(P35-$P$23&gt;3,1,0),if(Q35-$Q$23&gt;3,1,0),if(R35-$R$23&gt;3,1,0),if(S35-$S$23&gt;3,1,0),if(T35-$T$23&gt;3,1,0),if(U35-$U$23&gt;3,1,0))</f>
        <v>0</v>
      </c>
      <c r="AH35" s="38">
        <f t="shared" si="10"/>
        <v>18</v>
      </c>
    </row>
    <row r="36" ht="12.75" customHeight="1">
      <c r="A36" s="10"/>
      <c r="B36" s="11"/>
      <c r="C36" s="41" t="s">
        <v>19</v>
      </c>
      <c r="D36" s="42" t="str">
        <f t="array" ref="D36">IF(SUM(IF(IF('Betting SETUP'!$D$5:$D$16="Y", D24:D35, 10)=MIN(IF('Betting SETUP'!$D$5:$D$16="Y", D24:D35, 10)), 1, 0)) &gt; 1, "", INDEX('Betting SETUP'!$A$5:$A$16,MATCH(MIN(IF('Betting SETUP'!$D$5:$D$16="Y",D24:D35,10)),IF('Betting SETUP'!$D$5:$D$16="Y",D24:D35,10),0)))</f>
        <v/>
      </c>
      <c r="E36" s="42" t="str">
        <f t="array" ref="E36">IF(SUM(IF(IF('Betting SETUP'!$D$5:$D$16="Y", E24:E35, 10)=MIN(IF('Betting SETUP'!$D$5:$D$16="Y", E24:E35, 10)), 1, 0)) &gt; 1, "", INDEX('Betting SETUP'!$A$5:$A$16,MATCH(MIN(IF('Betting SETUP'!$D$5:$D$16="Y",E24:E35,10)),IF('Betting SETUP'!$D$5:$D$16="Y",E24:E35,10),0)))</f>
        <v>Aaron J</v>
      </c>
      <c r="F36" s="42" t="str">
        <f t="array" ref="F36">IF(SUM(IF(IF('Betting SETUP'!$D$5:$D$16="Y", F24:F35, 10)=MIN(IF('Betting SETUP'!$D$5:$D$16="Y", F24:F35, 10)), 1, 0)) &gt; 1, "", INDEX('Betting SETUP'!$A$5:$A$16,MATCH(MIN(IF('Betting SETUP'!$D$5:$D$16="Y",F24:F35,10)),IF('Betting SETUP'!$D$5:$D$16="Y",F24:F35,10),0)))</f>
        <v/>
      </c>
      <c r="G36" s="42" t="str">
        <f t="array" ref="G36">IF(SUM(IF(IF('Betting SETUP'!$D$5:$D$16="Y", G24:G35, 10)=MIN(IF('Betting SETUP'!$D$5:$D$16="Y", G24:G35, 10)), 1, 0)) &gt; 1, "", INDEX('Betting SETUP'!$A$5:$A$16,MATCH(MIN(IF('Betting SETUP'!$D$5:$D$16="Y",G24:G35,10)),IF('Betting SETUP'!$D$5:$D$16="Y",G24:G35,10),0)))</f>
        <v>Scott R</v>
      </c>
      <c r="H36" s="42" t="str">
        <f t="array" ref="H36">IF(SUM(IF(IF('Betting SETUP'!$D$5:$D$16="Y", H24:H35, 10)=MIN(IF('Betting SETUP'!$D$5:$D$16="Y", H24:H35, 10)), 1, 0)) &gt; 1, "", INDEX('Betting SETUP'!$A$5:$A$16,MATCH(MIN(IF('Betting SETUP'!$D$5:$D$16="Y",H24:H35,10)),IF('Betting SETUP'!$D$5:$D$16="Y",H24:H35,10),0)))</f>
        <v/>
      </c>
      <c r="I36" s="42" t="str">
        <f t="array" ref="I36">IF(SUM(IF(IF('Betting SETUP'!$D$5:$D$16="Y", I24:I35, 10)=MIN(IF('Betting SETUP'!$D$5:$D$16="Y", I24:I35, 10)), 1, 0)) &gt; 1, "", INDEX('Betting SETUP'!$A$5:$A$16,MATCH(MIN(IF('Betting SETUP'!$D$5:$D$16="Y",I24:I35,10)),IF('Betting SETUP'!$D$5:$D$16="Y",I24:I35,10),0)))</f>
        <v>Scott R</v>
      </c>
      <c r="J36" s="42" t="str">
        <f t="array" ref="J36">IF(SUM(IF(IF('Betting SETUP'!$D$5:$D$16="Y", J24:J35, 10)=MIN(IF('Betting SETUP'!$D$5:$D$16="Y", J24:J35, 10)), 1, 0)) &gt; 1, "", INDEX('Betting SETUP'!$A$5:$A$16,MATCH(MIN(IF('Betting SETUP'!$D$5:$D$16="Y",J24:J35,10)),IF('Betting SETUP'!$D$5:$D$16="Y",J24:J35,10),0)))</f>
        <v/>
      </c>
      <c r="K36" s="42" t="str">
        <f t="array" ref="K36">IF(SUM(IF(IF('Betting SETUP'!$D$5:$D$16="Y", K24:K35, 10)=MIN(IF('Betting SETUP'!$D$5:$D$16="Y", K24:K35, 10)), 1, 0)) &gt; 1, "", INDEX('Betting SETUP'!$A$5:$A$16,MATCH(MIN(IF('Betting SETUP'!$D$5:$D$16="Y",K24:K35,10)),IF('Betting SETUP'!$D$5:$D$16="Y",K24:K35,10),0)))</f>
        <v>Joe S</v>
      </c>
      <c r="L36" s="42" t="str">
        <f t="array" ref="L36">IF(SUM(IF(IF('Betting SETUP'!$D$5:$D$16="Y", L24:L35, 10)=MIN(IF('Betting SETUP'!$D$5:$D$16="Y", L24:L35, 10)), 1, 0)) &gt; 1, "", INDEX('Betting SETUP'!$A$5:$A$16,MATCH(MIN(IF('Betting SETUP'!$D$5:$D$16="Y",L24:L35,10)),IF('Betting SETUP'!$D$5:$D$16="Y",L24:L35,10),0)))</f>
        <v/>
      </c>
      <c r="M36" s="42" t="str">
        <f t="array" ref="M36">IF(SUM(IF(IF('Betting SETUP'!$D$5:$D$16="Y", M24:M35, 10)=MIN(IF('Betting SETUP'!$D$5:$D$16="Y", M24:M35, 10)), 1, 0)) &gt; 1, "", INDEX('Betting SETUP'!$A$5:$A$16,MATCH(MIN(IF('Betting SETUP'!$D$5:$D$16="Y",M24:M35,10)),IF('Betting SETUP'!$D$5:$D$16="Y",M24:M35,10),0)))</f>
        <v/>
      </c>
      <c r="N36" s="42" t="str">
        <f t="array" ref="N36">IF(SUM(IF(IF('Betting SETUP'!$D$5:$D$16="Y", N24:N35, 10)=MIN(IF('Betting SETUP'!$D$5:$D$16="Y", N24:N35, 10)), 1, 0)) &gt; 1, "", INDEX('Betting SETUP'!$A$5:$A$16,MATCH(MIN(IF('Betting SETUP'!$D$5:$D$16="Y",N24:N35,10)),IF('Betting SETUP'!$D$5:$D$16="Y",N24:N35,10),0)))</f>
        <v/>
      </c>
      <c r="O36" s="42" t="str">
        <f t="array" ref="O36">IF(SUM(IF(IF('Betting SETUP'!$D$5:$D$16="Y", O24:O35, 10)=MIN(IF('Betting SETUP'!$D$5:$D$16="Y", O24:O35, 10)), 1, 0)) &gt; 1, "", INDEX('Betting SETUP'!$A$5:$A$16,MATCH(MIN(IF('Betting SETUP'!$D$5:$D$16="Y",O24:O35,10)),IF('Betting SETUP'!$D$5:$D$16="Y",O24:O35,10),0)))</f>
        <v/>
      </c>
      <c r="P36" s="42" t="str">
        <f t="array" ref="P36">IF(SUM(IF(IF('Betting SETUP'!$D$5:$D$16="Y", P24:P35, 10)=MIN(IF('Betting SETUP'!$D$5:$D$16="Y", P24:P35, 10)), 1, 0)) &gt; 1, "", INDEX('Betting SETUP'!$A$5:$A$16,MATCH(MIN(IF('Betting SETUP'!$D$5:$D$16="Y",P24:P35,10)),IF('Betting SETUP'!$D$5:$D$16="Y",P24:P35,10),0)))</f>
        <v/>
      </c>
      <c r="Q36" s="42" t="str">
        <f t="array" ref="Q36">IF(SUM(IF(IF('Betting SETUP'!$D$5:$D$16="Y", Q24:Q35, 10)=MIN(IF('Betting SETUP'!$D$5:$D$16="Y", Q24:Q35, 10)), 1, 0)) &gt; 1, "", INDEX('Betting SETUP'!$A$5:$A$16,MATCH(MIN(IF('Betting SETUP'!$D$5:$D$16="Y",Q24:Q35,10)),IF('Betting SETUP'!$D$5:$D$16="Y",Q24:Q35,10),0)))</f>
        <v>Aaron J</v>
      </c>
      <c r="R36" s="42" t="str">
        <f t="array" ref="R36">IF(SUM(IF(IF('Betting SETUP'!$D$5:$D$16="Y", R24:R35, 10)=MIN(IF('Betting SETUP'!$D$5:$D$16="Y", R24:R35, 10)), 1, 0)) &gt; 1, "", INDEX('Betting SETUP'!$A$5:$A$16,MATCH(MIN(IF('Betting SETUP'!$D$5:$D$16="Y",R24:R35,10)),IF('Betting SETUP'!$D$5:$D$16="Y",R24:R35,10),0)))</f>
        <v>Scott R</v>
      </c>
      <c r="S36" s="42" t="str">
        <f t="array" ref="S36">IF(SUM(IF(IF('Betting SETUP'!$D$5:$D$16="Y", S24:S35, 10)=MIN(IF('Betting SETUP'!$D$5:$D$16="Y", S24:S35, 10)), 1, 0)) &gt; 1, "", INDEX('Betting SETUP'!$A$5:$A$16,MATCH(MIN(IF('Betting SETUP'!$D$5:$D$16="Y",S24:S35,10)),IF('Betting SETUP'!$D$5:$D$16="Y",S24:S35,10),0)))</f>
        <v/>
      </c>
      <c r="T36" s="42" t="str">
        <f t="array" ref="T36">IF(SUM(IF(IF('Betting SETUP'!$D$5:$D$16="Y", T24:T35, 10)=MIN(IF('Betting SETUP'!$D$5:$D$16="Y", T24:T35, 10)), 1, 0)) &gt; 1, "", INDEX('Betting SETUP'!$A$5:$A$16,MATCH(MIN(IF('Betting SETUP'!$D$5:$D$16="Y",T24:T35,10)),IF('Betting SETUP'!$D$5:$D$16="Y",T24:T35,10),0)))</f>
        <v>Bob B</v>
      </c>
      <c r="U36" s="42" t="str">
        <f t="array" ref="U36">IF(SUM(IF(IF('Betting SETUP'!$D$5:$D$16="Y", U24:U35, 10)=MIN(IF('Betting SETUP'!$D$5:$D$16="Y", U24:U35, 10)), 1, 0)) &gt; 1, "", INDEX('Betting SETUP'!$A$5:$A$16,MATCH(MIN(IF('Betting SETUP'!$D$5:$D$16="Y",U24:U35,10)),IF('Betting SETUP'!$D$5:$D$16="Y",U24:U35,10),0)))</f>
        <v>Jeff B</v>
      </c>
      <c r="V36" s="14"/>
      <c r="W36" s="15"/>
      <c r="X36" s="42">
        <f>18-COUNTBLANK(D36:U36)</f>
        <v>8</v>
      </c>
      <c r="Y36" s="43"/>
      <c r="Z36" s="44"/>
      <c r="AA36" s="44"/>
      <c r="AB36" s="44"/>
      <c r="AC36" s="44"/>
      <c r="AD36" s="44"/>
      <c r="AE36" s="44"/>
      <c r="AF36" s="44"/>
      <c r="AG36" s="44"/>
      <c r="AH36" s="44"/>
    </row>
    <row r="37" ht="12.75" customHeight="1">
      <c r="A37" s="10"/>
      <c r="B37" s="11"/>
      <c r="C37" s="41" t="s">
        <v>20</v>
      </c>
      <c r="D37" s="42"/>
      <c r="E37" s="45"/>
      <c r="F37" s="45"/>
      <c r="G37" s="45" t="s">
        <v>25</v>
      </c>
      <c r="H37" s="48"/>
      <c r="I37" s="45"/>
      <c r="J37" s="45"/>
      <c r="K37" s="45" t="s">
        <v>26</v>
      </c>
      <c r="L37" s="45"/>
      <c r="M37" s="42"/>
      <c r="N37" s="45" t="s">
        <v>25</v>
      </c>
      <c r="O37" s="45"/>
      <c r="P37" s="45"/>
      <c r="Q37" s="45"/>
      <c r="R37" s="42"/>
      <c r="S37" s="45"/>
      <c r="T37" s="45" t="s">
        <v>21</v>
      </c>
      <c r="U37" s="45"/>
      <c r="V37" s="42"/>
      <c r="W37" s="42"/>
      <c r="X37" s="42">
        <f>COUNTA(D37:U37)</f>
        <v>4</v>
      </c>
      <c r="Y37" s="43"/>
      <c r="Z37" s="44"/>
      <c r="AA37" s="44"/>
      <c r="AB37" s="44"/>
      <c r="AC37" s="44"/>
      <c r="AD37" s="44"/>
      <c r="AE37" s="44"/>
      <c r="AF37" s="44"/>
      <c r="AG37" s="44"/>
      <c r="AH37" s="44"/>
    </row>
    <row r="38" ht="12.75" customHeight="1">
      <c r="A38" s="10"/>
      <c r="B38" s="11"/>
    </row>
    <row r="39" ht="12.75" customHeight="1">
      <c r="A39" s="10"/>
      <c r="B39" s="11"/>
      <c r="C39" s="12" t="str">
        <f>SETUP!E1</f>
        <v>THE LOON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5"/>
      <c r="X39" s="16">
        <f>SETUP!E2</f>
        <v>70.5</v>
      </c>
      <c r="Y39" s="17">
        <f>SETUP!E3</f>
        <v>134</v>
      </c>
      <c r="Z39" s="18"/>
      <c r="AA39" s="18"/>
      <c r="AB39" s="18"/>
      <c r="AC39" s="18"/>
      <c r="AD39" s="18"/>
      <c r="AE39" s="18"/>
      <c r="AF39" s="18"/>
      <c r="AG39" s="18"/>
      <c r="AH39" s="18"/>
    </row>
    <row r="40" ht="12.75" customHeight="1">
      <c r="A40" s="10"/>
      <c r="B40" s="11"/>
      <c r="C40" s="17" t="s">
        <v>5</v>
      </c>
      <c r="D40" s="19">
        <v>1.0</v>
      </c>
      <c r="E40" s="19">
        <v>2.0</v>
      </c>
      <c r="F40" s="19">
        <v>3.0</v>
      </c>
      <c r="G40" s="19">
        <v>4.0</v>
      </c>
      <c r="H40" s="19">
        <v>5.0</v>
      </c>
      <c r="I40" s="19">
        <v>6.0</v>
      </c>
      <c r="J40" s="19">
        <v>7.0</v>
      </c>
      <c r="K40" s="19">
        <v>8.0</v>
      </c>
      <c r="L40" s="19">
        <v>9.0</v>
      </c>
      <c r="M40" s="19">
        <v>10.0</v>
      </c>
      <c r="N40" s="19">
        <v>11.0</v>
      </c>
      <c r="O40" s="19">
        <v>12.0</v>
      </c>
      <c r="P40" s="19">
        <v>13.0</v>
      </c>
      <c r="Q40" s="19">
        <v>14.0</v>
      </c>
      <c r="R40" s="19">
        <v>15.0</v>
      </c>
      <c r="S40" s="19">
        <v>16.0</v>
      </c>
      <c r="T40" s="19">
        <v>17.0</v>
      </c>
      <c r="U40" s="19">
        <v>18.0</v>
      </c>
      <c r="V40" s="19" t="s">
        <v>6</v>
      </c>
      <c r="W40" s="19" t="s">
        <v>7</v>
      </c>
      <c r="X40" s="19" t="s">
        <v>8</v>
      </c>
      <c r="Y40" s="19" t="s">
        <v>9</v>
      </c>
      <c r="Z40" s="20"/>
      <c r="AA40" s="20"/>
      <c r="AB40" s="20"/>
      <c r="AC40" s="20"/>
      <c r="AD40" s="20"/>
      <c r="AE40" s="20"/>
      <c r="AF40" s="20"/>
      <c r="AG40" s="20"/>
      <c r="AH40" s="20"/>
    </row>
    <row r="41" ht="12.75" customHeight="1">
      <c r="A41" s="21"/>
      <c r="B41" s="22"/>
      <c r="C41" s="23" t="s">
        <v>10</v>
      </c>
      <c r="D41" s="24">
        <f>SETUP!I11</f>
        <v>11</v>
      </c>
      <c r="E41" s="24">
        <f>SETUP!J11</f>
        <v>15</v>
      </c>
      <c r="F41" s="24">
        <f>SETUP!K11</f>
        <v>3</v>
      </c>
      <c r="G41" s="24">
        <f>SETUP!L11</f>
        <v>17</v>
      </c>
      <c r="H41" s="24">
        <f>SETUP!M11</f>
        <v>1</v>
      </c>
      <c r="I41" s="24">
        <f>SETUP!N11</f>
        <v>9</v>
      </c>
      <c r="J41" s="24">
        <f>SETUP!O11</f>
        <v>7</v>
      </c>
      <c r="K41" s="24">
        <f>SETUP!P11</f>
        <v>5</v>
      </c>
      <c r="L41" s="24">
        <f>SETUP!Q11</f>
        <v>13</v>
      </c>
      <c r="M41" s="24">
        <f>SETUP!R11</f>
        <v>6</v>
      </c>
      <c r="N41" s="24">
        <f>SETUP!S11</f>
        <v>2</v>
      </c>
      <c r="O41" s="24">
        <f>SETUP!T11</f>
        <v>18</v>
      </c>
      <c r="P41" s="24">
        <f>SETUP!U11</f>
        <v>4</v>
      </c>
      <c r="Q41" s="24">
        <f>SETUP!V11</f>
        <v>14</v>
      </c>
      <c r="R41" s="24">
        <f>SETUP!W11</f>
        <v>10</v>
      </c>
      <c r="S41" s="24">
        <f>SETUP!X11</f>
        <v>12</v>
      </c>
      <c r="T41" s="24">
        <f>SETUP!Y11</f>
        <v>16</v>
      </c>
      <c r="U41" s="24">
        <f>SETUP!Z11</f>
        <v>8</v>
      </c>
      <c r="V41" s="26"/>
      <c r="W41" s="26"/>
      <c r="X41" s="26"/>
      <c r="Y41" s="26"/>
      <c r="Z41" s="27"/>
      <c r="AA41" s="27"/>
      <c r="AB41" s="27"/>
      <c r="AC41" s="27"/>
      <c r="AD41" s="27"/>
      <c r="AE41" s="27"/>
      <c r="AF41" s="27"/>
      <c r="AG41" s="27"/>
      <c r="AH41" s="27"/>
    </row>
    <row r="42" ht="12.75" customHeight="1">
      <c r="A42" s="28" t="s">
        <v>24</v>
      </c>
      <c r="B42" s="29" t="s">
        <v>10</v>
      </c>
      <c r="C42" s="17" t="s">
        <v>11</v>
      </c>
      <c r="D42" s="47">
        <f>SETUP!I12</f>
        <v>4</v>
      </c>
      <c r="E42" s="47">
        <f>SETUP!J12</f>
        <v>3</v>
      </c>
      <c r="F42" s="47">
        <f>SETUP!K12</f>
        <v>5</v>
      </c>
      <c r="G42" s="47">
        <f>SETUP!L12</f>
        <v>3</v>
      </c>
      <c r="H42" s="47">
        <f>SETUP!M12</f>
        <v>5</v>
      </c>
      <c r="I42" s="47">
        <f>SETUP!N12</f>
        <v>4</v>
      </c>
      <c r="J42" s="47">
        <f>SETUP!O12</f>
        <v>4</v>
      </c>
      <c r="K42" s="47">
        <f>SETUP!P12</f>
        <v>5</v>
      </c>
      <c r="L42" s="47">
        <f>SETUP!Q12</f>
        <v>3</v>
      </c>
      <c r="M42" s="47">
        <f>SETUP!R12</f>
        <v>4</v>
      </c>
      <c r="N42" s="47">
        <f>SETUP!S12</f>
        <v>5</v>
      </c>
      <c r="O42" s="47">
        <f>SETUP!T12</f>
        <v>3</v>
      </c>
      <c r="P42" s="47">
        <f>SETUP!U12</f>
        <v>5</v>
      </c>
      <c r="Q42" s="47">
        <f>SETUP!V12</f>
        <v>3</v>
      </c>
      <c r="R42" s="47">
        <f>SETUP!W12</f>
        <v>4</v>
      </c>
      <c r="S42" s="47">
        <f>SETUP!X12</f>
        <v>4</v>
      </c>
      <c r="T42" s="47">
        <f>SETUP!Y12</f>
        <v>4</v>
      </c>
      <c r="U42" s="47">
        <f>SETUP!Z12</f>
        <v>4</v>
      </c>
      <c r="V42" s="30">
        <f>SUM(D42:L42)</f>
        <v>36</v>
      </c>
      <c r="W42" s="30">
        <f>SUM(M42:U42)</f>
        <v>36</v>
      </c>
      <c r="X42" s="30">
        <f>V42+W42</f>
        <v>72</v>
      </c>
      <c r="Y42" s="30"/>
      <c r="Z42" s="31" t="s">
        <v>12</v>
      </c>
      <c r="AA42" s="31" t="s">
        <v>13</v>
      </c>
      <c r="AB42" s="31" t="s">
        <v>14</v>
      </c>
      <c r="AC42" s="31" t="s">
        <v>11</v>
      </c>
      <c r="AD42" s="31" t="s">
        <v>15</v>
      </c>
      <c r="AE42" s="31" t="s">
        <v>16</v>
      </c>
      <c r="AF42" s="31" t="s">
        <v>17</v>
      </c>
      <c r="AG42" s="31" t="s">
        <v>18</v>
      </c>
      <c r="AH42" s="27"/>
    </row>
    <row r="43" ht="12.75" customHeight="1">
      <c r="A43" s="32" t="str">
        <f>SETUP!A5</f>
        <v>Aaron J</v>
      </c>
      <c r="B43" s="33">
        <f t="array" ref="B43">if(A43="","",index(SETUP!E:E,match(A43,SETUP!A:A,0)))</f>
        <v>6</v>
      </c>
      <c r="C43" s="34"/>
      <c r="D43" s="35">
        <v>4.0</v>
      </c>
      <c r="E43" s="35">
        <v>6.0</v>
      </c>
      <c r="F43" s="35">
        <v>6.0</v>
      </c>
      <c r="G43" s="35">
        <v>3.0</v>
      </c>
      <c r="H43" s="35">
        <v>8.0</v>
      </c>
      <c r="I43" s="35">
        <v>6.0</v>
      </c>
      <c r="J43" s="35">
        <v>4.0</v>
      </c>
      <c r="K43" s="35">
        <v>5.0</v>
      </c>
      <c r="L43" s="35">
        <v>3.0</v>
      </c>
      <c r="M43" s="35">
        <v>5.0</v>
      </c>
      <c r="N43" s="35">
        <v>5.0</v>
      </c>
      <c r="O43" s="35">
        <v>3.0</v>
      </c>
      <c r="P43" s="35">
        <v>6.0</v>
      </c>
      <c r="Q43" s="35">
        <v>4.0</v>
      </c>
      <c r="R43" s="35">
        <v>6.0</v>
      </c>
      <c r="S43" s="35">
        <v>5.0</v>
      </c>
      <c r="T43" s="35">
        <v>6.0</v>
      </c>
      <c r="U43" s="35">
        <v>6.0</v>
      </c>
      <c r="V43" s="36">
        <f t="shared" ref="V43:V54" si="11">if(C43="WD","WD", SUM(D43:L43))</f>
        <v>45</v>
      </c>
      <c r="W43" s="36">
        <f t="shared" ref="W43:W54" si="12">if(C43="WD","WD",SUM(M43:U43))</f>
        <v>46</v>
      </c>
      <c r="X43" s="36">
        <f t="shared" ref="X43:X54" si="13">if(C43="WD","WD",IF(W43&gt;0,V43+W43,""))</f>
        <v>91</v>
      </c>
      <c r="Y43" s="37">
        <f t="shared" ref="Y43:Y54" si="14">if(C43="WD","WD",IF(W43=0,"",X43-B43))</f>
        <v>85</v>
      </c>
      <c r="Z43" s="38">
        <f t="array" ref="Z43">sum(if(D43-$D$42=-3,1,0),if(E43-$E$42=-3,1,0),if(F43-$F$42=-3,1,0),if(G43-$G$42=-3,1,0),if(H43-$H$42=-3,1,0),if(I43-$I$42=-3,1,0),if(J43-$J$42=-3,1,0),if(K43-$K$42=-3,1,0),if(L43-$L$42=-3,1,0),if(M43-$M$42=-3,1,0),if(N43-$N$42=-3,1,0),if(O43-$O$42=-3,1,0),if(P43-$P$42=-3,1,0),if(Q43-$Q$42=-3,1,0),if(R43-$R$42=-3,1,0),if(S43-$S$42=-3,1,0),if(T43-$T$42=-3,1,0),if(U43-$U$42=-3,1,0))</f>
        <v>0</v>
      </c>
      <c r="AA43" s="38">
        <f t="array" ref="AA43">sum(if(D43-$D$42=-2,1,0),if(E43-$E$42=-2,1,0),if(F43-$F$42=-2,1,0),if(G43-$G$42=-2,1,0),if(H43-$H$42=-2,1,0),if(I43-$I$42=-2,1,0),if(J43-$J$42=-2,1,0),if(K43-$K$42=-2,1,0),if(L43-$L$42=-2,1,0),if(M43-$M$42=-2,1,0),if(N43-$N$42=-2,1,0),if(O43-$O$42=-2,1,0),if(P43-$P$42=-2,1,0),if(Q43-$Q$42=-2,1,0),if(R43-$R$42=-2,1,0),if(S43-$S$42=-2,1,0),if(T43-$T$42=-2,1,0),if(U43-$U$42=-2,1,0))</f>
        <v>0</v>
      </c>
      <c r="AB43" s="38">
        <f t="array" ref="AB43">sum(if(D43-$D$42=-1,1,0),if(E43-$E$42=-1,1,0),if(F43-$F$42=-1,1,0),if(G43-$G$42=-1,1,0),if(H43-$H$42=-1,1,0),if(I43-$I$42=-1,1,0),if(J43-$J$42=-1,1,0),if(K43-$K$42=-1,1,0),if(L43-$L$42=-1,1,0),if(M43-$M$42=-1,1,0),if(N43-$N$42=-1,1,0),if(O43-$O$42=-1,1,0),if(P43-$P$42=-1,1,0),if(Q43-$Q$42=-1,1,0),if(R43-$R$42=-1,1,0),if(S43-$S$42=-1,1,0),if(T43-$T$42=-1,1,0),if(U43-$U$42=-1,1,0))</f>
        <v>0</v>
      </c>
      <c r="AC43" s="38">
        <f t="array" ref="AC43">sum(if(D43-$D$42=0,1,0),if(E43-$E$42=0,1,0),if(F43-$F$42=0,1,0),if(G43-$G$42=0,1,0),if(H43-$H$42=0,1,0),if(I43-$I$42=0,1,0),if(J43-$J$42=0,1,0),if(K43-$K$42=0,1,0),if(L43-$L$42=0,1,0),if(M43-$M$42=0,1,0),if(N43-$N$42=0,1,0),if(O43-$O$42=0,1,0),if(P43-$P$42=0,1,0),if(Q43-$Q$42=0,1,0),if(R43-$R$42=0,1,0),if(S43-$S$42=0,1,0),if(T43-$T$42=0,1,0),if(U43-$U$42=0,1,0))</f>
        <v>7</v>
      </c>
      <c r="AD43" s="38">
        <f t="array" ref="AD43">sum(if(D43-$D$42=1,1,0),if(E43-$E$42=1,1,0),if(F43-$F$42=1,1,0),if(G43-$G$42=1,1,0),if(H43-$H$42=1,1,0),if(I43-$I$42=1,1,0),if(J43-$J$42=1,1,0),if(K43-$K$42=1,1,0),if(L43-$L$42=1,1,0),if(M43-$M$42=1,1,0),if(N43-$N$42=1,1,0),if(O43-$O$42=1,1,0),if(P43-$P$42=1,1,0),if(Q43-$Q$42=1,1,0),if(R43-$R$42=1,1,0),if(S43-$S$42=1,1,0),if(T43-$T$42=1,1,0),if(U43-$U$42=1,1,0))</f>
        <v>5</v>
      </c>
      <c r="AE43" s="38">
        <f t="array" ref="AE43">sum(if(D43-$D$42=2,1,0),if(E43-$E$42=2,1,0),if(F43-$F$42=2,1,0),if(G43-$G$42=2,1,0),if(H43-$H$42=2,1,0),if(I43-$I$42=2,1,0),if(J43-$J$42=2,1,0),if(K43-$K$42=2,1,0),if(L43-$L$42=2,1,0),if(M43-$M$42=2,1,0),if(N43-$N$42=2,1,0),if(O43-$O$42=2,1,0),if(P43-$P$42=2,1,0),if(Q43-$Q$42=2,1,0),if(R43-$R$42=2,1,0),if(S43-$S$42=2,1,0),if(T43-$T$42=2,1,0),if(U43-$U$42=2,1,0))</f>
        <v>4</v>
      </c>
      <c r="AF43" s="38">
        <f t="array" ref="AF43">sum(if(D43-$D$42=3,1,0),if(E43-$E$42=3,1,0),if(F43-$F$42=3,1,0),if(G43-$G$42=3,1,0),if(H43-$H$42=3,1,0),if(I43-$I$42=3,1,0),if(J43-$J$42=3,1,0),if(K43-$K$42=3,1,0),if(L43-$L$42=3,1,0),if(M43-$M$42=3,1,0),if(N43-$N$42=3,1,0),if(O43-$O$42=3,1,0),if(P43-$P$42=3,1,0),if(Q43-$Q$42=3,1,0),if(R43-$R$42=3,1,0),if(S43-$S$42=3,1,0),if(T43-$T$42=3,1,0),if(U43-$U$42=3,1,0))</f>
        <v>2</v>
      </c>
      <c r="AG43" s="38">
        <f t="array" ref="AG43">sum(if(D43-$D$42&gt;3,1,0),if(E43-$E$42&gt;3,1,0),if(F43-$F$42&gt;3,1,0),if(G43-$G$42&gt;3,1,0),if(H43-$H$42&gt;3,1,0),if(I43-$I$42&gt;3,1,0),if(J43-$J$42&gt;3,1,0),if(K43-$K$42&gt;3,1,0),if(L43-$L$42&gt;3,1,0),if(M43-$M$42&gt;3,1,0),if(N43-$N$42&gt;3,1,0),if(O43-$O$42&gt;3,1,0),if(P43-$P$42&gt;3,1,0),if(Q43-$Q$42&gt;3,1,0),if(R43-$R$42&gt;3,1,0),if(S43-$S$42&gt;3,1,0),if(T43-$T$42&gt;3,1,0),if(U43-$U$42&gt;3,1,0))</f>
        <v>0</v>
      </c>
      <c r="AH43" s="38">
        <f t="shared" ref="AH43:AH54" si="15">sum(Z43:AG43)</f>
        <v>18</v>
      </c>
    </row>
    <row r="44" ht="12.75" customHeight="1">
      <c r="A44" s="32" t="str">
        <f>SETUP!A6</f>
        <v>Andy V</v>
      </c>
      <c r="B44" s="33">
        <f t="array" ref="B44">if(A44="","",index(SETUP!E:E,match(A44,SETUP!A:A,0)))</f>
        <v>19</v>
      </c>
      <c r="C44" s="34"/>
      <c r="D44" s="35">
        <v>6.0</v>
      </c>
      <c r="E44" s="35">
        <v>5.0</v>
      </c>
      <c r="F44" s="35">
        <v>6.0</v>
      </c>
      <c r="G44" s="35">
        <v>4.0</v>
      </c>
      <c r="H44" s="35">
        <v>4.0</v>
      </c>
      <c r="I44" s="35">
        <v>8.0</v>
      </c>
      <c r="J44" s="35">
        <v>5.0</v>
      </c>
      <c r="K44" s="35">
        <v>6.0</v>
      </c>
      <c r="L44" s="35">
        <v>4.0</v>
      </c>
      <c r="M44" s="35">
        <v>6.0</v>
      </c>
      <c r="N44" s="35">
        <v>7.0</v>
      </c>
      <c r="O44" s="35">
        <v>5.0</v>
      </c>
      <c r="P44" s="35">
        <v>6.0</v>
      </c>
      <c r="Q44" s="35">
        <v>4.0</v>
      </c>
      <c r="R44" s="35">
        <v>5.0</v>
      </c>
      <c r="S44" s="35">
        <v>5.0</v>
      </c>
      <c r="T44" s="35">
        <v>3.0</v>
      </c>
      <c r="U44" s="35">
        <v>4.0</v>
      </c>
      <c r="V44" s="36">
        <f t="shared" si="11"/>
        <v>48</v>
      </c>
      <c r="W44" s="36">
        <f t="shared" si="12"/>
        <v>45</v>
      </c>
      <c r="X44" s="36">
        <f t="shared" si="13"/>
        <v>93</v>
      </c>
      <c r="Y44" s="37">
        <f t="shared" si="14"/>
        <v>74</v>
      </c>
      <c r="Z44" s="38">
        <f t="array" ref="Z44">sum(if(D44-$D$42=-3,1,0),if(E44-$E$42=-3,1,0),if(F44-$F$42=-3,1,0),if(G44-$G$42=-3,1,0),if(H44-$H$42=-3,1,0),if(I44-$I$42=-3,1,0),if(J44-$J$42=-3,1,0),if(K44-$K$42=-3,1,0),if(L44-$L$42=-3,1,0),if(M44-$M$42=-3,1,0),if(N44-$N$42=-3,1,0),if(O44-$O$42=-3,1,0),if(P44-$P$42=-3,1,0),if(Q44-$Q$42=-3,1,0),if(R44-$R$42=-3,1,0),if(S44-$S$42=-3,1,0),if(T44-$T$42=-3,1,0),if(U44-$U$42=-3,1,0))</f>
        <v>0</v>
      </c>
      <c r="AA44" s="38">
        <f t="array" ref="AA44">sum(if(D44-$D$42=-2,1,0),if(E44-$E$42=-2,1,0),if(F44-$F$42=-2,1,0),if(G44-$G$42=-2,1,0),if(H44-$H$42=-2,1,0),if(I44-$I$42=-2,1,0),if(J44-$J$42=-2,1,0),if(K44-$K$42=-2,1,0),if(L44-$L$42=-2,1,0),if(M44-$M$42=-2,1,0),if(N44-$N$42=-2,1,0),if(O44-$O$42=-2,1,0),if(P44-$P$42=-2,1,0),if(Q44-$Q$42=-2,1,0),if(R44-$R$42=-2,1,0),if(S44-$S$42=-2,1,0),if(T44-$T$42=-2,1,0),if(U44-$U$42=-2,1,0))</f>
        <v>0</v>
      </c>
      <c r="AB44" s="38">
        <f t="array" ref="AB44">sum(if(D44-$D$42=-1,1,0),if(E44-$E$42=-1,1,0),if(F44-$F$42=-1,1,0),if(G44-$G$42=-1,1,0),if(H44-$H$42=-1,1,0),if(I44-$I$42=-1,1,0),if(J44-$J$42=-1,1,0),if(K44-$K$42=-1,1,0),if(L44-$L$42=-1,1,0),if(M44-$M$42=-1,1,0),if(N44-$N$42=-1,1,0),if(O44-$O$42=-1,1,0),if(P44-$P$42=-1,1,0),if(Q44-$Q$42=-1,1,0),if(R44-$R$42=-1,1,0),if(S44-$S$42=-1,1,0),if(T44-$T$42=-1,1,0),if(U44-$U$42=-1,1,0))</f>
        <v>2</v>
      </c>
      <c r="AC44" s="38">
        <f t="array" ref="AC44">sum(if(D44-$D$42=0,1,0),if(E44-$E$42=0,1,0),if(F44-$F$42=0,1,0),if(G44-$G$42=0,1,0),if(H44-$H$42=0,1,0),if(I44-$I$42=0,1,0),if(J44-$J$42=0,1,0),if(K44-$K$42=0,1,0),if(L44-$L$42=0,1,0),if(M44-$M$42=0,1,0),if(N44-$N$42=0,1,0),if(O44-$O$42=0,1,0),if(P44-$P$42=0,1,0),if(Q44-$Q$42=0,1,0),if(R44-$R$42=0,1,0),if(S44-$S$42=0,1,0),if(T44-$T$42=0,1,0),if(U44-$U$42=0,1,0))</f>
        <v>1</v>
      </c>
      <c r="AD44" s="38">
        <f t="array" ref="AD44">sum(if(D44-$D$42=1,1,0),if(E44-$E$42=1,1,0),if(F44-$F$42=1,1,0),if(G44-$G$42=1,1,0),if(H44-$H$42=1,1,0),if(I44-$I$42=1,1,0),if(J44-$J$42=1,1,0),if(K44-$K$42=1,1,0),if(L44-$L$42=1,1,0),if(M44-$M$42=1,1,0),if(N44-$N$42=1,1,0),if(O44-$O$42=1,1,0),if(P44-$P$42=1,1,0),if(Q44-$Q$42=1,1,0),if(R44-$R$42=1,1,0),if(S44-$S$42=1,1,0),if(T44-$T$42=1,1,0),if(U44-$U$42=1,1,0))</f>
        <v>9</v>
      </c>
      <c r="AE44" s="38">
        <f t="array" ref="AE44">sum(if(D44-$D$42=2,1,0),if(E44-$E$42=2,1,0),if(F44-$F$42=2,1,0),if(G44-$G$42=2,1,0),if(H44-$H$42=2,1,0),if(I44-$I$42=2,1,0),if(J44-$J$42=2,1,0),if(K44-$K$42=2,1,0),if(L44-$L$42=2,1,0),if(M44-$M$42=2,1,0),if(N44-$N$42=2,1,0),if(O44-$O$42=2,1,0),if(P44-$P$42=2,1,0),if(Q44-$Q$42=2,1,0),if(R44-$R$42=2,1,0),if(S44-$S$42=2,1,0),if(T44-$T$42=2,1,0),if(U44-$U$42=2,1,0))</f>
        <v>5</v>
      </c>
      <c r="AF44" s="38">
        <f t="array" ref="AF44">sum(if(D44-$D$42=3,1,0),if(E44-$E$42=3,1,0),if(F44-$F$42=3,1,0),if(G44-$G$42=3,1,0),if(H44-$H$42=3,1,0),if(I44-$I$42=3,1,0),if(J44-$J$42=3,1,0),if(K44-$K$42=3,1,0),if(L44-$L$42=3,1,0),if(M44-$M$42=3,1,0),if(N44-$N$42=3,1,0),if(O44-$O$42=3,1,0),if(P44-$P$42=3,1,0),if(Q44-$Q$42=3,1,0),if(R44-$R$42=3,1,0),if(S44-$S$42=3,1,0),if(T44-$T$42=3,1,0),if(U44-$U$42=3,1,0))</f>
        <v>0</v>
      </c>
      <c r="AG44" s="38">
        <f t="array" ref="AG44">sum(if(D44-$D$42&gt;3,1,0),if(E44-$E$42&gt;3,1,0),if(F44-$F$42&gt;3,1,0),if(G44-$G$42&gt;3,1,0),if(H44-$H$42&gt;3,1,0),if(I44-$I$42&gt;3,1,0),if(J44-$J$42&gt;3,1,0),if(K44-$K$42&gt;3,1,0),if(L44-$L$42&gt;3,1,0),if(M44-$M$42&gt;3,1,0),if(N44-$N$42&gt;3,1,0),if(O44-$O$42&gt;3,1,0),if(P44-$P$42&gt;3,1,0),if(Q44-$Q$42&gt;3,1,0),if(R44-$R$42&gt;3,1,0),if(S44-$S$42&gt;3,1,0),if(T44-$T$42&gt;3,1,0),if(U44-$U$42&gt;3,1,0))</f>
        <v>1</v>
      </c>
      <c r="AH44" s="38">
        <f t="shared" si="15"/>
        <v>18</v>
      </c>
    </row>
    <row r="45" ht="12.75" customHeight="1">
      <c r="A45" s="32" t="str">
        <f>SETUP!A7</f>
        <v>Bob B</v>
      </c>
      <c r="B45" s="33">
        <f t="array" ref="B45">if(A45="","",index(SETUP!E:E,match(A45,SETUP!A:A,0)))</f>
        <v>17</v>
      </c>
      <c r="C45" s="34"/>
      <c r="D45" s="35">
        <v>5.0</v>
      </c>
      <c r="E45" s="35">
        <v>3.0</v>
      </c>
      <c r="F45" s="35">
        <v>8.0</v>
      </c>
      <c r="G45" s="35">
        <v>5.0</v>
      </c>
      <c r="H45" s="35">
        <v>4.0</v>
      </c>
      <c r="I45" s="35">
        <v>4.0</v>
      </c>
      <c r="J45" s="35">
        <v>6.0</v>
      </c>
      <c r="K45" s="35">
        <v>6.0</v>
      </c>
      <c r="L45" s="35">
        <v>5.0</v>
      </c>
      <c r="M45" s="35">
        <v>7.0</v>
      </c>
      <c r="N45" s="35">
        <v>4.0</v>
      </c>
      <c r="O45" s="35">
        <v>5.0</v>
      </c>
      <c r="P45" s="35">
        <v>6.0</v>
      </c>
      <c r="Q45" s="35">
        <v>3.0</v>
      </c>
      <c r="R45" s="35">
        <v>5.0</v>
      </c>
      <c r="S45" s="35">
        <v>5.0</v>
      </c>
      <c r="T45" s="35">
        <v>6.0</v>
      </c>
      <c r="U45" s="35">
        <v>7.0</v>
      </c>
      <c r="V45" s="36">
        <f t="shared" si="11"/>
        <v>46</v>
      </c>
      <c r="W45" s="36">
        <f t="shared" si="12"/>
        <v>48</v>
      </c>
      <c r="X45" s="36">
        <f t="shared" si="13"/>
        <v>94</v>
      </c>
      <c r="Y45" s="37">
        <f t="shared" si="14"/>
        <v>77</v>
      </c>
      <c r="Z45" s="38">
        <f t="array" ref="Z45">sum(if(D45-$D$42=-3,1,0),if(E45-$E$42=-3,1,0),if(F45-$F$42=-3,1,0),if(G45-$G$42=-3,1,0),if(H45-$H$42=-3,1,0),if(I45-$I$42=-3,1,0),if(J45-$J$42=-3,1,0),if(K45-$K$42=-3,1,0),if(L45-$L$42=-3,1,0),if(M45-$M$42=-3,1,0),if(N45-$N$42=-3,1,0),if(O45-$O$42=-3,1,0),if(P45-$P$42=-3,1,0),if(Q45-$Q$42=-3,1,0),if(R45-$R$42=-3,1,0),if(S45-$S$42=-3,1,0),if(T45-$T$42=-3,1,0),if(U45-$U$42=-3,1,0))</f>
        <v>0</v>
      </c>
      <c r="AA45" s="38">
        <f t="array" ref="AA45">sum(if(D45-$D$42=-2,1,0),if(E45-$E$42=-2,1,0),if(F45-$F$42=-2,1,0),if(G45-$G$42=-2,1,0),if(H45-$H$42=-2,1,0),if(I45-$I$42=-2,1,0),if(J45-$J$42=-2,1,0),if(K45-$K$42=-2,1,0),if(L45-$L$42=-2,1,0),if(M45-$M$42=-2,1,0),if(N45-$N$42=-2,1,0),if(O45-$O$42=-2,1,0),if(P45-$P$42=-2,1,0),if(Q45-$Q$42=-2,1,0),if(R45-$R$42=-2,1,0),if(S45-$S$42=-2,1,0),if(T45-$T$42=-2,1,0),if(U45-$U$42=-2,1,0))</f>
        <v>0</v>
      </c>
      <c r="AB45" s="38">
        <f t="array" ref="AB45">sum(if(D45-$D$42=-1,1,0),if(E45-$E$42=-1,1,0),if(F45-$F$42=-1,1,0),if(G45-$G$42=-1,1,0),if(H45-$H$42=-1,1,0),if(I45-$I$42=-1,1,0),if(J45-$J$42=-1,1,0),if(K45-$K$42=-1,1,0),if(L45-$L$42=-1,1,0),if(M45-$M$42=-1,1,0),if(N45-$N$42=-1,1,0),if(O45-$O$42=-1,1,0),if(P45-$P$42=-1,1,0),if(Q45-$Q$42=-1,1,0),if(R45-$R$42=-1,1,0),if(S45-$S$42=-1,1,0),if(T45-$T$42=-1,1,0),if(U45-$U$42=-1,1,0))</f>
        <v>2</v>
      </c>
      <c r="AC45" s="38">
        <f t="array" ref="AC45">sum(if(D45-$D$42=0,1,0),if(E45-$E$42=0,1,0),if(F45-$F$42=0,1,0),if(G45-$G$42=0,1,0),if(H45-$H$42=0,1,0),if(I45-$I$42=0,1,0),if(J45-$J$42=0,1,0),if(K45-$K$42=0,1,0),if(L45-$L$42=0,1,0),if(M45-$M$42=0,1,0),if(N45-$N$42=0,1,0),if(O45-$O$42=0,1,0),if(P45-$P$42=0,1,0),if(Q45-$Q$42=0,1,0),if(R45-$R$42=0,1,0),if(S45-$S$42=0,1,0),if(T45-$T$42=0,1,0),if(U45-$U$42=0,1,0))</f>
        <v>3</v>
      </c>
      <c r="AD45" s="38">
        <f t="array" ref="AD45">sum(if(D45-$D$42=1,1,0),if(E45-$E$42=1,1,0),if(F45-$F$42=1,1,0),if(G45-$G$42=1,1,0),if(H45-$H$42=1,1,0),if(I45-$I$42=1,1,0),if(J45-$J$42=1,1,0),if(K45-$K$42=1,1,0),if(L45-$L$42=1,1,0),if(M45-$M$42=1,1,0),if(N45-$N$42=1,1,0),if(O45-$O$42=1,1,0),if(P45-$P$42=1,1,0),if(Q45-$Q$42=1,1,0),if(R45-$R$42=1,1,0),if(S45-$S$42=1,1,0),if(T45-$T$42=1,1,0),if(U45-$U$42=1,1,0))</f>
        <v>5</v>
      </c>
      <c r="AE45" s="38">
        <f t="array" ref="AE45">sum(if(D45-$D$42=2,1,0),if(E45-$E$42=2,1,0),if(F45-$F$42=2,1,0),if(G45-$G$42=2,1,0),if(H45-$H$42=2,1,0),if(I45-$I$42=2,1,0),if(J45-$J$42=2,1,0),if(K45-$K$42=2,1,0),if(L45-$L$42=2,1,0),if(M45-$M$42=2,1,0),if(N45-$N$42=2,1,0),if(O45-$O$42=2,1,0),if(P45-$P$42=2,1,0),if(Q45-$Q$42=2,1,0),if(R45-$R$42=2,1,0),if(S45-$S$42=2,1,0),if(T45-$T$42=2,1,0),if(U45-$U$42=2,1,0))</f>
        <v>5</v>
      </c>
      <c r="AF45" s="38">
        <f t="array" ref="AF45">sum(if(D45-$D$42=3,1,0),if(E45-$E$42=3,1,0),if(F45-$F$42=3,1,0),if(G45-$G$42=3,1,0),if(H45-$H$42=3,1,0),if(I45-$I$42=3,1,0),if(J45-$J$42=3,1,0),if(K45-$K$42=3,1,0),if(L45-$L$42=3,1,0),if(M45-$M$42=3,1,0),if(N45-$N$42=3,1,0),if(O45-$O$42=3,1,0),if(P45-$P$42=3,1,0),if(Q45-$Q$42=3,1,0),if(R45-$R$42=3,1,0),if(S45-$S$42=3,1,0),if(T45-$T$42=3,1,0),if(U45-$U$42=3,1,0))</f>
        <v>3</v>
      </c>
      <c r="AG45" s="38">
        <f t="array" ref="AG45">sum(if(D45-$D$42&gt;3,1,0),if(E45-$E$42&gt;3,1,0),if(F45-$F$42&gt;3,1,0),if(G45-$G$42&gt;3,1,0),if(H45-$H$42&gt;3,1,0),if(I45-$I$42&gt;3,1,0),if(J45-$J$42&gt;3,1,0),if(K45-$K$42&gt;3,1,0),if(L45-$L$42&gt;3,1,0),if(M45-$M$42&gt;3,1,0),if(N45-$N$42&gt;3,1,0),if(O45-$O$42&gt;3,1,0),if(P45-$P$42&gt;3,1,0),if(Q45-$Q$42&gt;3,1,0),if(R45-$R$42&gt;3,1,0),if(S45-$S$42&gt;3,1,0),if(T45-$T$42&gt;3,1,0),if(U45-$U$42&gt;3,1,0))</f>
        <v>0</v>
      </c>
      <c r="AH45" s="38">
        <f t="shared" si="15"/>
        <v>18</v>
      </c>
    </row>
    <row r="46" ht="12.75" customHeight="1">
      <c r="A46" s="32" t="str">
        <f>SETUP!A8</f>
        <v>Brian K</v>
      </c>
      <c r="B46" s="33">
        <f t="array" ref="B46">if(A46="","",index(SETUP!E:E,match(A46,SETUP!A:A,0)))</f>
        <v>10</v>
      </c>
      <c r="C46" s="34"/>
      <c r="D46" s="35">
        <v>7.0</v>
      </c>
      <c r="E46" s="35">
        <v>2.0</v>
      </c>
      <c r="F46" s="35">
        <v>5.0</v>
      </c>
      <c r="G46" s="35">
        <v>3.0</v>
      </c>
      <c r="H46" s="35">
        <v>9.0</v>
      </c>
      <c r="I46" s="35">
        <v>5.0</v>
      </c>
      <c r="J46" s="35">
        <v>5.0</v>
      </c>
      <c r="K46" s="35">
        <v>5.0</v>
      </c>
      <c r="L46" s="35">
        <v>3.0</v>
      </c>
      <c r="M46" s="35">
        <v>6.0</v>
      </c>
      <c r="N46" s="35">
        <v>6.0</v>
      </c>
      <c r="O46" s="35">
        <v>3.0</v>
      </c>
      <c r="P46" s="35">
        <v>5.0</v>
      </c>
      <c r="Q46" s="35">
        <v>7.0</v>
      </c>
      <c r="R46" s="35">
        <v>4.0</v>
      </c>
      <c r="S46" s="35">
        <v>4.0</v>
      </c>
      <c r="T46" s="35">
        <v>4.0</v>
      </c>
      <c r="U46" s="35">
        <v>5.0</v>
      </c>
      <c r="V46" s="36">
        <f t="shared" si="11"/>
        <v>44</v>
      </c>
      <c r="W46" s="36">
        <f t="shared" si="12"/>
        <v>44</v>
      </c>
      <c r="X46" s="36">
        <f t="shared" si="13"/>
        <v>88</v>
      </c>
      <c r="Y46" s="37">
        <f t="shared" si="14"/>
        <v>78</v>
      </c>
      <c r="Z46" s="38">
        <f t="array" ref="Z46">sum(if(D46-$D$42=-3,1,0),if(E46-$E$42=-3,1,0),if(F46-$F$42=-3,1,0),if(G46-$G$42=-3,1,0),if(H46-$H$42=-3,1,0),if(I46-$I$42=-3,1,0),if(J46-$J$42=-3,1,0),if(K46-$K$42=-3,1,0),if(L46-$L$42=-3,1,0),if(M46-$M$42=-3,1,0),if(N46-$N$42=-3,1,0),if(O46-$O$42=-3,1,0),if(P46-$P$42=-3,1,0),if(Q46-$Q$42=-3,1,0),if(R46-$R$42=-3,1,0),if(S46-$S$42=-3,1,0),if(T46-$T$42=-3,1,0),if(U46-$U$42=-3,1,0))</f>
        <v>0</v>
      </c>
      <c r="AA46" s="38">
        <f t="array" ref="AA46">sum(if(D46-$D$42=-2,1,0),if(E46-$E$42=-2,1,0),if(F46-$F$42=-2,1,0),if(G46-$G$42=-2,1,0),if(H46-$H$42=-2,1,0),if(I46-$I$42=-2,1,0),if(J46-$J$42=-2,1,0),if(K46-$K$42=-2,1,0),if(L46-$L$42=-2,1,0),if(M46-$M$42=-2,1,0),if(N46-$N$42=-2,1,0),if(O46-$O$42=-2,1,0),if(P46-$P$42=-2,1,0),if(Q46-$Q$42=-2,1,0),if(R46-$R$42=-2,1,0),if(S46-$S$42=-2,1,0),if(T46-$T$42=-2,1,0),if(U46-$U$42=-2,1,0))</f>
        <v>0</v>
      </c>
      <c r="AB46" s="38">
        <f t="array" ref="AB46">sum(if(D46-$D$42=-1,1,0),if(E46-$E$42=-1,1,0),if(F46-$F$42=-1,1,0),if(G46-$G$42=-1,1,0),if(H46-$H$42=-1,1,0),if(I46-$I$42=-1,1,0),if(J46-$J$42=-1,1,0),if(K46-$K$42=-1,1,0),if(L46-$L$42=-1,1,0),if(M46-$M$42=-1,1,0),if(N46-$N$42=-1,1,0),if(O46-$O$42=-1,1,0),if(P46-$P$42=-1,1,0),if(Q46-$Q$42=-1,1,0),if(R46-$R$42=-1,1,0),if(S46-$S$42=-1,1,0),if(T46-$T$42=-1,1,0),if(U46-$U$42=-1,1,0))</f>
        <v>1</v>
      </c>
      <c r="AC46" s="38">
        <f t="array" ref="AC46">sum(if(D46-$D$42=0,1,0),if(E46-$E$42=0,1,0),if(F46-$F$42=0,1,0),if(G46-$G$42=0,1,0),if(H46-$H$42=0,1,0),if(I46-$I$42=0,1,0),if(J46-$J$42=0,1,0),if(K46-$K$42=0,1,0),if(L46-$L$42=0,1,0),if(M46-$M$42=0,1,0),if(N46-$N$42=0,1,0),if(O46-$O$42=0,1,0),if(P46-$P$42=0,1,0),if(Q46-$Q$42=0,1,0),if(R46-$R$42=0,1,0),if(S46-$S$42=0,1,0),if(T46-$T$42=0,1,0),if(U46-$U$42=0,1,0))</f>
        <v>9</v>
      </c>
      <c r="AD46" s="38">
        <f t="array" ref="AD46">sum(if(D46-$D$42=1,1,0),if(E46-$E$42=1,1,0),if(F46-$F$42=1,1,0),if(G46-$G$42=1,1,0),if(H46-$H$42=1,1,0),if(I46-$I$42=1,1,0),if(J46-$J$42=1,1,0),if(K46-$K$42=1,1,0),if(L46-$L$42=1,1,0),if(M46-$M$42=1,1,0),if(N46-$N$42=1,1,0),if(O46-$O$42=1,1,0),if(P46-$P$42=1,1,0),if(Q46-$Q$42=1,1,0),if(R46-$R$42=1,1,0),if(S46-$S$42=1,1,0),if(T46-$T$42=1,1,0),if(U46-$U$42=1,1,0))</f>
        <v>4</v>
      </c>
      <c r="AE46" s="38">
        <f t="array" ref="AE46">sum(if(D46-$D$42=2,1,0),if(E46-$E$42=2,1,0),if(F46-$F$42=2,1,0),if(G46-$G$42=2,1,0),if(H46-$H$42=2,1,0),if(I46-$I$42=2,1,0),if(J46-$J$42=2,1,0),if(K46-$K$42=2,1,0),if(L46-$L$42=2,1,0),if(M46-$M$42=2,1,0),if(N46-$N$42=2,1,0),if(O46-$O$42=2,1,0),if(P46-$P$42=2,1,0),if(Q46-$Q$42=2,1,0),if(R46-$R$42=2,1,0),if(S46-$S$42=2,1,0),if(T46-$T$42=2,1,0),if(U46-$U$42=2,1,0))</f>
        <v>1</v>
      </c>
      <c r="AF46" s="38">
        <f t="array" ref="AF46">sum(if(D46-$D$42=3,1,0),if(E46-$E$42=3,1,0),if(F46-$F$42=3,1,0),if(G46-$G$42=3,1,0),if(H46-$H$42=3,1,0),if(I46-$I$42=3,1,0),if(J46-$J$42=3,1,0),if(K46-$K$42=3,1,0),if(L46-$L$42=3,1,0),if(M46-$M$42=3,1,0),if(N46-$N$42=3,1,0),if(O46-$O$42=3,1,0),if(P46-$P$42=3,1,0),if(Q46-$Q$42=3,1,0),if(R46-$R$42=3,1,0),if(S46-$S$42=3,1,0),if(T46-$T$42=3,1,0),if(U46-$U$42=3,1,0))</f>
        <v>1</v>
      </c>
      <c r="AG46" s="38">
        <f t="array" ref="AG46">sum(if(D46-$D$42&gt;3,1,0),if(E46-$E$42&gt;3,1,0),if(F46-$F$42&gt;3,1,0),if(G46-$G$42&gt;3,1,0),if(H46-$H$42&gt;3,1,0),if(I46-$I$42&gt;3,1,0),if(J46-$J$42&gt;3,1,0),if(K46-$K$42&gt;3,1,0),if(L46-$L$42&gt;3,1,0),if(M46-$M$42&gt;3,1,0),if(N46-$N$42&gt;3,1,0),if(O46-$O$42&gt;3,1,0),if(P46-$P$42&gt;3,1,0),if(Q46-$Q$42&gt;3,1,0),if(R46-$R$42&gt;3,1,0),if(S46-$S$42&gt;3,1,0),if(T46-$T$42&gt;3,1,0),if(U46-$U$42&gt;3,1,0))</f>
        <v>2</v>
      </c>
      <c r="AH46" s="38">
        <f t="shared" si="15"/>
        <v>18</v>
      </c>
    </row>
    <row r="47" ht="12.75" customHeight="1">
      <c r="A47" s="32" t="str">
        <f>SETUP!A9</f>
        <v>Dave K</v>
      </c>
      <c r="B47" s="33">
        <f t="array" ref="B47">if(A47="","",index(SETUP!E:E,match(A47,SETUP!A:A,0)))</f>
        <v>17</v>
      </c>
      <c r="C47" s="34"/>
      <c r="D47" s="35">
        <v>9.0</v>
      </c>
      <c r="E47" s="35">
        <v>5.0</v>
      </c>
      <c r="F47" s="35">
        <v>4.0</v>
      </c>
      <c r="G47" s="35">
        <v>4.0</v>
      </c>
      <c r="H47" s="35">
        <v>5.0</v>
      </c>
      <c r="I47" s="35">
        <v>5.0</v>
      </c>
      <c r="J47" s="35">
        <v>4.0</v>
      </c>
      <c r="K47" s="35">
        <v>8.0</v>
      </c>
      <c r="L47" s="35">
        <v>3.0</v>
      </c>
      <c r="M47" s="35">
        <v>7.0</v>
      </c>
      <c r="N47" s="35">
        <v>5.0</v>
      </c>
      <c r="O47" s="35">
        <v>4.0</v>
      </c>
      <c r="P47" s="35">
        <v>6.0</v>
      </c>
      <c r="Q47" s="35">
        <v>4.0</v>
      </c>
      <c r="R47" s="35">
        <v>5.0</v>
      </c>
      <c r="S47" s="35">
        <v>5.0</v>
      </c>
      <c r="T47" s="35">
        <v>4.0</v>
      </c>
      <c r="U47" s="35">
        <v>7.0</v>
      </c>
      <c r="V47" s="36">
        <f t="shared" si="11"/>
        <v>47</v>
      </c>
      <c r="W47" s="36">
        <f t="shared" si="12"/>
        <v>47</v>
      </c>
      <c r="X47" s="36">
        <f t="shared" si="13"/>
        <v>94</v>
      </c>
      <c r="Y47" s="37">
        <f t="shared" si="14"/>
        <v>77</v>
      </c>
      <c r="Z47" s="38">
        <f t="array" ref="Z47">sum(if(D47-$D$42=-3,1,0),if(E47-$E$42=-3,1,0),if(F47-$F$42=-3,1,0),if(G47-$G$42=-3,1,0),if(H47-$H$42=-3,1,0),if(I47-$I$42=-3,1,0),if(J47-$J$42=-3,1,0),if(K47-$K$42=-3,1,0),if(L47-$L$42=-3,1,0),if(M47-$M$42=-3,1,0),if(N47-$N$42=-3,1,0),if(O47-$O$42=-3,1,0),if(P47-$P$42=-3,1,0),if(Q47-$Q$42=-3,1,0),if(R47-$R$42=-3,1,0),if(S47-$S$42=-3,1,0),if(T47-$T$42=-3,1,0),if(U47-$U$42=-3,1,0))</f>
        <v>0</v>
      </c>
      <c r="AA47" s="38">
        <f t="array" ref="AA47">sum(if(D47-$D$42=-2,1,0),if(E47-$E$42=-2,1,0),if(F47-$F$42=-2,1,0),if(G47-$G$42=-2,1,0),if(H47-$H$42=-2,1,0),if(I47-$I$42=-2,1,0),if(J47-$J$42=-2,1,0),if(K47-$K$42=-2,1,0),if(L47-$L$42=-2,1,0),if(M47-$M$42=-2,1,0),if(N47-$N$42=-2,1,0),if(O47-$O$42=-2,1,0),if(P47-$P$42=-2,1,0),if(Q47-$Q$42=-2,1,0),if(R47-$R$42=-2,1,0),if(S47-$S$42=-2,1,0),if(T47-$T$42=-2,1,0),if(U47-$U$42=-2,1,0))</f>
        <v>0</v>
      </c>
      <c r="AB47" s="38">
        <f t="array" ref="AB47">sum(if(D47-$D$42=-1,1,0),if(E47-$E$42=-1,1,0),if(F47-$F$42=-1,1,0),if(G47-$G$42=-1,1,0),if(H47-$H$42=-1,1,0),if(I47-$I$42=-1,1,0),if(J47-$J$42=-1,1,0),if(K47-$K$42=-1,1,0),if(L47-$L$42=-1,1,0),if(M47-$M$42=-1,1,0),if(N47-$N$42=-1,1,0),if(O47-$O$42=-1,1,0),if(P47-$P$42=-1,1,0),if(Q47-$Q$42=-1,1,0),if(R47-$R$42=-1,1,0),if(S47-$S$42=-1,1,0),if(T47-$T$42=-1,1,0),if(U47-$U$42=-1,1,0))</f>
        <v>1</v>
      </c>
      <c r="AC47" s="38">
        <f t="array" ref="AC47">sum(if(D47-$D$42=0,1,0),if(E47-$E$42=0,1,0),if(F47-$F$42=0,1,0),if(G47-$G$42=0,1,0),if(H47-$H$42=0,1,0),if(I47-$I$42=0,1,0),if(J47-$J$42=0,1,0),if(K47-$K$42=0,1,0),if(L47-$L$42=0,1,0),if(M47-$M$42=0,1,0),if(N47-$N$42=0,1,0),if(O47-$O$42=0,1,0),if(P47-$P$42=0,1,0),if(Q47-$Q$42=0,1,0),if(R47-$R$42=0,1,0),if(S47-$S$42=0,1,0),if(T47-$T$42=0,1,0),if(U47-$U$42=0,1,0))</f>
        <v>5</v>
      </c>
      <c r="AD47" s="38">
        <f t="array" ref="AD47">sum(if(D47-$D$42=1,1,0),if(E47-$E$42=1,1,0),if(F47-$F$42=1,1,0),if(G47-$G$42=1,1,0),if(H47-$H$42=1,1,0),if(I47-$I$42=1,1,0),if(J47-$J$42=1,1,0),if(K47-$K$42=1,1,0),if(L47-$L$42=1,1,0),if(M47-$M$42=1,1,0),if(N47-$N$42=1,1,0),if(O47-$O$42=1,1,0),if(P47-$P$42=1,1,0),if(Q47-$Q$42=1,1,0),if(R47-$R$42=1,1,0),if(S47-$S$42=1,1,0),if(T47-$T$42=1,1,0),if(U47-$U$42=1,1,0))</f>
        <v>7</v>
      </c>
      <c r="AE47" s="38">
        <f t="array" ref="AE47">sum(if(D47-$D$42=2,1,0),if(E47-$E$42=2,1,0),if(F47-$F$42=2,1,0),if(G47-$G$42=2,1,0),if(H47-$H$42=2,1,0),if(I47-$I$42=2,1,0),if(J47-$J$42=2,1,0),if(K47-$K$42=2,1,0),if(L47-$L$42=2,1,0),if(M47-$M$42=2,1,0),if(N47-$N$42=2,1,0),if(O47-$O$42=2,1,0),if(P47-$P$42=2,1,0),if(Q47-$Q$42=2,1,0),if(R47-$R$42=2,1,0),if(S47-$S$42=2,1,0),if(T47-$T$42=2,1,0),if(U47-$U$42=2,1,0))</f>
        <v>1</v>
      </c>
      <c r="AF47" s="38">
        <f t="array" ref="AF47">sum(if(D47-$D$42=3,1,0),if(E47-$E$42=3,1,0),if(F47-$F$42=3,1,0),if(G47-$G$42=3,1,0),if(H47-$H$42=3,1,0),if(I47-$I$42=3,1,0),if(J47-$J$42=3,1,0),if(K47-$K$42=3,1,0),if(L47-$L$42=3,1,0),if(M47-$M$42=3,1,0),if(N47-$N$42=3,1,0),if(O47-$O$42=3,1,0),if(P47-$P$42=3,1,0),if(Q47-$Q$42=3,1,0),if(R47-$R$42=3,1,0),if(S47-$S$42=3,1,0),if(T47-$T$42=3,1,0),if(U47-$U$42=3,1,0))</f>
        <v>3</v>
      </c>
      <c r="AG47" s="38">
        <f t="array" ref="AG47">sum(if(D47-$D$42&gt;3,1,0),if(E47-$E$42&gt;3,1,0),if(F47-$F$42&gt;3,1,0),if(G47-$G$42&gt;3,1,0),if(H47-$H$42&gt;3,1,0),if(I47-$I$42&gt;3,1,0),if(J47-$J$42&gt;3,1,0),if(K47-$K$42&gt;3,1,0),if(L47-$L$42&gt;3,1,0),if(M47-$M$42&gt;3,1,0),if(N47-$N$42&gt;3,1,0),if(O47-$O$42&gt;3,1,0),if(P47-$P$42&gt;3,1,0),if(Q47-$Q$42&gt;3,1,0),if(R47-$R$42&gt;3,1,0),if(S47-$S$42&gt;3,1,0),if(T47-$T$42&gt;3,1,0),if(U47-$U$42&gt;3,1,0))</f>
        <v>1</v>
      </c>
      <c r="AH47" s="38">
        <f t="shared" si="15"/>
        <v>18</v>
      </c>
    </row>
    <row r="48" ht="12.75" customHeight="1">
      <c r="A48" s="32" t="str">
        <f>SETUP!A10</f>
        <v>Eric O</v>
      </c>
      <c r="B48" s="33">
        <f t="array" ref="B48">if(A48="","",index(SETUP!E:E,match(A48,SETUP!A:A,0)))</f>
        <v>17</v>
      </c>
      <c r="C48" s="34"/>
      <c r="D48" s="35">
        <v>5.0</v>
      </c>
      <c r="E48" s="35">
        <v>4.0</v>
      </c>
      <c r="F48" s="35">
        <v>5.0</v>
      </c>
      <c r="G48" s="35">
        <v>3.0</v>
      </c>
      <c r="H48" s="35">
        <v>6.0</v>
      </c>
      <c r="I48" s="35">
        <v>5.0</v>
      </c>
      <c r="J48" s="35">
        <v>7.0</v>
      </c>
      <c r="K48" s="35">
        <v>7.0</v>
      </c>
      <c r="L48" s="35">
        <v>6.0</v>
      </c>
      <c r="M48" s="35">
        <v>6.0</v>
      </c>
      <c r="N48" s="35">
        <v>6.0</v>
      </c>
      <c r="O48" s="35">
        <v>3.0</v>
      </c>
      <c r="P48" s="35">
        <v>5.0</v>
      </c>
      <c r="Q48" s="35">
        <v>5.0</v>
      </c>
      <c r="R48" s="35">
        <v>6.0</v>
      </c>
      <c r="S48" s="35">
        <v>5.0</v>
      </c>
      <c r="T48" s="35">
        <v>3.0</v>
      </c>
      <c r="U48" s="35">
        <v>4.0</v>
      </c>
      <c r="V48" s="36">
        <f t="shared" si="11"/>
        <v>48</v>
      </c>
      <c r="W48" s="36">
        <f t="shared" si="12"/>
        <v>43</v>
      </c>
      <c r="X48" s="36">
        <f t="shared" si="13"/>
        <v>91</v>
      </c>
      <c r="Y48" s="37">
        <f t="shared" si="14"/>
        <v>74</v>
      </c>
      <c r="Z48" s="38">
        <f t="array" ref="Z48">sum(if(D48-$D$42=-3,1,0),if(E48-$E$42=-3,1,0),if(F48-$F$42=-3,1,0),if(G48-$G$42=-3,1,0),if(H48-$H$42=-3,1,0),if(I48-$I$42=-3,1,0),if(J48-$J$42=-3,1,0),if(K48-$K$42=-3,1,0),if(L48-$L$42=-3,1,0),if(M48-$M$42=-3,1,0),if(N48-$N$42=-3,1,0),if(O48-$O$42=-3,1,0),if(P48-$P$42=-3,1,0),if(Q48-$Q$42=-3,1,0),if(R48-$R$42=-3,1,0),if(S48-$S$42=-3,1,0),if(T48-$T$42=-3,1,0),if(U48-$U$42=-3,1,0))</f>
        <v>0</v>
      </c>
      <c r="AA48" s="38">
        <f t="array" ref="AA48">sum(if(D48-$D$42=-2,1,0),if(E48-$E$42=-2,1,0),if(F48-$F$42=-2,1,0),if(G48-$G$42=-2,1,0),if(H48-$H$42=-2,1,0),if(I48-$I$42=-2,1,0),if(J48-$J$42=-2,1,0),if(K48-$K$42=-2,1,0),if(L48-$L$42=-2,1,0),if(M48-$M$42=-2,1,0),if(N48-$N$42=-2,1,0),if(O48-$O$42=-2,1,0),if(P48-$P$42=-2,1,0),if(Q48-$Q$42=-2,1,0),if(R48-$R$42=-2,1,0),if(S48-$S$42=-2,1,0),if(T48-$T$42=-2,1,0),if(U48-$U$42=-2,1,0))</f>
        <v>0</v>
      </c>
      <c r="AB48" s="38">
        <f t="array" ref="AB48">sum(if(D48-$D$42=-1,1,0),if(E48-$E$42=-1,1,0),if(F48-$F$42=-1,1,0),if(G48-$G$42=-1,1,0),if(H48-$H$42=-1,1,0),if(I48-$I$42=-1,1,0),if(J48-$J$42=-1,1,0),if(K48-$K$42=-1,1,0),if(L48-$L$42=-1,1,0),if(M48-$M$42=-1,1,0),if(N48-$N$42=-1,1,0),if(O48-$O$42=-1,1,0),if(P48-$P$42=-1,1,0),if(Q48-$Q$42=-1,1,0),if(R48-$R$42=-1,1,0),if(S48-$S$42=-1,1,0),if(T48-$T$42=-1,1,0),if(U48-$U$42=-1,1,0))</f>
        <v>1</v>
      </c>
      <c r="AC48" s="38">
        <f t="array" ref="AC48">sum(if(D48-$D$42=0,1,0),if(E48-$E$42=0,1,0),if(F48-$F$42=0,1,0),if(G48-$G$42=0,1,0),if(H48-$H$42=0,1,0),if(I48-$I$42=0,1,0),if(J48-$J$42=0,1,0),if(K48-$K$42=0,1,0),if(L48-$L$42=0,1,0),if(M48-$M$42=0,1,0),if(N48-$N$42=0,1,0),if(O48-$O$42=0,1,0),if(P48-$P$42=0,1,0),if(Q48-$Q$42=0,1,0),if(R48-$R$42=0,1,0),if(S48-$S$42=0,1,0),if(T48-$T$42=0,1,0),if(U48-$U$42=0,1,0))</f>
        <v>5</v>
      </c>
      <c r="AD48" s="38">
        <f t="array" ref="AD48">sum(if(D48-$D$42=1,1,0),if(E48-$E$42=1,1,0),if(F48-$F$42=1,1,0),if(G48-$G$42=1,1,0),if(H48-$H$42=1,1,0),if(I48-$I$42=1,1,0),if(J48-$J$42=1,1,0),if(K48-$K$42=1,1,0),if(L48-$L$42=1,1,0),if(M48-$M$42=1,1,0),if(N48-$N$42=1,1,0),if(O48-$O$42=1,1,0),if(P48-$P$42=1,1,0),if(Q48-$Q$42=1,1,0),if(R48-$R$42=1,1,0),if(S48-$S$42=1,1,0),if(T48-$T$42=1,1,0),if(U48-$U$42=1,1,0))</f>
        <v>6</v>
      </c>
      <c r="AE48" s="38">
        <f t="array" ref="AE48">sum(if(D48-$D$42=2,1,0),if(E48-$E$42=2,1,0),if(F48-$F$42=2,1,0),if(G48-$G$42=2,1,0),if(H48-$H$42=2,1,0),if(I48-$I$42=2,1,0),if(J48-$J$42=2,1,0),if(K48-$K$42=2,1,0),if(L48-$L$42=2,1,0),if(M48-$M$42=2,1,0),if(N48-$N$42=2,1,0),if(O48-$O$42=2,1,0),if(P48-$P$42=2,1,0),if(Q48-$Q$42=2,1,0),if(R48-$R$42=2,1,0),if(S48-$S$42=2,1,0),if(T48-$T$42=2,1,0),if(U48-$U$42=2,1,0))</f>
        <v>4</v>
      </c>
      <c r="AF48" s="38">
        <f t="array" ref="AF48">sum(if(D48-$D$42=3,1,0),if(E48-$E$42=3,1,0),if(F48-$F$42=3,1,0),if(G48-$G$42=3,1,0),if(H48-$H$42=3,1,0),if(I48-$I$42=3,1,0),if(J48-$J$42=3,1,0),if(K48-$K$42=3,1,0),if(L48-$L$42=3,1,0),if(M48-$M$42=3,1,0),if(N48-$N$42=3,1,0),if(O48-$O$42=3,1,0),if(P48-$P$42=3,1,0),if(Q48-$Q$42=3,1,0),if(R48-$R$42=3,1,0),if(S48-$S$42=3,1,0),if(T48-$T$42=3,1,0),if(U48-$U$42=3,1,0))</f>
        <v>2</v>
      </c>
      <c r="AG48" s="38">
        <f t="array" ref="AG48">sum(if(D48-$D$42&gt;3,1,0),if(E48-$E$42&gt;3,1,0),if(F48-$F$42&gt;3,1,0),if(G48-$G$42&gt;3,1,0),if(H48-$H$42&gt;3,1,0),if(I48-$I$42&gt;3,1,0),if(J48-$J$42&gt;3,1,0),if(K48-$K$42&gt;3,1,0),if(L48-$L$42&gt;3,1,0),if(M48-$M$42&gt;3,1,0),if(N48-$N$42&gt;3,1,0),if(O48-$O$42&gt;3,1,0),if(P48-$P$42&gt;3,1,0),if(Q48-$Q$42&gt;3,1,0),if(R48-$R$42&gt;3,1,0),if(S48-$S$42&gt;3,1,0),if(T48-$T$42&gt;3,1,0),if(U48-$U$42&gt;3,1,0))</f>
        <v>0</v>
      </c>
      <c r="AH48" s="38">
        <f t="shared" si="15"/>
        <v>18</v>
      </c>
    </row>
    <row r="49" ht="12.75" customHeight="1">
      <c r="A49" s="32" t="str">
        <f>SETUP!A11</f>
        <v>Jeff B</v>
      </c>
      <c r="B49" s="33">
        <f t="array" ref="B49">if(A49="","",index(SETUP!E:E,match(A49,SETUP!A:A,0)))</f>
        <v>20</v>
      </c>
      <c r="C49" s="34"/>
      <c r="D49" s="35">
        <v>7.0</v>
      </c>
      <c r="E49" s="35">
        <v>4.0</v>
      </c>
      <c r="F49" s="35">
        <v>7.0</v>
      </c>
      <c r="G49" s="35">
        <v>4.0</v>
      </c>
      <c r="H49" s="35">
        <v>6.0</v>
      </c>
      <c r="I49" s="35">
        <v>3.0</v>
      </c>
      <c r="J49" s="35">
        <v>7.0</v>
      </c>
      <c r="K49" s="35">
        <v>5.0</v>
      </c>
      <c r="L49" s="35">
        <v>4.0</v>
      </c>
      <c r="M49" s="35">
        <v>6.0</v>
      </c>
      <c r="N49" s="35">
        <v>9.0</v>
      </c>
      <c r="O49" s="35">
        <v>5.0</v>
      </c>
      <c r="P49" s="35">
        <v>7.0</v>
      </c>
      <c r="Q49" s="35">
        <v>5.0</v>
      </c>
      <c r="R49" s="35">
        <v>4.0</v>
      </c>
      <c r="S49" s="35">
        <v>5.0</v>
      </c>
      <c r="T49" s="35">
        <v>3.0</v>
      </c>
      <c r="U49" s="35">
        <v>5.0</v>
      </c>
      <c r="V49" s="36">
        <f t="shared" si="11"/>
        <v>47</v>
      </c>
      <c r="W49" s="36">
        <f t="shared" si="12"/>
        <v>49</v>
      </c>
      <c r="X49" s="36">
        <f t="shared" si="13"/>
        <v>96</v>
      </c>
      <c r="Y49" s="37">
        <f t="shared" si="14"/>
        <v>76</v>
      </c>
      <c r="Z49" s="38">
        <f t="array" ref="Z49">sum(if(D49-$D$42=-3,1,0),if(E49-$E$42=-3,1,0),if(F49-$F$42=-3,1,0),if(G49-$G$42=-3,1,0),if(H49-$H$42=-3,1,0),if(I49-$I$42=-3,1,0),if(J49-$J$42=-3,1,0),if(K49-$K$42=-3,1,0),if(L49-$L$42=-3,1,0),if(M49-$M$42=-3,1,0),if(N49-$N$42=-3,1,0),if(O49-$O$42=-3,1,0),if(P49-$P$42=-3,1,0),if(Q49-$Q$42=-3,1,0),if(R49-$R$42=-3,1,0),if(S49-$S$42=-3,1,0),if(T49-$T$42=-3,1,0),if(U49-$U$42=-3,1,0))</f>
        <v>0</v>
      </c>
      <c r="AA49" s="38">
        <f t="array" ref="AA49">sum(if(D49-$D$42=-2,1,0),if(E49-$E$42=-2,1,0),if(F49-$F$42=-2,1,0),if(G49-$G$42=-2,1,0),if(H49-$H$42=-2,1,0),if(I49-$I$42=-2,1,0),if(J49-$J$42=-2,1,0),if(K49-$K$42=-2,1,0),if(L49-$L$42=-2,1,0),if(M49-$M$42=-2,1,0),if(N49-$N$42=-2,1,0),if(O49-$O$42=-2,1,0),if(P49-$P$42=-2,1,0),if(Q49-$Q$42=-2,1,0),if(R49-$R$42=-2,1,0),if(S49-$S$42=-2,1,0),if(T49-$T$42=-2,1,0),if(U49-$U$42=-2,1,0))</f>
        <v>0</v>
      </c>
      <c r="AB49" s="38">
        <f t="array" ref="AB49">sum(if(D49-$D$42=-1,1,0),if(E49-$E$42=-1,1,0),if(F49-$F$42=-1,1,0),if(G49-$G$42=-1,1,0),if(H49-$H$42=-1,1,0),if(I49-$I$42=-1,1,0),if(J49-$J$42=-1,1,0),if(K49-$K$42=-1,1,0),if(L49-$L$42=-1,1,0),if(M49-$M$42=-1,1,0),if(N49-$N$42=-1,1,0),if(O49-$O$42=-1,1,0),if(P49-$P$42=-1,1,0),if(Q49-$Q$42=-1,1,0),if(R49-$R$42=-1,1,0),if(S49-$S$42=-1,1,0),if(T49-$T$42=-1,1,0),if(U49-$U$42=-1,1,0))</f>
        <v>2</v>
      </c>
      <c r="AC49" s="38">
        <f t="array" ref="AC49">sum(if(D49-$D$42=0,1,0),if(E49-$E$42=0,1,0),if(F49-$F$42=0,1,0),if(G49-$G$42=0,1,0),if(H49-$H$42=0,1,0),if(I49-$I$42=0,1,0),if(J49-$J$42=0,1,0),if(K49-$K$42=0,1,0),if(L49-$L$42=0,1,0),if(M49-$M$42=0,1,0),if(N49-$N$42=0,1,0),if(O49-$O$42=0,1,0),if(P49-$P$42=0,1,0),if(Q49-$Q$42=0,1,0),if(R49-$R$42=0,1,0),if(S49-$S$42=0,1,0),if(T49-$T$42=0,1,0),if(U49-$U$42=0,1,0))</f>
        <v>2</v>
      </c>
      <c r="AD49" s="38">
        <f t="array" ref="AD49">sum(if(D49-$D$42=1,1,0),if(E49-$E$42=1,1,0),if(F49-$F$42=1,1,0),if(G49-$G$42=1,1,0),if(H49-$H$42=1,1,0),if(I49-$I$42=1,1,0),if(J49-$J$42=1,1,0),if(K49-$K$42=1,1,0),if(L49-$L$42=1,1,0),if(M49-$M$42=1,1,0),if(N49-$N$42=1,1,0),if(O49-$O$42=1,1,0),if(P49-$P$42=1,1,0),if(Q49-$Q$42=1,1,0),if(R49-$R$42=1,1,0),if(S49-$S$42=1,1,0),if(T49-$T$42=1,1,0),if(U49-$U$42=1,1,0))</f>
        <v>6</v>
      </c>
      <c r="AE49" s="38">
        <f t="array" ref="AE49">sum(if(D49-$D$42=2,1,0),if(E49-$E$42=2,1,0),if(F49-$F$42=2,1,0),if(G49-$G$42=2,1,0),if(H49-$H$42=2,1,0),if(I49-$I$42=2,1,0),if(J49-$J$42=2,1,0),if(K49-$K$42=2,1,0),if(L49-$L$42=2,1,0),if(M49-$M$42=2,1,0),if(N49-$N$42=2,1,0),if(O49-$O$42=2,1,0),if(P49-$P$42=2,1,0),if(Q49-$Q$42=2,1,0),if(R49-$R$42=2,1,0),if(S49-$S$42=2,1,0),if(T49-$T$42=2,1,0),if(U49-$U$42=2,1,0))</f>
        <v>5</v>
      </c>
      <c r="AF49" s="38">
        <f t="array" ref="AF49">sum(if(D49-$D$42=3,1,0),if(E49-$E$42=3,1,0),if(F49-$F$42=3,1,0),if(G49-$G$42=3,1,0),if(H49-$H$42=3,1,0),if(I49-$I$42=3,1,0),if(J49-$J$42=3,1,0),if(K49-$K$42=3,1,0),if(L49-$L$42=3,1,0),if(M49-$M$42=3,1,0),if(N49-$N$42=3,1,0),if(O49-$O$42=3,1,0),if(P49-$P$42=3,1,0),if(Q49-$Q$42=3,1,0),if(R49-$R$42=3,1,0),if(S49-$S$42=3,1,0),if(T49-$T$42=3,1,0),if(U49-$U$42=3,1,0))</f>
        <v>2</v>
      </c>
      <c r="AG49" s="38">
        <f t="array" ref="AG49">sum(if(D49-$D$42&gt;3,1,0),if(E49-$E$42&gt;3,1,0),if(F49-$F$42&gt;3,1,0),if(G49-$G$42&gt;3,1,0),if(H49-$H$42&gt;3,1,0),if(I49-$I$42&gt;3,1,0),if(J49-$J$42&gt;3,1,0),if(K49-$K$42&gt;3,1,0),if(L49-$L$42&gt;3,1,0),if(M49-$M$42&gt;3,1,0),if(N49-$N$42&gt;3,1,0),if(O49-$O$42&gt;3,1,0),if(P49-$P$42&gt;3,1,0),if(Q49-$Q$42&gt;3,1,0),if(R49-$R$42&gt;3,1,0),if(S49-$S$42&gt;3,1,0),if(T49-$T$42&gt;3,1,0),if(U49-$U$42&gt;3,1,0))</f>
        <v>1</v>
      </c>
      <c r="AH49" s="38">
        <f t="shared" si="15"/>
        <v>18</v>
      </c>
    </row>
    <row r="50" ht="12.75" customHeight="1">
      <c r="A50" s="32" t="str">
        <f>SETUP!A12</f>
        <v>Joe S</v>
      </c>
      <c r="B50" s="33">
        <f t="array" ref="B50">if(A50="","",index(SETUP!E:E,match(A50,SETUP!A:A,0)))</f>
        <v>13</v>
      </c>
      <c r="C50" s="34"/>
      <c r="D50" s="35">
        <v>8.0</v>
      </c>
      <c r="E50" s="35">
        <v>5.0</v>
      </c>
      <c r="F50" s="35">
        <v>6.0</v>
      </c>
      <c r="G50" s="35">
        <v>3.0</v>
      </c>
      <c r="H50" s="35">
        <v>6.0</v>
      </c>
      <c r="I50" s="35">
        <v>5.0</v>
      </c>
      <c r="J50" s="35">
        <v>6.0</v>
      </c>
      <c r="K50" s="35">
        <v>5.0</v>
      </c>
      <c r="L50" s="35">
        <v>2.0</v>
      </c>
      <c r="M50" s="35">
        <v>6.0</v>
      </c>
      <c r="N50" s="35">
        <v>6.0</v>
      </c>
      <c r="O50" s="35">
        <v>4.0</v>
      </c>
      <c r="P50" s="35">
        <v>6.0</v>
      </c>
      <c r="Q50" s="35">
        <v>3.0</v>
      </c>
      <c r="R50" s="35">
        <v>4.0</v>
      </c>
      <c r="S50" s="35">
        <v>5.0</v>
      </c>
      <c r="T50" s="35">
        <v>5.0</v>
      </c>
      <c r="U50" s="35">
        <v>7.0</v>
      </c>
      <c r="V50" s="36">
        <f t="shared" si="11"/>
        <v>46</v>
      </c>
      <c r="W50" s="36">
        <f t="shared" si="12"/>
        <v>46</v>
      </c>
      <c r="X50" s="36">
        <f t="shared" si="13"/>
        <v>92</v>
      </c>
      <c r="Y50" s="37">
        <f t="shared" si="14"/>
        <v>79</v>
      </c>
      <c r="Z50" s="38">
        <f t="array" ref="Z50">sum(if(D50-$D$42=-3,1,0),if(E50-$E$42=-3,1,0),if(F50-$F$42=-3,1,0),if(G50-$G$42=-3,1,0),if(H50-$H$42=-3,1,0),if(I50-$I$42=-3,1,0),if(J50-$J$42=-3,1,0),if(K50-$K$42=-3,1,0),if(L50-$L$42=-3,1,0),if(M50-$M$42=-3,1,0),if(N50-$N$42=-3,1,0),if(O50-$O$42=-3,1,0),if(P50-$P$42=-3,1,0),if(Q50-$Q$42=-3,1,0),if(R50-$R$42=-3,1,0),if(S50-$S$42=-3,1,0),if(T50-$T$42=-3,1,0),if(U50-$U$42=-3,1,0))</f>
        <v>0</v>
      </c>
      <c r="AA50" s="38">
        <f t="array" ref="AA50">sum(if(D50-$D$42=-2,1,0),if(E50-$E$42=-2,1,0),if(F50-$F$42=-2,1,0),if(G50-$G$42=-2,1,0),if(H50-$H$42=-2,1,0),if(I50-$I$42=-2,1,0),if(J50-$J$42=-2,1,0),if(K50-$K$42=-2,1,0),if(L50-$L$42=-2,1,0),if(M50-$M$42=-2,1,0),if(N50-$N$42=-2,1,0),if(O50-$O$42=-2,1,0),if(P50-$P$42=-2,1,0),if(Q50-$Q$42=-2,1,0),if(R50-$R$42=-2,1,0),if(S50-$S$42=-2,1,0),if(T50-$T$42=-2,1,0),if(U50-$U$42=-2,1,0))</f>
        <v>0</v>
      </c>
      <c r="AB50" s="38">
        <f t="array" ref="AB50">sum(if(D50-$D$42=-1,1,0),if(E50-$E$42=-1,1,0),if(F50-$F$42=-1,1,0),if(G50-$G$42=-1,1,0),if(H50-$H$42=-1,1,0),if(I50-$I$42=-1,1,0),if(J50-$J$42=-1,1,0),if(K50-$K$42=-1,1,0),if(L50-$L$42=-1,1,0),if(M50-$M$42=-1,1,0),if(N50-$N$42=-1,1,0),if(O50-$O$42=-1,1,0),if(P50-$P$42=-1,1,0),if(Q50-$Q$42=-1,1,0),if(R50-$R$42=-1,1,0),if(S50-$S$42=-1,1,0),if(T50-$T$42=-1,1,0),if(U50-$U$42=-1,1,0))</f>
        <v>1</v>
      </c>
      <c r="AC50" s="38">
        <f t="array" ref="AC50">sum(if(D50-$D$42=0,1,0),if(E50-$E$42=0,1,0),if(F50-$F$42=0,1,0),if(G50-$G$42=0,1,0),if(H50-$H$42=0,1,0),if(I50-$I$42=0,1,0),if(J50-$J$42=0,1,0),if(K50-$K$42=0,1,0),if(L50-$L$42=0,1,0),if(M50-$M$42=0,1,0),if(N50-$N$42=0,1,0),if(O50-$O$42=0,1,0),if(P50-$P$42=0,1,0),if(Q50-$Q$42=0,1,0),if(R50-$R$42=0,1,0),if(S50-$S$42=0,1,0),if(T50-$T$42=0,1,0),if(U50-$U$42=0,1,0))</f>
        <v>4</v>
      </c>
      <c r="AD50" s="38">
        <f t="array" ref="AD50">sum(if(D50-$D$42=1,1,0),if(E50-$E$42=1,1,0),if(F50-$F$42=1,1,0),if(G50-$G$42=1,1,0),if(H50-$H$42=1,1,0),if(I50-$I$42=1,1,0),if(J50-$J$42=1,1,0),if(K50-$K$42=1,1,0),if(L50-$L$42=1,1,0),if(M50-$M$42=1,1,0),if(N50-$N$42=1,1,0),if(O50-$O$42=1,1,0),if(P50-$P$42=1,1,0),if(Q50-$Q$42=1,1,0),if(R50-$R$42=1,1,0),if(S50-$S$42=1,1,0),if(T50-$T$42=1,1,0),if(U50-$U$42=1,1,0))</f>
        <v>8</v>
      </c>
      <c r="AE50" s="38">
        <f t="array" ref="AE50">sum(if(D50-$D$42=2,1,0),if(E50-$E$42=2,1,0),if(F50-$F$42=2,1,0),if(G50-$G$42=2,1,0),if(H50-$H$42=2,1,0),if(I50-$I$42=2,1,0),if(J50-$J$42=2,1,0),if(K50-$K$42=2,1,0),if(L50-$L$42=2,1,0),if(M50-$M$42=2,1,0),if(N50-$N$42=2,1,0),if(O50-$O$42=2,1,0),if(P50-$P$42=2,1,0),if(Q50-$Q$42=2,1,0),if(R50-$R$42=2,1,0),if(S50-$S$42=2,1,0),if(T50-$T$42=2,1,0),if(U50-$U$42=2,1,0))</f>
        <v>3</v>
      </c>
      <c r="AF50" s="38">
        <f t="array" ref="AF50">sum(if(D50-$D$42=3,1,0),if(E50-$E$42=3,1,0),if(F50-$F$42=3,1,0),if(G50-$G$42=3,1,0),if(H50-$H$42=3,1,0),if(I50-$I$42=3,1,0),if(J50-$J$42=3,1,0),if(K50-$K$42=3,1,0),if(L50-$L$42=3,1,0),if(M50-$M$42=3,1,0),if(N50-$N$42=3,1,0),if(O50-$O$42=3,1,0),if(P50-$P$42=3,1,0),if(Q50-$Q$42=3,1,0),if(R50-$R$42=3,1,0),if(S50-$S$42=3,1,0),if(T50-$T$42=3,1,0),if(U50-$U$42=3,1,0))</f>
        <v>1</v>
      </c>
      <c r="AG50" s="38">
        <f t="array" ref="AG50">sum(if(D50-$D$42&gt;3,1,0),if(E50-$E$42&gt;3,1,0),if(F50-$F$42&gt;3,1,0),if(G50-$G$42&gt;3,1,0),if(H50-$H$42&gt;3,1,0),if(I50-$I$42&gt;3,1,0),if(J50-$J$42&gt;3,1,0),if(K50-$K$42&gt;3,1,0),if(L50-$L$42&gt;3,1,0),if(M50-$M$42&gt;3,1,0),if(N50-$N$42&gt;3,1,0),if(O50-$O$42&gt;3,1,0),if(P50-$P$42&gt;3,1,0),if(Q50-$Q$42&gt;3,1,0),if(R50-$R$42&gt;3,1,0),if(S50-$S$42&gt;3,1,0),if(T50-$T$42&gt;3,1,0),if(U50-$U$42&gt;3,1,0))</f>
        <v>1</v>
      </c>
      <c r="AH50" s="38">
        <f t="shared" si="15"/>
        <v>18</v>
      </c>
    </row>
    <row r="51" ht="12.75" customHeight="1">
      <c r="A51" s="32" t="str">
        <f>SETUP!A13</f>
        <v>John C</v>
      </c>
      <c r="B51" s="33">
        <f t="array" ref="B51">if(A51="","",index(SETUP!E:E,match(A51,SETUP!A:A,0)))</f>
        <v>20</v>
      </c>
      <c r="C51" s="39"/>
      <c r="D51" s="35">
        <v>4.0</v>
      </c>
      <c r="E51" s="35">
        <v>3.0</v>
      </c>
      <c r="F51" s="35">
        <v>6.0</v>
      </c>
      <c r="G51" s="35">
        <v>6.0</v>
      </c>
      <c r="H51" s="35">
        <v>6.0</v>
      </c>
      <c r="I51" s="35">
        <v>6.0</v>
      </c>
      <c r="J51" s="35">
        <v>6.0</v>
      </c>
      <c r="K51" s="35">
        <v>7.0</v>
      </c>
      <c r="L51" s="35">
        <v>3.0</v>
      </c>
      <c r="M51" s="35">
        <v>5.0</v>
      </c>
      <c r="N51" s="35">
        <v>6.0</v>
      </c>
      <c r="O51" s="35">
        <v>5.0</v>
      </c>
      <c r="P51" s="35">
        <v>6.0</v>
      </c>
      <c r="Q51" s="35">
        <v>5.0</v>
      </c>
      <c r="R51" s="35">
        <v>5.0</v>
      </c>
      <c r="S51" s="35">
        <v>6.0</v>
      </c>
      <c r="T51" s="35">
        <v>5.0</v>
      </c>
      <c r="U51" s="35">
        <v>6.0</v>
      </c>
      <c r="V51" s="36">
        <f t="shared" si="11"/>
        <v>47</v>
      </c>
      <c r="W51" s="36">
        <f t="shared" si="12"/>
        <v>49</v>
      </c>
      <c r="X51" s="36">
        <f t="shared" si="13"/>
        <v>96</v>
      </c>
      <c r="Y51" s="37">
        <f t="shared" si="14"/>
        <v>76</v>
      </c>
      <c r="Z51" s="38">
        <f t="array" ref="Z51">sum(if(D51-$D$42=-3,1,0),if(E51-$E$42=-3,1,0),if(F51-$F$42=-3,1,0),if(G51-$G$42=-3,1,0),if(H51-$H$42=-3,1,0),if(I51-$I$42=-3,1,0),if(J51-$J$42=-3,1,0),if(K51-$K$42=-3,1,0),if(L51-$L$42=-3,1,0),if(M51-$M$42=-3,1,0),if(N51-$N$42=-3,1,0),if(O51-$O$42=-3,1,0),if(P51-$P$42=-3,1,0),if(Q51-$Q$42=-3,1,0),if(R51-$R$42=-3,1,0),if(S51-$S$42=-3,1,0),if(T51-$T$42=-3,1,0),if(U51-$U$42=-3,1,0))</f>
        <v>0</v>
      </c>
      <c r="AA51" s="38">
        <f t="array" ref="AA51">sum(if(D51-$D$42=-2,1,0),if(E51-$E$42=-2,1,0),if(F51-$F$42=-2,1,0),if(G51-$G$42=-2,1,0),if(H51-$H$42=-2,1,0),if(I51-$I$42=-2,1,0),if(J51-$J$42=-2,1,0),if(K51-$K$42=-2,1,0),if(L51-$L$42=-2,1,0),if(M51-$M$42=-2,1,0),if(N51-$N$42=-2,1,0),if(O51-$O$42=-2,1,0),if(P51-$P$42=-2,1,0),if(Q51-$Q$42=-2,1,0),if(R51-$R$42=-2,1,0),if(S51-$S$42=-2,1,0),if(T51-$T$42=-2,1,0),if(U51-$U$42=-2,1,0))</f>
        <v>0</v>
      </c>
      <c r="AB51" s="38">
        <f t="array" ref="AB51">sum(if(D51-$D$42=-1,1,0),if(E51-$E$42=-1,1,0),if(F51-$F$42=-1,1,0),if(G51-$G$42=-1,1,0),if(H51-$H$42=-1,1,0),if(I51-$I$42=-1,1,0),if(J51-$J$42=-1,1,0),if(K51-$K$42=-1,1,0),if(L51-$L$42=-1,1,0),if(M51-$M$42=-1,1,0),if(N51-$N$42=-1,1,0),if(O51-$O$42=-1,1,0),if(P51-$P$42=-1,1,0),if(Q51-$Q$42=-1,1,0),if(R51-$R$42=-1,1,0),if(S51-$S$42=-1,1,0),if(T51-$T$42=-1,1,0),if(U51-$U$42=-1,1,0))</f>
        <v>0</v>
      </c>
      <c r="AC51" s="38">
        <f t="array" ref="AC51">sum(if(D51-$D$42=0,1,0),if(E51-$E$42=0,1,0),if(F51-$F$42=0,1,0),if(G51-$G$42=0,1,0),if(H51-$H$42=0,1,0),if(I51-$I$42=0,1,0),if(J51-$J$42=0,1,0),if(K51-$K$42=0,1,0),if(L51-$L$42=0,1,0),if(M51-$M$42=0,1,0),if(N51-$N$42=0,1,0),if(O51-$O$42=0,1,0),if(P51-$P$42=0,1,0),if(Q51-$Q$42=0,1,0),if(R51-$R$42=0,1,0),if(S51-$S$42=0,1,0),if(T51-$T$42=0,1,0),if(U51-$U$42=0,1,0))</f>
        <v>3</v>
      </c>
      <c r="AD51" s="38">
        <f t="array" ref="AD51">sum(if(D51-$D$42=1,1,0),if(E51-$E$42=1,1,0),if(F51-$F$42=1,1,0),if(G51-$G$42=1,1,0),if(H51-$H$42=1,1,0),if(I51-$I$42=1,1,0),if(J51-$J$42=1,1,0),if(K51-$K$42=1,1,0),if(L51-$L$42=1,1,0),if(M51-$M$42=1,1,0),if(N51-$N$42=1,1,0),if(O51-$O$42=1,1,0),if(P51-$P$42=1,1,0),if(Q51-$Q$42=1,1,0),if(R51-$R$42=1,1,0),if(S51-$S$42=1,1,0),if(T51-$T$42=1,1,0),if(U51-$U$42=1,1,0))</f>
        <v>7</v>
      </c>
      <c r="AE51" s="38">
        <f t="array" ref="AE51">sum(if(D51-$D$42=2,1,0),if(E51-$E$42=2,1,0),if(F51-$F$42=2,1,0),if(G51-$G$42=2,1,0),if(H51-$H$42=2,1,0),if(I51-$I$42=2,1,0),if(J51-$J$42=2,1,0),if(K51-$K$42=2,1,0),if(L51-$L$42=2,1,0),if(M51-$M$42=2,1,0),if(N51-$N$42=2,1,0),if(O51-$O$42=2,1,0),if(P51-$P$42=2,1,0),if(Q51-$Q$42=2,1,0),if(R51-$R$42=2,1,0),if(S51-$S$42=2,1,0),if(T51-$T$42=2,1,0),if(U51-$U$42=2,1,0))</f>
        <v>7</v>
      </c>
      <c r="AF51" s="38">
        <f t="array" ref="AF51">sum(if(D51-$D$42=3,1,0),if(E51-$E$42=3,1,0),if(F51-$F$42=3,1,0),if(G51-$G$42=3,1,0),if(H51-$H$42=3,1,0),if(I51-$I$42=3,1,0),if(J51-$J$42=3,1,0),if(K51-$K$42=3,1,0),if(L51-$L$42=3,1,0),if(M51-$M$42=3,1,0),if(N51-$N$42=3,1,0),if(O51-$O$42=3,1,0),if(P51-$P$42=3,1,0),if(Q51-$Q$42=3,1,0),if(R51-$R$42=3,1,0),if(S51-$S$42=3,1,0),if(T51-$T$42=3,1,0),if(U51-$U$42=3,1,0))</f>
        <v>1</v>
      </c>
      <c r="AG51" s="38">
        <f t="array" ref="AG51">sum(if(D51-$D$42&gt;3,1,0),if(E51-$E$42&gt;3,1,0),if(F51-$F$42&gt;3,1,0),if(G51-$G$42&gt;3,1,0),if(H51-$H$42&gt;3,1,0),if(I51-$I$42&gt;3,1,0),if(J51-$J$42&gt;3,1,0),if(K51-$K$42&gt;3,1,0),if(L51-$L$42&gt;3,1,0),if(M51-$M$42&gt;3,1,0),if(N51-$N$42&gt;3,1,0),if(O51-$O$42&gt;3,1,0),if(P51-$P$42&gt;3,1,0),if(Q51-$Q$42&gt;3,1,0),if(R51-$R$42&gt;3,1,0),if(S51-$S$42&gt;3,1,0),if(T51-$T$42&gt;3,1,0),if(U51-$U$42&gt;3,1,0))</f>
        <v>0</v>
      </c>
      <c r="AH51" s="38">
        <f t="shared" si="15"/>
        <v>18</v>
      </c>
    </row>
    <row r="52" ht="12.75" customHeight="1">
      <c r="A52" s="32" t="str">
        <f>SETUP!A14</f>
        <v>Ray H</v>
      </c>
      <c r="B52" s="33">
        <f t="array" ref="B52">if(A52="","",index(SETUP!E:E,match(A52,SETUP!A:A,0)))</f>
        <v>20</v>
      </c>
      <c r="C52" s="34"/>
      <c r="D52" s="35">
        <v>5.0</v>
      </c>
      <c r="E52" s="35">
        <v>4.0</v>
      </c>
      <c r="F52" s="35">
        <v>7.0</v>
      </c>
      <c r="G52" s="35">
        <v>4.0</v>
      </c>
      <c r="H52" s="35">
        <v>7.0</v>
      </c>
      <c r="I52" s="35">
        <v>6.0</v>
      </c>
      <c r="J52" s="35">
        <v>5.0</v>
      </c>
      <c r="K52" s="35">
        <v>6.0</v>
      </c>
      <c r="L52" s="35">
        <v>3.0</v>
      </c>
      <c r="M52" s="35">
        <v>5.0</v>
      </c>
      <c r="N52" s="35">
        <v>8.0</v>
      </c>
      <c r="O52" s="35">
        <v>4.0</v>
      </c>
      <c r="P52" s="35">
        <v>6.0</v>
      </c>
      <c r="Q52" s="35">
        <v>6.0</v>
      </c>
      <c r="R52" s="35">
        <v>6.0</v>
      </c>
      <c r="S52" s="35">
        <v>6.0</v>
      </c>
      <c r="T52" s="35">
        <v>4.0</v>
      </c>
      <c r="U52" s="35">
        <v>5.0</v>
      </c>
      <c r="V52" s="36">
        <f t="shared" si="11"/>
        <v>47</v>
      </c>
      <c r="W52" s="36">
        <f t="shared" si="12"/>
        <v>50</v>
      </c>
      <c r="X52" s="36">
        <f t="shared" si="13"/>
        <v>97</v>
      </c>
      <c r="Y52" s="37">
        <f t="shared" si="14"/>
        <v>77</v>
      </c>
      <c r="Z52" s="38">
        <f t="array" ref="Z52">sum(if(D52-$D$42=-3,1,0),if(E52-$E$42=-3,1,0),if(F52-$F$42=-3,1,0),if(G52-$G$42=-3,1,0),if(H52-$H$42=-3,1,0),if(I52-$I$42=-3,1,0),if(J52-$J$42=-3,1,0),if(K52-$K$42=-3,1,0),if(L52-$L$42=-3,1,0),if(M52-$M$42=-3,1,0),if(N52-$N$42=-3,1,0),if(O52-$O$42=-3,1,0),if(P52-$P$42=-3,1,0),if(Q52-$Q$42=-3,1,0),if(R52-$R$42=-3,1,0),if(S52-$S$42=-3,1,0),if(T52-$T$42=-3,1,0),if(U52-$U$42=-3,1,0))</f>
        <v>0</v>
      </c>
      <c r="AA52" s="38">
        <f t="array" ref="AA52">sum(if(D52-$D$42=-2,1,0),if(E52-$E$42=-2,1,0),if(F52-$F$42=-2,1,0),if(G52-$G$42=-2,1,0),if(H52-$H$42=-2,1,0),if(I52-$I$42=-2,1,0),if(J52-$J$42=-2,1,0),if(K52-$K$42=-2,1,0),if(L52-$L$42=-2,1,0),if(M52-$M$42=-2,1,0),if(N52-$N$42=-2,1,0),if(O52-$O$42=-2,1,0),if(P52-$P$42=-2,1,0),if(Q52-$Q$42=-2,1,0),if(R52-$R$42=-2,1,0),if(S52-$S$42=-2,1,0),if(T52-$T$42=-2,1,0),if(U52-$U$42=-2,1,0))</f>
        <v>0</v>
      </c>
      <c r="AB52" s="38">
        <f t="array" ref="AB52">sum(if(D52-$D$42=-1,1,0),if(E52-$E$42=-1,1,0),if(F52-$F$42=-1,1,0),if(G52-$G$42=-1,1,0),if(H52-$H$42=-1,1,0),if(I52-$I$42=-1,1,0),if(J52-$J$42=-1,1,0),if(K52-$K$42=-1,1,0),if(L52-$L$42=-1,1,0),if(M52-$M$42=-1,1,0),if(N52-$N$42=-1,1,0),if(O52-$O$42=-1,1,0),if(P52-$P$42=-1,1,0),if(Q52-$Q$42=-1,1,0),if(R52-$R$42=-1,1,0),if(S52-$S$42=-1,1,0),if(T52-$T$42=-1,1,0),if(U52-$U$42=-1,1,0))</f>
        <v>0</v>
      </c>
      <c r="AC52" s="38">
        <f t="array" ref="AC52">sum(if(D52-$D$42=0,1,0),if(E52-$E$42=0,1,0),if(F52-$F$42=0,1,0),if(G52-$G$42=0,1,0),if(H52-$H$42=0,1,0),if(I52-$I$42=0,1,0),if(J52-$J$42=0,1,0),if(K52-$K$42=0,1,0),if(L52-$L$42=0,1,0),if(M52-$M$42=0,1,0),if(N52-$N$42=0,1,0),if(O52-$O$42=0,1,0),if(P52-$P$42=0,1,0),if(Q52-$Q$42=0,1,0),if(R52-$R$42=0,1,0),if(S52-$S$42=0,1,0),if(T52-$T$42=0,1,0),if(U52-$U$42=0,1,0))</f>
        <v>2</v>
      </c>
      <c r="AD52" s="38">
        <f t="array" ref="AD52">sum(if(D52-$D$42=1,1,0),if(E52-$E$42=1,1,0),if(F52-$F$42=1,1,0),if(G52-$G$42=1,1,0),if(H52-$H$42=1,1,0),if(I52-$I$42=1,1,0),if(J52-$J$42=1,1,0),if(K52-$K$42=1,1,0),if(L52-$L$42=1,1,0),if(M52-$M$42=1,1,0),if(N52-$N$42=1,1,0),if(O52-$O$42=1,1,0),if(P52-$P$42=1,1,0),if(Q52-$Q$42=1,1,0),if(R52-$R$42=1,1,0),if(S52-$S$42=1,1,0),if(T52-$T$42=1,1,0),if(U52-$U$42=1,1,0))</f>
        <v>9</v>
      </c>
      <c r="AE52" s="38">
        <f t="array" ref="AE52">sum(if(D52-$D$42=2,1,0),if(E52-$E$42=2,1,0),if(F52-$F$42=2,1,0),if(G52-$G$42=2,1,0),if(H52-$H$42=2,1,0),if(I52-$I$42=2,1,0),if(J52-$J$42=2,1,0),if(K52-$K$42=2,1,0),if(L52-$L$42=2,1,0),if(M52-$M$42=2,1,0),if(N52-$N$42=2,1,0),if(O52-$O$42=2,1,0),if(P52-$P$42=2,1,0),if(Q52-$Q$42=2,1,0),if(R52-$R$42=2,1,0),if(S52-$S$42=2,1,0),if(T52-$T$42=2,1,0),if(U52-$U$42=2,1,0))</f>
        <v>5</v>
      </c>
      <c r="AF52" s="38">
        <f t="array" ref="AF52">sum(if(D52-$D$42=3,1,0),if(E52-$E$42=3,1,0),if(F52-$F$42=3,1,0),if(G52-$G$42=3,1,0),if(H52-$H$42=3,1,0),if(I52-$I$42=3,1,0),if(J52-$J$42=3,1,0),if(K52-$K$42=3,1,0),if(L52-$L$42=3,1,0),if(M52-$M$42=3,1,0),if(N52-$N$42=3,1,0),if(O52-$O$42=3,1,0),if(P52-$P$42=3,1,0),if(Q52-$Q$42=3,1,0),if(R52-$R$42=3,1,0),if(S52-$S$42=3,1,0),if(T52-$T$42=3,1,0),if(U52-$U$42=3,1,0))</f>
        <v>2</v>
      </c>
      <c r="AG52" s="38">
        <f t="array" ref="AG52">sum(if(D52-$D$42&gt;3,1,0),if(E52-$E$42&gt;3,1,0),if(F52-$F$42&gt;3,1,0),if(G52-$G$42&gt;3,1,0),if(H52-$H$42&gt;3,1,0),if(I52-$I$42&gt;3,1,0),if(J52-$J$42&gt;3,1,0),if(K52-$K$42&gt;3,1,0),if(L52-$L$42&gt;3,1,0),if(M52-$M$42&gt;3,1,0),if(N52-$N$42&gt;3,1,0),if(O52-$O$42&gt;3,1,0),if(P52-$P$42&gt;3,1,0),if(Q52-$Q$42&gt;3,1,0),if(R52-$R$42&gt;3,1,0),if(S52-$S$42&gt;3,1,0),if(T52-$T$42&gt;3,1,0),if(U52-$U$42&gt;3,1,0))</f>
        <v>0</v>
      </c>
      <c r="AH52" s="38">
        <f t="shared" si="15"/>
        <v>18</v>
      </c>
    </row>
    <row r="53" ht="12.75" customHeight="1">
      <c r="A53" s="32" t="str">
        <f>SETUP!A15</f>
        <v>Russ W</v>
      </c>
      <c r="B53" s="33">
        <f t="array" ref="B53">if(A53="","",index(SETUP!E:E,match(A53,SETUP!A:A,0)))</f>
        <v>14</v>
      </c>
      <c r="C53" s="40"/>
      <c r="D53" s="35">
        <v>8.0</v>
      </c>
      <c r="E53" s="35">
        <v>5.0</v>
      </c>
      <c r="F53" s="35">
        <v>9.0</v>
      </c>
      <c r="G53" s="35">
        <v>5.0</v>
      </c>
      <c r="H53" s="35">
        <v>7.0</v>
      </c>
      <c r="I53" s="35">
        <v>6.0</v>
      </c>
      <c r="J53" s="35">
        <v>5.0</v>
      </c>
      <c r="K53" s="35">
        <v>5.0</v>
      </c>
      <c r="L53" s="35">
        <v>5.0</v>
      </c>
      <c r="M53" s="35">
        <v>5.0</v>
      </c>
      <c r="N53" s="35">
        <v>6.0</v>
      </c>
      <c r="O53" s="35">
        <v>4.0</v>
      </c>
      <c r="P53" s="35">
        <v>5.0</v>
      </c>
      <c r="Q53" s="35">
        <v>5.0</v>
      </c>
      <c r="R53" s="35">
        <v>7.0</v>
      </c>
      <c r="S53" s="35">
        <v>4.0</v>
      </c>
      <c r="T53" s="35">
        <v>3.0</v>
      </c>
      <c r="U53" s="35">
        <v>5.0</v>
      </c>
      <c r="V53" s="36">
        <f t="shared" si="11"/>
        <v>55</v>
      </c>
      <c r="W53" s="36">
        <f t="shared" si="12"/>
        <v>44</v>
      </c>
      <c r="X53" s="36">
        <f t="shared" si="13"/>
        <v>99</v>
      </c>
      <c r="Y53" s="37">
        <f t="shared" si="14"/>
        <v>85</v>
      </c>
      <c r="Z53" s="38">
        <f t="array" ref="Z53">sum(if(D53-$D$42=-3,1,0),if(E53-$E$42=-3,1,0),if(F53-$F$42=-3,1,0),if(G53-$G$42=-3,1,0),if(H53-$H$42=-3,1,0),if(I53-$I$42=-3,1,0),if(J53-$J$42=-3,1,0),if(K53-$K$42=-3,1,0),if(L53-$L$42=-3,1,0),if(M53-$M$42=-3,1,0),if(N53-$N$42=-3,1,0),if(O53-$O$42=-3,1,0),if(P53-$P$42=-3,1,0),if(Q53-$Q$42=-3,1,0),if(R53-$R$42=-3,1,0),if(S53-$S$42=-3,1,0),if(T53-$T$42=-3,1,0),if(U53-$U$42=-3,1,0))</f>
        <v>0</v>
      </c>
      <c r="AA53" s="38">
        <f t="array" ref="AA53">sum(if(D53-$D$42=-2,1,0),if(E53-$E$42=-2,1,0),if(F53-$F$42=-2,1,0),if(G53-$G$42=-2,1,0),if(H53-$H$42=-2,1,0),if(I53-$I$42=-2,1,0),if(J53-$J$42=-2,1,0),if(K53-$K$42=-2,1,0),if(L53-$L$42=-2,1,0),if(M53-$M$42=-2,1,0),if(N53-$N$42=-2,1,0),if(O53-$O$42=-2,1,0),if(P53-$P$42=-2,1,0),if(Q53-$Q$42=-2,1,0),if(R53-$R$42=-2,1,0),if(S53-$S$42=-2,1,0),if(T53-$T$42=-2,1,0),if(U53-$U$42=-2,1,0))</f>
        <v>0</v>
      </c>
      <c r="AB53" s="38">
        <f t="array" ref="AB53">sum(if(D53-$D$42=-1,1,0),if(E53-$E$42=-1,1,0),if(F53-$F$42=-1,1,0),if(G53-$G$42=-1,1,0),if(H53-$H$42=-1,1,0),if(I53-$I$42=-1,1,0),if(J53-$J$42=-1,1,0),if(K53-$K$42=-1,1,0),if(L53-$L$42=-1,1,0),if(M53-$M$42=-1,1,0),if(N53-$N$42=-1,1,0),if(O53-$O$42=-1,1,0),if(P53-$P$42=-1,1,0),if(Q53-$Q$42=-1,1,0),if(R53-$R$42=-1,1,0),if(S53-$S$42=-1,1,0),if(T53-$T$42=-1,1,0),if(U53-$U$42=-1,1,0))</f>
        <v>1</v>
      </c>
      <c r="AC53" s="38">
        <f t="array" ref="AC53">sum(if(D53-$D$42=0,1,0),if(E53-$E$42=0,1,0),if(F53-$F$42=0,1,0),if(G53-$G$42=0,1,0),if(H53-$H$42=0,1,0),if(I53-$I$42=0,1,0),if(J53-$J$42=0,1,0),if(K53-$K$42=0,1,0),if(L53-$L$42=0,1,0),if(M53-$M$42=0,1,0),if(N53-$N$42=0,1,0),if(O53-$O$42=0,1,0),if(P53-$P$42=0,1,0),if(Q53-$Q$42=0,1,0),if(R53-$R$42=0,1,0),if(S53-$S$42=0,1,0),if(T53-$T$42=0,1,0),if(U53-$U$42=0,1,0))</f>
        <v>3</v>
      </c>
      <c r="AD53" s="38">
        <f t="array" ref="AD53">sum(if(D53-$D$42=1,1,0),if(E53-$E$42=1,1,0),if(F53-$F$42=1,1,0),if(G53-$G$42=1,1,0),if(H53-$H$42=1,1,0),if(I53-$I$42=1,1,0),if(J53-$J$42=1,1,0),if(K53-$K$42=1,1,0),if(L53-$L$42=1,1,0),if(M53-$M$42=1,1,0),if(N53-$N$42=1,1,0),if(O53-$O$42=1,1,0),if(P53-$P$42=1,1,0),if(Q53-$Q$42=1,1,0),if(R53-$R$42=1,1,0),if(S53-$S$42=1,1,0),if(T53-$T$42=1,1,0),if(U53-$U$42=1,1,0))</f>
        <v>5</v>
      </c>
      <c r="AE53" s="38">
        <f t="array" ref="AE53">sum(if(D53-$D$42=2,1,0),if(E53-$E$42=2,1,0),if(F53-$F$42=2,1,0),if(G53-$G$42=2,1,0),if(H53-$H$42=2,1,0),if(I53-$I$42=2,1,0),if(J53-$J$42=2,1,0),if(K53-$K$42=2,1,0),if(L53-$L$42=2,1,0),if(M53-$M$42=2,1,0),if(N53-$N$42=2,1,0),if(O53-$O$42=2,1,0),if(P53-$P$42=2,1,0),if(Q53-$Q$42=2,1,0),if(R53-$R$42=2,1,0),if(S53-$S$42=2,1,0),if(T53-$T$42=2,1,0),if(U53-$U$42=2,1,0))</f>
        <v>6</v>
      </c>
      <c r="AF53" s="38">
        <f t="array" ref="AF53">sum(if(D53-$D$42=3,1,0),if(E53-$E$42=3,1,0),if(F53-$F$42=3,1,0),if(G53-$G$42=3,1,0),if(H53-$H$42=3,1,0),if(I53-$I$42=3,1,0),if(J53-$J$42=3,1,0),if(K53-$K$42=3,1,0),if(L53-$L$42=3,1,0),if(M53-$M$42=3,1,0),if(N53-$N$42=3,1,0),if(O53-$O$42=3,1,0),if(P53-$P$42=3,1,0),if(Q53-$Q$42=3,1,0),if(R53-$R$42=3,1,0),if(S53-$S$42=3,1,0),if(T53-$T$42=3,1,0),if(U53-$U$42=3,1,0))</f>
        <v>1</v>
      </c>
      <c r="AG53" s="38">
        <f t="array" ref="AG53">sum(if(D53-$D$42&gt;3,1,0),if(E53-$E$42&gt;3,1,0),if(F53-$F$42&gt;3,1,0),if(G53-$G$42&gt;3,1,0),if(H53-$H$42&gt;3,1,0),if(I53-$I$42&gt;3,1,0),if(J53-$J$42&gt;3,1,0),if(K53-$K$42&gt;3,1,0),if(L53-$L$42&gt;3,1,0),if(M53-$M$42&gt;3,1,0),if(N53-$N$42&gt;3,1,0),if(O53-$O$42&gt;3,1,0),if(P53-$P$42&gt;3,1,0),if(Q53-$Q$42&gt;3,1,0),if(R53-$R$42&gt;3,1,0),if(S53-$S$42&gt;3,1,0),if(T53-$T$42&gt;3,1,0),if(U53-$U$42&gt;3,1,0))</f>
        <v>2</v>
      </c>
      <c r="AH53" s="38">
        <f t="shared" si="15"/>
        <v>18</v>
      </c>
    </row>
    <row r="54" ht="12.75" customHeight="1">
      <c r="A54" s="32" t="str">
        <f>SETUP!A16</f>
        <v>Scott R</v>
      </c>
      <c r="B54" s="33">
        <f t="array" ref="B54">if(A54="","",index(SETUP!E:E,match(A54,SETUP!A:A,0)))</f>
        <v>7</v>
      </c>
      <c r="C54" s="40"/>
      <c r="D54" s="35">
        <v>4.0</v>
      </c>
      <c r="E54" s="35">
        <v>3.0</v>
      </c>
      <c r="F54" s="35">
        <v>5.0</v>
      </c>
      <c r="G54" s="35">
        <v>2.0</v>
      </c>
      <c r="H54" s="35">
        <v>4.0</v>
      </c>
      <c r="I54" s="35">
        <v>5.0</v>
      </c>
      <c r="J54" s="35">
        <v>4.0</v>
      </c>
      <c r="K54" s="35">
        <v>8.0</v>
      </c>
      <c r="L54" s="35">
        <v>5.0</v>
      </c>
      <c r="M54" s="35">
        <v>6.0</v>
      </c>
      <c r="N54" s="35">
        <v>6.0</v>
      </c>
      <c r="O54" s="35">
        <v>4.0</v>
      </c>
      <c r="P54" s="35">
        <v>5.0</v>
      </c>
      <c r="Q54" s="35">
        <v>4.0</v>
      </c>
      <c r="R54" s="35">
        <v>3.0</v>
      </c>
      <c r="S54" s="35">
        <v>4.0</v>
      </c>
      <c r="T54" s="35">
        <v>3.0</v>
      </c>
      <c r="U54" s="35">
        <v>7.0</v>
      </c>
      <c r="V54" s="36">
        <f t="shared" si="11"/>
        <v>40</v>
      </c>
      <c r="W54" s="36">
        <f t="shared" si="12"/>
        <v>42</v>
      </c>
      <c r="X54" s="36">
        <f t="shared" si="13"/>
        <v>82</v>
      </c>
      <c r="Y54" s="37">
        <f t="shared" si="14"/>
        <v>75</v>
      </c>
      <c r="Z54" s="38">
        <f t="array" ref="Z54">sum(if(D54-$D$42=-3,1,0),if(E54-$E$42=-3,1,0),if(F54-$F$42=-3,1,0),if(G54-$G$42=-3,1,0),if(H54-$H$42=-3,1,0),if(I54-$I$42=-3,1,0),if(J54-$J$42=-3,1,0),if(K54-$K$42=-3,1,0),if(L54-$L$42=-3,1,0),if(M54-$M$42=-3,1,0),if(N54-$N$42=-3,1,0),if(O54-$O$42=-3,1,0),if(P54-$P$42=-3,1,0),if(Q54-$Q$42=-3,1,0),if(R54-$R$42=-3,1,0),if(S54-$S$42=-3,1,0),if(T54-$T$42=-3,1,0),if(U54-$U$42=-3,1,0))</f>
        <v>0</v>
      </c>
      <c r="AA54" s="38">
        <f t="array" ref="AA54">sum(if(D54-$D$42=-2,1,0),if(E54-$E$42=-2,1,0),if(F54-$F$42=-2,1,0),if(G54-$G$42=-2,1,0),if(H54-$H$42=-2,1,0),if(I54-$I$42=-2,1,0),if(J54-$J$42=-2,1,0),if(K54-$K$42=-2,1,0),if(L54-$L$42=-2,1,0),if(M54-$M$42=-2,1,0),if(N54-$N$42=-2,1,0),if(O54-$O$42=-2,1,0),if(P54-$P$42=-2,1,0),if(Q54-$Q$42=-2,1,0),if(R54-$R$42=-2,1,0),if(S54-$S$42=-2,1,0),if(T54-$T$42=-2,1,0),if(U54-$U$42=-2,1,0))</f>
        <v>0</v>
      </c>
      <c r="AB54" s="38">
        <f t="array" ref="AB54">sum(if(D54-$D$42=-1,1,0),if(E54-$E$42=-1,1,0),if(F54-$F$42=-1,1,0),if(G54-$G$42=-1,1,0),if(H54-$H$42=-1,1,0),if(I54-$I$42=-1,1,0),if(J54-$J$42=-1,1,0),if(K54-$K$42=-1,1,0),if(L54-$L$42=-1,1,0),if(M54-$M$42=-1,1,0),if(N54-$N$42=-1,1,0),if(O54-$O$42=-1,1,0),if(P54-$P$42=-1,1,0),if(Q54-$Q$42=-1,1,0),if(R54-$R$42=-1,1,0),if(S54-$S$42=-1,1,0),if(T54-$T$42=-1,1,0),if(U54-$U$42=-1,1,0))</f>
        <v>4</v>
      </c>
      <c r="AC54" s="38">
        <f t="array" ref="AC54">sum(if(D54-$D$42=0,1,0),if(E54-$E$42=0,1,0),if(F54-$F$42=0,1,0),if(G54-$G$42=0,1,0),if(H54-$H$42=0,1,0),if(I54-$I$42=0,1,0),if(J54-$J$42=0,1,0),if(K54-$K$42=0,1,0),if(L54-$L$42=0,1,0),if(M54-$M$42=0,1,0),if(N54-$N$42=0,1,0),if(O54-$O$42=0,1,0),if(P54-$P$42=0,1,0),if(Q54-$Q$42=0,1,0),if(R54-$R$42=0,1,0),if(S54-$S$42=0,1,0),if(T54-$T$42=0,1,0),if(U54-$U$42=0,1,0))</f>
        <v>6</v>
      </c>
      <c r="AD54" s="38">
        <f t="array" ref="AD54">sum(if(D54-$D$42=1,1,0),if(E54-$E$42=1,1,0),if(F54-$F$42=1,1,0),if(G54-$G$42=1,1,0),if(H54-$H$42=1,1,0),if(I54-$I$42=1,1,0),if(J54-$J$42=1,1,0),if(K54-$K$42=1,1,0),if(L54-$L$42=1,1,0),if(M54-$M$42=1,1,0),if(N54-$N$42=1,1,0),if(O54-$O$42=1,1,0),if(P54-$P$42=1,1,0),if(Q54-$Q$42=1,1,0),if(R54-$R$42=1,1,0),if(S54-$S$42=1,1,0),if(T54-$T$42=1,1,0),if(U54-$U$42=1,1,0))</f>
        <v>4</v>
      </c>
      <c r="AE54" s="38">
        <f t="array" ref="AE54">sum(if(D54-$D$42=2,1,0),if(E54-$E$42=2,1,0),if(F54-$F$42=2,1,0),if(G54-$G$42=2,1,0),if(H54-$H$42=2,1,0),if(I54-$I$42=2,1,0),if(J54-$J$42=2,1,0),if(K54-$K$42=2,1,0),if(L54-$L$42=2,1,0),if(M54-$M$42=2,1,0),if(N54-$N$42=2,1,0),if(O54-$O$42=2,1,0),if(P54-$P$42=2,1,0),if(Q54-$Q$42=2,1,0),if(R54-$R$42=2,1,0),if(S54-$S$42=2,1,0),if(T54-$T$42=2,1,0),if(U54-$U$42=2,1,0))</f>
        <v>2</v>
      </c>
      <c r="AF54" s="38">
        <f t="array" ref="AF54">sum(if(D54-$D$42=3,1,0),if(E54-$E$42=3,1,0),if(F54-$F$42=3,1,0),if(G54-$G$42=3,1,0),if(H54-$H$42=3,1,0),if(I54-$I$42=3,1,0),if(J54-$J$42=3,1,0),if(K54-$K$42=3,1,0),if(L54-$L$42=3,1,0),if(M54-$M$42=3,1,0),if(N54-$N$42=3,1,0),if(O54-$O$42=3,1,0),if(P54-$P$42=3,1,0),if(Q54-$Q$42=3,1,0),if(R54-$R$42=3,1,0),if(S54-$S$42=3,1,0),if(T54-$T$42=3,1,0),if(U54-$U$42=3,1,0))</f>
        <v>2</v>
      </c>
      <c r="AG54" s="38">
        <f t="array" ref="AG54">sum(if(D54-$D$42&gt;3,1,0),if(E54-$E$42&gt;3,1,0),if(F54-$F$42&gt;3,1,0),if(G54-$G$42&gt;3,1,0),if(H54-$H$42&gt;3,1,0),if(I54-$I$42&gt;3,1,0),if(J54-$J$42&gt;3,1,0),if(K54-$K$42&gt;3,1,0),if(L54-$L$42&gt;3,1,0),if(M54-$M$42&gt;3,1,0),if(N54-$N$42&gt;3,1,0),if(O54-$O$42&gt;3,1,0),if(P54-$P$42&gt;3,1,0),if(Q54-$Q$42&gt;3,1,0),if(R54-$R$42&gt;3,1,0),if(S54-$S$42&gt;3,1,0),if(T54-$T$42&gt;3,1,0),if(U54-$U$42&gt;3,1,0))</f>
        <v>0</v>
      </c>
      <c r="AH54" s="38">
        <f t="shared" si="15"/>
        <v>18</v>
      </c>
    </row>
    <row r="55" ht="12.75" customHeight="1">
      <c r="A55" s="10"/>
      <c r="B55" s="11"/>
      <c r="C55" s="41" t="s">
        <v>19</v>
      </c>
      <c r="D55" s="42" t="str">
        <f t="array" ref="D55">IF(SUM(IF(IF('Betting SETUP'!$D$5:$D$16="Y", D43:D54, 10)=MIN(IF('Betting SETUP'!$D$5:$D$16="Y", D43:D54, 10)), 1, 0)) &gt; 1, "", INDEX('Betting SETUP'!$A$5:$A$16,MATCH(MIN(IF('Betting SETUP'!$D$5:$D$16="Y",D43:D54,10)),IF('Betting SETUP'!$D$5:$D$16="Y",D43:D54,10),0)))</f>
        <v/>
      </c>
      <c r="E55" s="42" t="str">
        <f t="array" ref="E55">IF(SUM(IF(IF('Betting SETUP'!$D$5:$D$16="Y", E43:E54, 10)=MIN(IF('Betting SETUP'!$D$5:$D$16="Y", E43:E54, 10)), 1, 0)) &gt; 1, "", INDEX('Betting SETUP'!$A$5:$A$16,MATCH(MIN(IF('Betting SETUP'!$D$5:$D$16="Y",E43:E54,10)),IF('Betting SETUP'!$D$5:$D$16="Y",E43:E54,10),0)))</f>
        <v>Brian K</v>
      </c>
      <c r="F55" s="42" t="str">
        <f t="array" ref="F55">IF(SUM(IF(IF('Betting SETUP'!$D$5:$D$16="Y", F43:F54, 10)=MIN(IF('Betting SETUP'!$D$5:$D$16="Y", F43:F54, 10)), 1, 0)) &gt; 1, "", INDEX('Betting SETUP'!$A$5:$A$16,MATCH(MIN(IF('Betting SETUP'!$D$5:$D$16="Y",F43:F54,10)),IF('Betting SETUP'!$D$5:$D$16="Y",F43:F54,10),0)))</f>
        <v>Dave K</v>
      </c>
      <c r="G55" s="42" t="str">
        <f t="array" ref="G55">IF(SUM(IF(IF('Betting SETUP'!$D$5:$D$16="Y", G43:G54, 10)=MIN(IF('Betting SETUP'!$D$5:$D$16="Y", G43:G54, 10)), 1, 0)) &gt; 1, "", INDEX('Betting SETUP'!$A$5:$A$16,MATCH(MIN(IF('Betting SETUP'!$D$5:$D$16="Y",G43:G54,10)),IF('Betting SETUP'!$D$5:$D$16="Y",G43:G54,10),0)))</f>
        <v>Scott R</v>
      </c>
      <c r="H55" s="42" t="str">
        <f t="array" ref="H55">IF(SUM(IF(IF('Betting SETUP'!$D$5:$D$16="Y", H43:H54, 10)=MIN(IF('Betting SETUP'!$D$5:$D$16="Y", H43:H54, 10)), 1, 0)) &gt; 1, "", INDEX('Betting SETUP'!$A$5:$A$16,MATCH(MIN(IF('Betting SETUP'!$D$5:$D$16="Y",H43:H54,10)),IF('Betting SETUP'!$D$5:$D$16="Y",H43:H54,10),0)))</f>
        <v/>
      </c>
      <c r="I55" s="42" t="str">
        <f t="array" ref="I55">IF(SUM(IF(IF('Betting SETUP'!$D$5:$D$16="Y", I43:I54, 10)=MIN(IF('Betting SETUP'!$D$5:$D$16="Y", I43:I54, 10)), 1, 0)) &gt; 1, "", INDEX('Betting SETUP'!$A$5:$A$16,MATCH(MIN(IF('Betting SETUP'!$D$5:$D$16="Y",I43:I54,10)),IF('Betting SETUP'!$D$5:$D$16="Y",I43:I54,10),0)))</f>
        <v>Jeff B</v>
      </c>
      <c r="J55" s="42" t="str">
        <f t="array" ref="J55">IF(SUM(IF(IF('Betting SETUP'!$D$5:$D$16="Y", J43:J54, 10)=MIN(IF('Betting SETUP'!$D$5:$D$16="Y", J43:J54, 10)), 1, 0)) &gt; 1, "", INDEX('Betting SETUP'!$A$5:$A$16,MATCH(MIN(IF('Betting SETUP'!$D$5:$D$16="Y",J43:J54,10)),IF('Betting SETUP'!$D$5:$D$16="Y",J43:J54,10),0)))</f>
        <v/>
      </c>
      <c r="K55" s="42" t="str">
        <f t="array" ref="K55">IF(SUM(IF(IF('Betting SETUP'!$D$5:$D$16="Y", K43:K54, 10)=MIN(IF('Betting SETUP'!$D$5:$D$16="Y", K43:K54, 10)), 1, 0)) &gt; 1, "", INDEX('Betting SETUP'!$A$5:$A$16,MATCH(MIN(IF('Betting SETUP'!$D$5:$D$16="Y",K43:K54,10)),IF('Betting SETUP'!$D$5:$D$16="Y",K43:K54,10),0)))</f>
        <v/>
      </c>
      <c r="L55" s="42" t="str">
        <f t="array" ref="L55">IF(SUM(IF(IF('Betting SETUP'!$D$5:$D$16="Y", L43:L54, 10)=MIN(IF('Betting SETUP'!$D$5:$D$16="Y", L43:L54, 10)), 1, 0)) &gt; 1, "", INDEX('Betting SETUP'!$A$5:$A$16,MATCH(MIN(IF('Betting SETUP'!$D$5:$D$16="Y",L43:L54,10)),IF('Betting SETUP'!$D$5:$D$16="Y",L43:L54,10),0)))</f>
        <v>Joe S</v>
      </c>
      <c r="M55" s="42" t="str">
        <f t="array" ref="M55">IF(SUM(IF(IF('Betting SETUP'!$D$5:$D$16="Y", M43:M54, 10)=MIN(IF('Betting SETUP'!$D$5:$D$16="Y", M43:M54, 10)), 1, 0)) &gt; 1, "", INDEX('Betting SETUP'!$A$5:$A$16,MATCH(MIN(IF('Betting SETUP'!$D$5:$D$16="Y",M43:M54,10)),IF('Betting SETUP'!$D$5:$D$16="Y",M43:M54,10),0)))</f>
        <v/>
      </c>
      <c r="N55" s="42" t="str">
        <f t="array" ref="N55">IF(SUM(IF(IF('Betting SETUP'!$D$5:$D$16="Y", N43:N54, 10)=MIN(IF('Betting SETUP'!$D$5:$D$16="Y", N43:N54, 10)), 1, 0)) &gt; 1, "", INDEX('Betting SETUP'!$A$5:$A$16,MATCH(MIN(IF('Betting SETUP'!$D$5:$D$16="Y",N43:N54,10)),IF('Betting SETUP'!$D$5:$D$16="Y",N43:N54,10),0)))</f>
        <v>Bob B</v>
      </c>
      <c r="O55" s="42" t="str">
        <f t="array" ref="O55">IF(SUM(IF(IF('Betting SETUP'!$D$5:$D$16="Y", O43:O54, 10)=MIN(IF('Betting SETUP'!$D$5:$D$16="Y", O43:O54, 10)), 1, 0)) &gt; 1, "", INDEX('Betting SETUP'!$A$5:$A$16,MATCH(MIN(IF('Betting SETUP'!$D$5:$D$16="Y",O43:O54,10)),IF('Betting SETUP'!$D$5:$D$16="Y",O43:O54,10),0)))</f>
        <v/>
      </c>
      <c r="P55" s="42" t="str">
        <f t="array" ref="P55">IF(SUM(IF(IF('Betting SETUP'!$D$5:$D$16="Y", P43:P54, 10)=MIN(IF('Betting SETUP'!$D$5:$D$16="Y", P43:P54, 10)), 1, 0)) &gt; 1, "", INDEX('Betting SETUP'!$A$5:$A$16,MATCH(MIN(IF('Betting SETUP'!$D$5:$D$16="Y",P43:P54,10)),IF('Betting SETUP'!$D$5:$D$16="Y",P43:P54,10),0)))</f>
        <v/>
      </c>
      <c r="Q55" s="42" t="str">
        <f t="array" ref="Q55">IF(SUM(IF(IF('Betting SETUP'!$D$5:$D$16="Y", Q43:Q54, 10)=MIN(IF('Betting SETUP'!$D$5:$D$16="Y", Q43:Q54, 10)), 1, 0)) &gt; 1, "", INDEX('Betting SETUP'!$A$5:$A$16,MATCH(MIN(IF('Betting SETUP'!$D$5:$D$16="Y",Q43:Q54,10)),IF('Betting SETUP'!$D$5:$D$16="Y",Q43:Q54,10),0)))</f>
        <v/>
      </c>
      <c r="R55" s="42" t="str">
        <f t="array" ref="R55">IF(SUM(IF(IF('Betting SETUP'!$D$5:$D$16="Y", R43:R54, 10)=MIN(IF('Betting SETUP'!$D$5:$D$16="Y", R43:R54, 10)), 1, 0)) &gt; 1, "", INDEX('Betting SETUP'!$A$5:$A$16,MATCH(MIN(IF('Betting SETUP'!$D$5:$D$16="Y",R43:R54,10)),IF('Betting SETUP'!$D$5:$D$16="Y",R43:R54,10),0)))</f>
        <v>Scott R</v>
      </c>
      <c r="S55" s="42" t="str">
        <f t="array" ref="S55">IF(SUM(IF(IF('Betting SETUP'!$D$5:$D$16="Y", S43:S54, 10)=MIN(IF('Betting SETUP'!$D$5:$D$16="Y", S43:S54, 10)), 1, 0)) &gt; 1, "", INDEX('Betting SETUP'!$A$5:$A$16,MATCH(MIN(IF('Betting SETUP'!$D$5:$D$16="Y",S43:S54,10)),IF('Betting SETUP'!$D$5:$D$16="Y",S43:S54,10),0)))</f>
        <v/>
      </c>
      <c r="T55" s="42" t="str">
        <f t="array" ref="T55">IF(SUM(IF(IF('Betting SETUP'!$D$5:$D$16="Y", T43:T54, 10)=MIN(IF('Betting SETUP'!$D$5:$D$16="Y", T43:T54, 10)), 1, 0)) &gt; 1, "", INDEX('Betting SETUP'!$A$5:$A$16,MATCH(MIN(IF('Betting SETUP'!$D$5:$D$16="Y",T43:T54,10)),IF('Betting SETUP'!$D$5:$D$16="Y",T43:T54,10),0)))</f>
        <v/>
      </c>
      <c r="U55" s="42" t="str">
        <f t="array" ref="U55">IF(SUM(IF(IF('Betting SETUP'!$D$5:$D$16="Y", U43:U54, 10)=MIN(IF('Betting SETUP'!$D$5:$D$16="Y", U43:U54, 10)), 1, 0)) &gt; 1, "", INDEX('Betting SETUP'!$A$5:$A$16,MATCH(MIN(IF('Betting SETUP'!$D$5:$D$16="Y",U43:U54,10)),IF('Betting SETUP'!$D$5:$D$16="Y",U43:U54,10),0)))</f>
        <v/>
      </c>
      <c r="V55" s="14"/>
      <c r="W55" s="15"/>
      <c r="X55" s="42">
        <f>18-COUNTBLANK(D55:U55)</f>
        <v>7</v>
      </c>
      <c r="Y55" s="43"/>
      <c r="Z55" s="44"/>
      <c r="AA55" s="44"/>
      <c r="AB55" s="44"/>
      <c r="AC55" s="44"/>
      <c r="AD55" s="44"/>
      <c r="AE55" s="44"/>
      <c r="AF55" s="44"/>
      <c r="AG55" s="44"/>
      <c r="AH55" s="44"/>
    </row>
    <row r="56" ht="12.75" customHeight="1">
      <c r="A56" s="10"/>
      <c r="B56" s="11"/>
      <c r="C56" s="41" t="s">
        <v>20</v>
      </c>
      <c r="D56" s="42"/>
      <c r="E56" s="45" t="s">
        <v>21</v>
      </c>
      <c r="F56" s="45"/>
      <c r="G56" s="45" t="s">
        <v>25</v>
      </c>
      <c r="H56" s="45"/>
      <c r="I56" s="45"/>
      <c r="J56" s="45"/>
      <c r="K56" s="42"/>
      <c r="L56" s="45" t="s">
        <v>26</v>
      </c>
      <c r="M56" s="42"/>
      <c r="N56" s="45"/>
      <c r="O56" s="45" t="s">
        <v>27</v>
      </c>
      <c r="P56" s="45"/>
      <c r="Q56" s="45" t="s">
        <v>26</v>
      </c>
      <c r="R56" s="45"/>
      <c r="S56" s="42"/>
      <c r="T56" s="45"/>
      <c r="U56" s="42"/>
      <c r="V56" s="42"/>
      <c r="W56" s="42"/>
      <c r="X56" s="42">
        <f>COUNTA(D56:U56)</f>
        <v>5</v>
      </c>
      <c r="Y56" s="43"/>
      <c r="Z56" s="44"/>
      <c r="AA56" s="44"/>
      <c r="AB56" s="44"/>
      <c r="AC56" s="44"/>
      <c r="AD56" s="44"/>
      <c r="AE56" s="44"/>
      <c r="AF56" s="44"/>
      <c r="AG56" s="44"/>
      <c r="AH56" s="44"/>
    </row>
    <row r="57" ht="12.75" customHeight="1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12.75" customHeight="1">
      <c r="A58" s="10"/>
      <c r="B58" s="11"/>
      <c r="C58" s="12" t="str">
        <f>SETUP!F1</f>
        <v>THE LAKES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15"/>
      <c r="X58" s="16">
        <f>SETUP!F2</f>
        <v>70.8</v>
      </c>
      <c r="Y58" s="17">
        <f>SETUP!F3</f>
        <v>136</v>
      </c>
      <c r="Z58" s="18"/>
      <c r="AA58" s="18"/>
      <c r="AB58" s="18"/>
      <c r="AC58" s="18"/>
      <c r="AD58" s="18"/>
      <c r="AE58" s="18"/>
      <c r="AF58" s="18"/>
      <c r="AG58" s="18"/>
      <c r="AH58" s="18"/>
    </row>
    <row r="59" ht="12.75" customHeight="1">
      <c r="A59" s="10"/>
      <c r="B59" s="11"/>
      <c r="C59" s="17" t="s">
        <v>5</v>
      </c>
      <c r="D59" s="19">
        <v>1.0</v>
      </c>
      <c r="E59" s="19">
        <v>2.0</v>
      </c>
      <c r="F59" s="19">
        <v>3.0</v>
      </c>
      <c r="G59" s="19">
        <v>4.0</v>
      </c>
      <c r="H59" s="19">
        <v>5.0</v>
      </c>
      <c r="I59" s="19">
        <v>6.0</v>
      </c>
      <c r="J59" s="19">
        <v>7.0</v>
      </c>
      <c r="K59" s="19">
        <v>8.0</v>
      </c>
      <c r="L59" s="19">
        <v>9.0</v>
      </c>
      <c r="M59" s="19">
        <v>10.0</v>
      </c>
      <c r="N59" s="19">
        <v>11.0</v>
      </c>
      <c r="O59" s="19">
        <v>12.0</v>
      </c>
      <c r="P59" s="19">
        <v>13.0</v>
      </c>
      <c r="Q59" s="19">
        <v>14.0</v>
      </c>
      <c r="R59" s="19">
        <v>15.0</v>
      </c>
      <c r="S59" s="19">
        <v>16.0</v>
      </c>
      <c r="T59" s="19">
        <v>17.0</v>
      </c>
      <c r="U59" s="19">
        <v>18.0</v>
      </c>
      <c r="V59" s="19" t="s">
        <v>6</v>
      </c>
      <c r="W59" s="19" t="s">
        <v>7</v>
      </c>
      <c r="X59" s="19" t="s">
        <v>8</v>
      </c>
      <c r="Y59" s="19" t="s">
        <v>9</v>
      </c>
      <c r="Z59" s="20"/>
      <c r="AA59" s="20"/>
      <c r="AB59" s="20"/>
      <c r="AC59" s="20"/>
      <c r="AD59" s="20"/>
      <c r="AE59" s="20"/>
      <c r="AF59" s="20"/>
      <c r="AG59" s="20"/>
      <c r="AH59" s="20"/>
    </row>
    <row r="60" ht="12.75" customHeight="1">
      <c r="A60" s="21"/>
      <c r="B60" s="22"/>
      <c r="C60" s="23" t="s">
        <v>10</v>
      </c>
      <c r="D60" s="24">
        <f>SETUP!I15</f>
        <v>13</v>
      </c>
      <c r="E60" s="24">
        <f>SETUP!J15</f>
        <v>7</v>
      </c>
      <c r="F60" s="24">
        <f>SETUP!K15</f>
        <v>11</v>
      </c>
      <c r="G60" s="24">
        <f>SETUP!L15</f>
        <v>1</v>
      </c>
      <c r="H60" s="24">
        <f>SETUP!M15</f>
        <v>5</v>
      </c>
      <c r="I60" s="24">
        <f>SETUP!N15</f>
        <v>15</v>
      </c>
      <c r="J60" s="24">
        <f>SETUP!O15</f>
        <v>17</v>
      </c>
      <c r="K60" s="24">
        <f>SETUP!P15</f>
        <v>9</v>
      </c>
      <c r="L60" s="24">
        <f>SETUP!Q15</f>
        <v>3</v>
      </c>
      <c r="M60" s="24">
        <f>SETUP!R15</f>
        <v>18</v>
      </c>
      <c r="N60" s="24">
        <f>SETUP!S15</f>
        <v>14</v>
      </c>
      <c r="O60" s="24">
        <f>SETUP!T15</f>
        <v>12</v>
      </c>
      <c r="P60" s="24">
        <f>SETUP!U15</f>
        <v>6</v>
      </c>
      <c r="Q60" s="24">
        <f>SETUP!V15</f>
        <v>10</v>
      </c>
      <c r="R60" s="24">
        <f>SETUP!W15</f>
        <v>8</v>
      </c>
      <c r="S60" s="24">
        <f>SETUP!X15</f>
        <v>2</v>
      </c>
      <c r="T60" s="24">
        <f>SETUP!Y15</f>
        <v>16</v>
      </c>
      <c r="U60" s="24">
        <f>SETUP!Z15</f>
        <v>4</v>
      </c>
      <c r="V60" s="26"/>
      <c r="W60" s="26"/>
      <c r="X60" s="26"/>
      <c r="Y60" s="26"/>
      <c r="Z60" s="27"/>
      <c r="AA60" s="27"/>
      <c r="AB60" s="27"/>
      <c r="AC60" s="27"/>
      <c r="AD60" s="27"/>
      <c r="AE60" s="27"/>
      <c r="AF60" s="27"/>
      <c r="AG60" s="27"/>
      <c r="AH60" s="27"/>
    </row>
    <row r="61" ht="12.75" customHeight="1">
      <c r="A61" s="28" t="s">
        <v>24</v>
      </c>
      <c r="B61" s="29" t="s">
        <v>10</v>
      </c>
      <c r="C61" s="17" t="s">
        <v>11</v>
      </c>
      <c r="D61" s="47">
        <f>SETUP!I16</f>
        <v>4</v>
      </c>
      <c r="E61" s="47">
        <f>SETUP!J16</f>
        <v>5</v>
      </c>
      <c r="F61" s="47">
        <f>SETUP!K16</f>
        <v>3</v>
      </c>
      <c r="G61" s="47">
        <f>SETUP!L16</f>
        <v>4</v>
      </c>
      <c r="H61" s="47">
        <f>SETUP!M16</f>
        <v>5</v>
      </c>
      <c r="I61" s="47">
        <f>SETUP!N16</f>
        <v>3</v>
      </c>
      <c r="J61" s="47">
        <f>SETUP!O16</f>
        <v>4</v>
      </c>
      <c r="K61" s="47">
        <f>SETUP!P16</f>
        <v>4</v>
      </c>
      <c r="L61" s="47">
        <f>SETUP!Q16</f>
        <v>5</v>
      </c>
      <c r="M61" s="47">
        <f>SETUP!R16</f>
        <v>3</v>
      </c>
      <c r="N61" s="47">
        <f>SETUP!S16</f>
        <v>5</v>
      </c>
      <c r="O61" s="47">
        <f>SETUP!T16</f>
        <v>3</v>
      </c>
      <c r="P61" s="47">
        <f>SETUP!U16</f>
        <v>4</v>
      </c>
      <c r="Q61" s="47">
        <f>SETUP!V16</f>
        <v>4</v>
      </c>
      <c r="R61" s="47">
        <f>SETUP!W16</f>
        <v>4</v>
      </c>
      <c r="S61" s="47">
        <f>SETUP!X16</f>
        <v>4</v>
      </c>
      <c r="T61" s="47">
        <f>SETUP!Y16</f>
        <v>3</v>
      </c>
      <c r="U61" s="47">
        <f>SETUP!Z16</f>
        <v>5</v>
      </c>
      <c r="V61" s="30">
        <f>SUM(D61:L61)</f>
        <v>37</v>
      </c>
      <c r="W61" s="30">
        <f>SUM(M61:U61)</f>
        <v>35</v>
      </c>
      <c r="X61" s="30">
        <f>V61+W61</f>
        <v>72</v>
      </c>
      <c r="Y61" s="30"/>
      <c r="Z61" s="31" t="s">
        <v>12</v>
      </c>
      <c r="AA61" s="31" t="s">
        <v>13</v>
      </c>
      <c r="AB61" s="31" t="s">
        <v>14</v>
      </c>
      <c r="AC61" s="31" t="s">
        <v>11</v>
      </c>
      <c r="AD61" s="31" t="s">
        <v>15</v>
      </c>
      <c r="AE61" s="31" t="s">
        <v>16</v>
      </c>
      <c r="AF61" s="31" t="s">
        <v>17</v>
      </c>
      <c r="AG61" s="31" t="s">
        <v>18</v>
      </c>
      <c r="AH61" s="27"/>
    </row>
    <row r="62" ht="12.75" customHeight="1">
      <c r="A62" s="32" t="str">
        <f>SETUP!A5</f>
        <v>Aaron J</v>
      </c>
      <c r="B62" s="33">
        <f t="array" ref="B62">if(A62="","",index(SETUP!F:F,match(A62,SETUP!A:A,0)))</f>
        <v>7</v>
      </c>
      <c r="C62" s="34"/>
      <c r="D62" s="35">
        <v>6.0</v>
      </c>
      <c r="E62" s="35">
        <v>4.0</v>
      </c>
      <c r="F62" s="35">
        <v>6.0</v>
      </c>
      <c r="G62" s="35">
        <v>5.0</v>
      </c>
      <c r="H62" s="35">
        <v>6.0</v>
      </c>
      <c r="I62" s="35">
        <v>4.0</v>
      </c>
      <c r="J62" s="35">
        <v>5.0</v>
      </c>
      <c r="K62" s="35">
        <v>6.0</v>
      </c>
      <c r="L62" s="35">
        <v>6.0</v>
      </c>
      <c r="M62" s="35">
        <v>3.0</v>
      </c>
      <c r="N62" s="35">
        <v>7.0</v>
      </c>
      <c r="O62" s="35">
        <v>3.0</v>
      </c>
      <c r="P62" s="35">
        <v>4.0</v>
      </c>
      <c r="Q62" s="35">
        <v>5.0</v>
      </c>
      <c r="R62" s="35">
        <v>5.0</v>
      </c>
      <c r="S62" s="35">
        <v>4.0</v>
      </c>
      <c r="T62" s="35">
        <v>3.0</v>
      </c>
      <c r="U62" s="35">
        <v>5.0</v>
      </c>
      <c r="V62" s="36">
        <f t="shared" ref="V62:V73" si="16">if(C62="WD","WD", SUM(D62:L62))</f>
        <v>48</v>
      </c>
      <c r="W62" s="36">
        <f t="shared" ref="W62:W73" si="17">if(C62="WD","WD",SUM(M62:U62))</f>
        <v>39</v>
      </c>
      <c r="X62" s="36">
        <f t="shared" ref="X62:X73" si="18">if(C62="WD","WD",IF(W62&gt;0,V62+W62,""))</f>
        <v>87</v>
      </c>
      <c r="Y62" s="37">
        <f t="shared" ref="Y62:Y73" si="19">if(C62="WD","WD",IF(W62=0,"",X62-B62))</f>
        <v>80</v>
      </c>
      <c r="Z62" s="38">
        <f t="array" ref="Z62">sum(if(D62-$D$61=-3,1,0),if(E62-$E$61=-3,1,0),if(F62-$F$61=-3,1,0),if(G62-$G$61=-3,1,0),if(H62-$H$61=-3,1,0),if(I62-$I$61=-3,1,0),if(J62-$J$61=-3,1,0),if(K62-$K$61=-3,1,0),if(L62-$L$61=-3,1,0),if(M62-$M$61=-3,1,0),if(N62-$N$61=-3,1,0),if(O62-$O$61=-3,1,0),if(P62-$P$61=-3,1,0),if(Q62-$Q$61=-3,1,0),if(R62-$R$61=-3,1,0),if(S62-$S$61=-3,1,0),if(T62-$T$61=-3,1,0),if(U62-$U$61=-3,1,0))</f>
        <v>0</v>
      </c>
      <c r="AA62" s="38">
        <f t="array" ref="AA62">sum(if(D62-$D$61=-2,1,0),if(E62-$E$61=-2,1,0),if(F62-$F$61=-2,1,0),if(G62-$G$61=-2,1,0),if(H62-$H$61=-2,1,0),if(I62-$I$61=-2,1,0),if(J62-$J$61=-2,1,0),if(K62-$K$61=-2,1,0),if(L62-$L$61=-2,1,0),if(M62-$M$61=-2,1,0),if(N62-$N$61=-2,1,0),if(O62-$O$61=-2,1,0),if(P62-$P$61=-2,1,0),if(Q62-$Q$61=-2,1,0),if(R62-$R$61=-2,1,0),if(S62-$S$61=-2,1,0),if(T62-$T$61=-2,1,0),if(U62-$U$61=-2,1,0))</f>
        <v>0</v>
      </c>
      <c r="AB62" s="38">
        <f t="array" ref="AB62">sum(if(D62-$D$61=-1,1,0),if(E62-$E$61=-1,1,0),if(F62-$F$61=-1,1,0),if(G62-$G$61=-1,1,0),if(H62-$H$61=-1,1,0),if(I62-$I$61=-1,1,0),if(J62-$J$61=-1,1,0),if(K62-$K$61=-1,1,0),if(L62-$L$61=-1,1,0),if(M62-$M$61=-1,1,0),if(N62-$N$61=-1,1,0),if(O62-$O$61=-1,1,0),if(P62-$P$61=-1,1,0),if(Q62-$Q$61=-1,1,0),if(R62-$R$61=-1,1,0),if(S62-$S$61=-1,1,0),if(T62-$T$61=-1,1,0),if(U62-$U$61=-1,1,0))</f>
        <v>1</v>
      </c>
      <c r="AC62" s="38">
        <f t="array" ref="AC62">sum(if(D62-$D$61=0,1,0),if(E62-$E$61=0,1,0),if(F62-$F$61=0,1,0),if(G62-$G$61=0,1,0),if(H62-$H$61=0,1,0),if(I62-$I$61=0,1,0),if(J62-$J$61=0,1,0),if(K62-$K$61=0,1,0),if(L62-$L$61=0,1,0),if(M62-$M$61=0,1,0),if(N62-$N$61=0,1,0),if(O62-$O$61=0,1,0),if(P62-$P$61=0,1,0),if(Q62-$Q$61=0,1,0),if(R62-$R$61=0,1,0),if(S62-$S$61=0,1,0),if(T62-$T$61=0,1,0),if(U62-$U$61=0,1,0))</f>
        <v>6</v>
      </c>
      <c r="AD62" s="38">
        <f t="array" ref="AD62">sum(if(D62-$D$61=1,1,0),if(E62-$E$61=1,1,0),if(F62-$F$61=1,1,0),if(G62-$G$61=1,1,0),if(H62-$H$61=1,1,0),if(I62-$I$61=1,1,0),if(J62-$J$61=1,1,0),if(K62-$K$61=1,1,0),if(L62-$L$61=1,1,0),if(M62-$M$61=1,1,0),if(N62-$N$61=1,1,0),if(O62-$O$61=1,1,0),if(P62-$P$61=1,1,0),if(Q62-$Q$61=1,1,0),if(R62-$R$61=1,1,0),if(S62-$S$61=1,1,0),if(T62-$T$61=1,1,0),if(U62-$U$61=1,1,0))</f>
        <v>7</v>
      </c>
      <c r="AE62" s="38">
        <f t="array" ref="AE62">sum(if(D62-$D$61=2,1,0),if(E62-$E$61=2,1,0),if(F62-$F$61=2,1,0),if(G62-$G$61=2,1,0),if(H62-$H$61=2,1,0),if(I62-$I$61=2,1,0),if(J62-$J$61=2,1,0),if(K62-$K$61=2,1,0),if(L62-$L$61=2,1,0),if(M62-$M$61=2,1,0),if(N62-$N$61=2,1,0),if(O62-$O$61=2,1,0),if(P62-$P$61=2,1,0),if(Q62-$Q$61=2,1,0),if(R62-$R$61=2,1,0),if(S62-$S$61=2,1,0),if(T62-$T$61=2,1,0),if(U62-$U$61=2,1,0))</f>
        <v>3</v>
      </c>
      <c r="AF62" s="38">
        <f t="array" ref="AF62">sum(if(D62-$D$61=3,1,0),if(E62-$E$61=3,1,0),if(F62-$F$61=3,1,0),if(G62-$G$61=3,1,0),if(H62-$H$61=3,1,0),if(I62-$I$61=3,1,0),if(J62-$J$61=3,1,0),if(K62-$K$61=3,1,0),if(L62-$L$61=3,1,0),if(M62-$M$61=3,1,0),if(N62-$N$61=3,1,0),if(O62-$O$61=3,1,0),if(P62-$P$61=3,1,0),if(Q62-$Q$61=3,1,0),if(R62-$R$61=3,1,0),if(S62-$S$61=3,1,0),if(T62-$T$61=3,1,0),if(U62-$U$61=3,1,0))</f>
        <v>1</v>
      </c>
      <c r="AG62" s="38">
        <f t="array" ref="AG62">sum(if(D62-$D$61&gt;3,1,0),if(E62-$E$61&gt;3,1,0),if(F62-$F$61&gt;3,1,0),if(G62-$G$61&gt;3,1,0),if(H62-$H$61&gt;3,1,0),if(I62-$I$61&gt;3,1,0),if(J62-$J$61&gt;3,1,0),if(K62-$K$61&gt;3,1,0),if(L62-$L$61&gt;3,1,0),if(M62-$M$61&gt;3,1,0),if(N62-$N$61&gt;3,1,0),if(O62-$O$61&gt;3,1,0),if(P62-$P$61&gt;3,1,0),if(Q62-$Q$61&gt;3,1,0),if(R62-$R$61&gt;3,1,0),if(S62-$S$61&gt;3,1,0),if(T62-$T$61&gt;3,1,0),if(U62-$U$61&gt;3,1,0))</f>
        <v>0</v>
      </c>
      <c r="AH62" s="38">
        <f t="shared" ref="AH62:AH73" si="20">sum(Z62:AG62)</f>
        <v>18</v>
      </c>
    </row>
    <row r="63" ht="12.75" customHeight="1">
      <c r="A63" s="32" t="str">
        <f>SETUP!A6</f>
        <v>Andy V</v>
      </c>
      <c r="B63" s="33">
        <f t="array" ref="B63">if(A63="","",index(SETUP!F:F,match(A63,SETUP!A:A,0)))</f>
        <v>20</v>
      </c>
      <c r="C63" s="34"/>
      <c r="D63" s="35">
        <v>5.0</v>
      </c>
      <c r="E63" s="35">
        <v>7.0</v>
      </c>
      <c r="F63" s="35">
        <v>5.0</v>
      </c>
      <c r="G63" s="35">
        <v>5.0</v>
      </c>
      <c r="H63" s="35">
        <v>6.0</v>
      </c>
      <c r="I63" s="35">
        <v>3.0</v>
      </c>
      <c r="J63" s="35">
        <v>5.0</v>
      </c>
      <c r="K63" s="35">
        <v>7.0</v>
      </c>
      <c r="L63" s="35">
        <v>5.0</v>
      </c>
      <c r="M63" s="35">
        <v>4.0</v>
      </c>
      <c r="N63" s="35">
        <v>6.0</v>
      </c>
      <c r="O63" s="35">
        <v>6.0</v>
      </c>
      <c r="P63" s="35">
        <v>4.0</v>
      </c>
      <c r="Q63" s="35">
        <v>5.0</v>
      </c>
      <c r="R63" s="35">
        <v>6.0</v>
      </c>
      <c r="S63" s="35">
        <v>5.0</v>
      </c>
      <c r="T63" s="35">
        <v>3.0</v>
      </c>
      <c r="U63" s="35">
        <v>7.0</v>
      </c>
      <c r="V63" s="36">
        <f t="shared" si="16"/>
        <v>48</v>
      </c>
      <c r="W63" s="36">
        <f t="shared" si="17"/>
        <v>46</v>
      </c>
      <c r="X63" s="36">
        <f t="shared" si="18"/>
        <v>94</v>
      </c>
      <c r="Y63" s="37">
        <f t="shared" si="19"/>
        <v>74</v>
      </c>
      <c r="Z63" s="38">
        <f t="array" ref="Z63">sum(if(D63-$D$61=-3,1,0),if(E63-$E$61=-3,1,0),if(F63-$F$61=-3,1,0),if(G63-$G$61=-3,1,0),if(H63-$H$61=-3,1,0),if(I63-$I$61=-3,1,0),if(J63-$J$61=-3,1,0),if(K63-$K$61=-3,1,0),if(L63-$L$61=-3,1,0),if(M63-$M$61=-3,1,0),if(N63-$N$61=-3,1,0),if(O63-$O$61=-3,1,0),if(P63-$P$61=-3,1,0),if(Q63-$Q$61=-3,1,0),if(R63-$R$61=-3,1,0),if(S63-$S$61=-3,1,0),if(T63-$T$61=-3,1,0),if(U63-$U$61=-3,1,0))</f>
        <v>0</v>
      </c>
      <c r="AA63" s="38">
        <f t="array" ref="AA63">sum(if(D63-$D$61=-2,1,0),if(E63-$E$61=-2,1,0),if(F63-$F$61=-2,1,0),if(G63-$G$61=-2,1,0),if(H63-$H$61=-2,1,0),if(I63-$I$61=-2,1,0),if(J63-$J$61=-2,1,0),if(K63-$K$61=-2,1,0),if(L63-$L$61=-2,1,0),if(M63-$M$61=-2,1,0),if(N63-$N$61=-2,1,0),if(O63-$O$61=-2,1,0),if(P63-$P$61=-2,1,0),if(Q63-$Q$61=-2,1,0),if(R63-$R$61=-2,1,0),if(S63-$S$61=-2,1,0),if(T63-$T$61=-2,1,0),if(U63-$U$61=-2,1,0))</f>
        <v>0</v>
      </c>
      <c r="AB63" s="38">
        <f t="array" ref="AB63">sum(if(D63-$D$61=-1,1,0),if(E63-$E$61=-1,1,0),if(F63-$F$61=-1,1,0),if(G63-$G$61=-1,1,0),if(H63-$H$61=-1,1,0),if(I63-$I$61=-1,1,0),if(J63-$J$61=-1,1,0),if(K63-$K$61=-1,1,0),if(L63-$L$61=-1,1,0),if(M63-$M$61=-1,1,0),if(N63-$N$61=-1,1,0),if(O63-$O$61=-1,1,0),if(P63-$P$61=-1,1,0),if(Q63-$Q$61=-1,1,0),if(R63-$R$61=-1,1,0),if(S63-$S$61=-1,1,0),if(T63-$T$61=-1,1,0),if(U63-$U$61=-1,1,0))</f>
        <v>0</v>
      </c>
      <c r="AC63" s="38">
        <f t="array" ref="AC63">sum(if(D63-$D$61=0,1,0),if(E63-$E$61=0,1,0),if(F63-$F$61=0,1,0),if(G63-$G$61=0,1,0),if(H63-$H$61=0,1,0),if(I63-$I$61=0,1,0),if(J63-$J$61=0,1,0),if(K63-$K$61=0,1,0),if(L63-$L$61=0,1,0),if(M63-$M$61=0,1,0),if(N63-$N$61=0,1,0),if(O63-$O$61=0,1,0),if(P63-$P$61=0,1,0),if(Q63-$Q$61=0,1,0),if(R63-$R$61=0,1,0),if(S63-$S$61=0,1,0),if(T63-$T$61=0,1,0),if(U63-$U$61=0,1,0))</f>
        <v>4</v>
      </c>
      <c r="AD63" s="38">
        <f t="array" ref="AD63">sum(if(D63-$D$61=1,1,0),if(E63-$E$61=1,1,0),if(F63-$F$61=1,1,0),if(G63-$G$61=1,1,0),if(H63-$H$61=1,1,0),if(I63-$I$61=1,1,0),if(J63-$J$61=1,1,0),if(K63-$K$61=1,1,0),if(L63-$L$61=1,1,0),if(M63-$M$61=1,1,0),if(N63-$N$61=1,1,0),if(O63-$O$61=1,1,0),if(P63-$P$61=1,1,0),if(Q63-$Q$61=1,1,0),if(R63-$R$61=1,1,0),if(S63-$S$61=1,1,0),if(T63-$T$61=1,1,0),if(U63-$U$61=1,1,0))</f>
        <v>8</v>
      </c>
      <c r="AE63" s="38">
        <f t="array" ref="AE63">sum(if(D63-$D$61=2,1,0),if(E63-$E$61=2,1,0),if(F63-$F$61=2,1,0),if(G63-$G$61=2,1,0),if(H63-$H$61=2,1,0),if(I63-$I$61=2,1,0),if(J63-$J$61=2,1,0),if(K63-$K$61=2,1,0),if(L63-$L$61=2,1,0),if(M63-$M$61=2,1,0),if(N63-$N$61=2,1,0),if(O63-$O$61=2,1,0),if(P63-$P$61=2,1,0),if(Q63-$Q$61=2,1,0),if(R63-$R$61=2,1,0),if(S63-$S$61=2,1,0),if(T63-$T$61=2,1,0),if(U63-$U$61=2,1,0))</f>
        <v>4</v>
      </c>
      <c r="AF63" s="38">
        <f t="array" ref="AF63">sum(if(D63-$D$61=3,1,0),if(E63-$E$61=3,1,0),if(F63-$F$61=3,1,0),if(G63-$G$61=3,1,0),if(H63-$H$61=3,1,0),if(I63-$I$61=3,1,0),if(J63-$J$61=3,1,0),if(K63-$K$61=3,1,0),if(L63-$L$61=3,1,0),if(M63-$M$61=3,1,0),if(N63-$N$61=3,1,0),if(O63-$O$61=3,1,0),if(P63-$P$61=3,1,0),if(Q63-$Q$61=3,1,0),if(R63-$R$61=3,1,0),if(S63-$S$61=3,1,0),if(T63-$T$61=3,1,0),if(U63-$U$61=3,1,0))</f>
        <v>2</v>
      </c>
      <c r="AG63" s="38">
        <f t="array" ref="AG63">sum(if(D63-$D$61&gt;3,1,0),if(E63-$E$61&gt;3,1,0),if(F63-$F$61&gt;3,1,0),if(G63-$G$61&gt;3,1,0),if(H63-$H$61&gt;3,1,0),if(I63-$I$61&gt;3,1,0),if(J63-$J$61&gt;3,1,0),if(K63-$K$61&gt;3,1,0),if(L63-$L$61&gt;3,1,0),if(M63-$M$61&gt;3,1,0),if(N63-$N$61&gt;3,1,0),if(O63-$O$61&gt;3,1,0),if(P63-$P$61&gt;3,1,0),if(Q63-$Q$61&gt;3,1,0),if(R63-$R$61&gt;3,1,0),if(S63-$S$61&gt;3,1,0),if(T63-$T$61&gt;3,1,0),if(U63-$U$61&gt;3,1,0))</f>
        <v>0</v>
      </c>
      <c r="AH63" s="38">
        <f t="shared" si="20"/>
        <v>18</v>
      </c>
    </row>
    <row r="64" ht="12.75" customHeight="1">
      <c r="A64" s="32" t="str">
        <f>SETUP!A7</f>
        <v>Bob B</v>
      </c>
      <c r="B64" s="33">
        <f t="array" ref="B64">if(A64="","",index(SETUP!F:F,match(A64,SETUP!A:A,0)))</f>
        <v>18</v>
      </c>
      <c r="C64" s="34"/>
      <c r="D64" s="35">
        <v>5.0</v>
      </c>
      <c r="E64" s="35">
        <v>6.0</v>
      </c>
      <c r="F64" s="35">
        <v>6.0</v>
      </c>
      <c r="G64" s="35">
        <v>5.0</v>
      </c>
      <c r="H64" s="35">
        <v>5.0</v>
      </c>
      <c r="I64" s="35">
        <v>4.0</v>
      </c>
      <c r="J64" s="35">
        <v>6.0</v>
      </c>
      <c r="K64" s="35">
        <v>4.0</v>
      </c>
      <c r="L64" s="35">
        <v>9.0</v>
      </c>
      <c r="M64" s="35">
        <v>5.0</v>
      </c>
      <c r="N64" s="35">
        <v>5.0</v>
      </c>
      <c r="O64" s="35">
        <v>3.0</v>
      </c>
      <c r="P64" s="35">
        <v>6.0</v>
      </c>
      <c r="Q64" s="35">
        <v>5.0</v>
      </c>
      <c r="R64" s="35">
        <v>5.0</v>
      </c>
      <c r="S64" s="35">
        <v>5.0</v>
      </c>
      <c r="T64" s="35">
        <v>3.0</v>
      </c>
      <c r="U64" s="35">
        <v>8.0</v>
      </c>
      <c r="V64" s="36">
        <f t="shared" si="16"/>
        <v>50</v>
      </c>
      <c r="W64" s="36">
        <f t="shared" si="17"/>
        <v>45</v>
      </c>
      <c r="X64" s="36">
        <f t="shared" si="18"/>
        <v>95</v>
      </c>
      <c r="Y64" s="37">
        <f t="shared" si="19"/>
        <v>77</v>
      </c>
      <c r="Z64" s="38">
        <f t="array" ref="Z64">sum(if(D64-$D$61=-3,1,0),if(E64-$E$61=-3,1,0),if(F64-$F$61=-3,1,0),if(G64-$G$61=-3,1,0),if(H64-$H$61=-3,1,0),if(I64-$I$61=-3,1,0),if(J64-$J$61=-3,1,0),if(K64-$K$61=-3,1,0),if(L64-$L$61=-3,1,0),if(M64-$M$61=-3,1,0),if(N64-$N$61=-3,1,0),if(O64-$O$61=-3,1,0),if(P64-$P$61=-3,1,0),if(Q64-$Q$61=-3,1,0),if(R64-$R$61=-3,1,0),if(S64-$S$61=-3,1,0),if(T64-$T$61=-3,1,0),if(U64-$U$61=-3,1,0))</f>
        <v>0</v>
      </c>
      <c r="AA64" s="38">
        <f t="array" ref="AA64">sum(if(D64-$D$61=-2,1,0),if(E64-$E$61=-2,1,0),if(F64-$F$61=-2,1,0),if(G64-$G$61=-2,1,0),if(H64-$H$61=-2,1,0),if(I64-$I$61=-2,1,0),if(J64-$J$61=-2,1,0),if(K64-$K$61=-2,1,0),if(L64-$L$61=-2,1,0),if(M64-$M$61=-2,1,0),if(N64-$N$61=-2,1,0),if(O64-$O$61=-2,1,0),if(P64-$P$61=-2,1,0),if(Q64-$Q$61=-2,1,0),if(R64-$R$61=-2,1,0),if(S64-$S$61=-2,1,0),if(T64-$T$61=-2,1,0),if(U64-$U$61=-2,1,0))</f>
        <v>0</v>
      </c>
      <c r="AB64" s="38">
        <f t="array" ref="AB64">sum(if(D64-$D$61=-1,1,0),if(E64-$E$61=-1,1,0),if(F64-$F$61=-1,1,0),if(G64-$G$61=-1,1,0),if(H64-$H$61=-1,1,0),if(I64-$I$61=-1,1,0),if(J64-$J$61=-1,1,0),if(K64-$K$61=-1,1,0),if(L64-$L$61=-1,1,0),if(M64-$M$61=-1,1,0),if(N64-$N$61=-1,1,0),if(O64-$O$61=-1,1,0),if(P64-$P$61=-1,1,0),if(Q64-$Q$61=-1,1,0),if(R64-$R$61=-1,1,0),if(S64-$S$61=-1,1,0),if(T64-$T$61=-1,1,0),if(U64-$U$61=-1,1,0))</f>
        <v>0</v>
      </c>
      <c r="AC64" s="38">
        <f t="array" ref="AC64">sum(if(D64-$D$61=0,1,0),if(E64-$E$61=0,1,0),if(F64-$F$61=0,1,0),if(G64-$G$61=0,1,0),if(H64-$H$61=0,1,0),if(I64-$I$61=0,1,0),if(J64-$J$61=0,1,0),if(K64-$K$61=0,1,0),if(L64-$L$61=0,1,0),if(M64-$M$61=0,1,0),if(N64-$N$61=0,1,0),if(O64-$O$61=0,1,0),if(P64-$P$61=0,1,0),if(Q64-$Q$61=0,1,0),if(R64-$R$61=0,1,0),if(S64-$S$61=0,1,0),if(T64-$T$61=0,1,0),if(U64-$U$61=0,1,0))</f>
        <v>5</v>
      </c>
      <c r="AD64" s="38">
        <f t="array" ref="AD64">sum(if(D64-$D$61=1,1,0),if(E64-$E$61=1,1,0),if(F64-$F$61=1,1,0),if(G64-$G$61=1,1,0),if(H64-$H$61=1,1,0),if(I64-$I$61=1,1,0),if(J64-$J$61=1,1,0),if(K64-$K$61=1,1,0),if(L64-$L$61=1,1,0),if(M64-$M$61=1,1,0),if(N64-$N$61=1,1,0),if(O64-$O$61=1,1,0),if(P64-$P$61=1,1,0),if(Q64-$Q$61=1,1,0),if(R64-$R$61=1,1,0),if(S64-$S$61=1,1,0),if(T64-$T$61=1,1,0),if(U64-$U$61=1,1,0))</f>
        <v>7</v>
      </c>
      <c r="AE64" s="38">
        <f t="array" ref="AE64">sum(if(D64-$D$61=2,1,0),if(E64-$E$61=2,1,0),if(F64-$F$61=2,1,0),if(G64-$G$61=2,1,0),if(H64-$H$61=2,1,0),if(I64-$I$61=2,1,0),if(J64-$J$61=2,1,0),if(K64-$K$61=2,1,0),if(L64-$L$61=2,1,0),if(M64-$M$61=2,1,0),if(N64-$N$61=2,1,0),if(O64-$O$61=2,1,0),if(P64-$P$61=2,1,0),if(Q64-$Q$61=2,1,0),if(R64-$R$61=2,1,0),if(S64-$S$61=2,1,0),if(T64-$T$61=2,1,0),if(U64-$U$61=2,1,0))</f>
        <v>3</v>
      </c>
      <c r="AF64" s="38">
        <f t="array" ref="AF64">sum(if(D64-$D$61=3,1,0),if(E64-$E$61=3,1,0),if(F64-$F$61=3,1,0),if(G64-$G$61=3,1,0),if(H64-$H$61=3,1,0),if(I64-$I$61=3,1,0),if(J64-$J$61=3,1,0),if(K64-$K$61=3,1,0),if(L64-$L$61=3,1,0),if(M64-$M$61=3,1,0),if(N64-$N$61=3,1,0),if(O64-$O$61=3,1,0),if(P64-$P$61=3,1,0),if(Q64-$Q$61=3,1,0),if(R64-$R$61=3,1,0),if(S64-$S$61=3,1,0),if(T64-$T$61=3,1,0),if(U64-$U$61=3,1,0))</f>
        <v>2</v>
      </c>
      <c r="AG64" s="38">
        <f t="array" ref="AG64">sum(if(D64-$D$61&gt;3,1,0),if(E64-$E$61&gt;3,1,0),if(F64-$F$61&gt;3,1,0),if(G64-$G$61&gt;3,1,0),if(H64-$H$61&gt;3,1,0),if(I64-$I$61&gt;3,1,0),if(J64-$J$61&gt;3,1,0),if(K64-$K$61&gt;3,1,0),if(L64-$L$61&gt;3,1,0),if(M64-$M$61&gt;3,1,0),if(N64-$N$61&gt;3,1,0),if(O64-$O$61&gt;3,1,0),if(P64-$P$61&gt;3,1,0),if(Q64-$Q$61&gt;3,1,0),if(R64-$R$61&gt;3,1,0),if(S64-$S$61&gt;3,1,0),if(T64-$T$61&gt;3,1,0),if(U64-$U$61&gt;3,1,0))</f>
        <v>1</v>
      </c>
      <c r="AH64" s="38">
        <f t="shared" si="20"/>
        <v>18</v>
      </c>
    </row>
    <row r="65" ht="12.75" customHeight="1">
      <c r="A65" s="32" t="str">
        <f>SETUP!A8</f>
        <v>Brian K</v>
      </c>
      <c r="B65" s="33">
        <f t="array" ref="B65">if(A65="","",index(SETUP!F:F,match(A65,SETUP!A:A,0)))</f>
        <v>11</v>
      </c>
      <c r="C65" s="34"/>
      <c r="D65" s="35">
        <v>5.0</v>
      </c>
      <c r="E65" s="35">
        <v>5.0</v>
      </c>
      <c r="F65" s="35">
        <v>4.0</v>
      </c>
      <c r="G65" s="35">
        <v>5.0</v>
      </c>
      <c r="H65" s="35">
        <v>6.0</v>
      </c>
      <c r="I65" s="35">
        <v>5.0</v>
      </c>
      <c r="J65" s="35">
        <v>4.0</v>
      </c>
      <c r="K65" s="35">
        <v>4.0</v>
      </c>
      <c r="L65" s="35">
        <v>6.0</v>
      </c>
      <c r="M65" s="35">
        <v>4.0</v>
      </c>
      <c r="N65" s="35">
        <v>5.0</v>
      </c>
      <c r="O65" s="35">
        <v>3.0</v>
      </c>
      <c r="P65" s="35">
        <v>5.0</v>
      </c>
      <c r="Q65" s="35">
        <v>6.0</v>
      </c>
      <c r="R65" s="35">
        <v>9.0</v>
      </c>
      <c r="S65" s="35">
        <v>8.0</v>
      </c>
      <c r="T65" s="35">
        <v>4.0</v>
      </c>
      <c r="U65" s="35">
        <v>6.0</v>
      </c>
      <c r="V65" s="36">
        <f t="shared" si="16"/>
        <v>44</v>
      </c>
      <c r="W65" s="36">
        <f t="shared" si="17"/>
        <v>50</v>
      </c>
      <c r="X65" s="36">
        <f t="shared" si="18"/>
        <v>94</v>
      </c>
      <c r="Y65" s="37">
        <f t="shared" si="19"/>
        <v>83</v>
      </c>
      <c r="Z65" s="38">
        <f t="array" ref="Z65">sum(if(D65-$D$61=-3,1,0),if(E65-$E$61=-3,1,0),if(F65-$F$61=-3,1,0),if(G65-$G$61=-3,1,0),if(H65-$H$61=-3,1,0),if(I65-$I$61=-3,1,0),if(J65-$J$61=-3,1,0),if(K65-$K$61=-3,1,0),if(L65-$L$61=-3,1,0),if(M65-$M$61=-3,1,0),if(N65-$N$61=-3,1,0),if(O65-$O$61=-3,1,0),if(P65-$P$61=-3,1,0),if(Q65-$Q$61=-3,1,0),if(R65-$R$61=-3,1,0),if(S65-$S$61=-3,1,0),if(T65-$T$61=-3,1,0),if(U65-$U$61=-3,1,0))</f>
        <v>0</v>
      </c>
      <c r="AA65" s="38">
        <f t="array" ref="AA65">sum(if(D65-$D$61=-2,1,0),if(E65-$E$61=-2,1,0),if(F65-$F$61=-2,1,0),if(G65-$G$61=-2,1,0),if(H65-$H$61=-2,1,0),if(I65-$I$61=-2,1,0),if(J65-$J$61=-2,1,0),if(K65-$K$61=-2,1,0),if(L65-$L$61=-2,1,0),if(M65-$M$61=-2,1,0),if(N65-$N$61=-2,1,0),if(O65-$O$61=-2,1,0),if(P65-$P$61=-2,1,0),if(Q65-$Q$61=-2,1,0),if(R65-$R$61=-2,1,0),if(S65-$S$61=-2,1,0),if(T65-$T$61=-2,1,0),if(U65-$U$61=-2,1,0))</f>
        <v>0</v>
      </c>
      <c r="AB65" s="38">
        <f t="array" ref="AB65">sum(if(D65-$D$61=-1,1,0),if(E65-$E$61=-1,1,0),if(F65-$F$61=-1,1,0),if(G65-$G$61=-1,1,0),if(H65-$H$61=-1,1,0),if(I65-$I$61=-1,1,0),if(J65-$J$61=-1,1,0),if(K65-$K$61=-1,1,0),if(L65-$L$61=-1,1,0),if(M65-$M$61=-1,1,0),if(N65-$N$61=-1,1,0),if(O65-$O$61=-1,1,0),if(P65-$P$61=-1,1,0),if(Q65-$Q$61=-1,1,0),if(R65-$R$61=-1,1,0),if(S65-$S$61=-1,1,0),if(T65-$T$61=-1,1,0),if(U65-$U$61=-1,1,0))</f>
        <v>0</v>
      </c>
      <c r="AC65" s="38">
        <f t="array" ref="AC65">sum(if(D65-$D$61=0,1,0),if(E65-$E$61=0,1,0),if(F65-$F$61=0,1,0),if(G65-$G$61=0,1,0),if(H65-$H$61=0,1,0),if(I65-$I$61=0,1,0),if(J65-$J$61=0,1,0),if(K65-$K$61=0,1,0),if(L65-$L$61=0,1,0),if(M65-$M$61=0,1,0),if(N65-$N$61=0,1,0),if(O65-$O$61=0,1,0),if(P65-$P$61=0,1,0),if(Q65-$Q$61=0,1,0),if(R65-$R$61=0,1,0),if(S65-$S$61=0,1,0),if(T65-$T$61=0,1,0),if(U65-$U$61=0,1,0))</f>
        <v>5</v>
      </c>
      <c r="AD65" s="38">
        <f t="array" ref="AD65">sum(if(D65-$D$61=1,1,0),if(E65-$E$61=1,1,0),if(F65-$F$61=1,1,0),if(G65-$G$61=1,1,0),if(H65-$H$61=1,1,0),if(I65-$I$61=1,1,0),if(J65-$J$61=1,1,0),if(K65-$K$61=1,1,0),if(L65-$L$61=1,1,0),if(M65-$M$61=1,1,0),if(N65-$N$61=1,1,0),if(O65-$O$61=1,1,0),if(P65-$P$61=1,1,0),if(Q65-$Q$61=1,1,0),if(R65-$R$61=1,1,0),if(S65-$S$61=1,1,0),if(T65-$T$61=1,1,0),if(U65-$U$61=1,1,0))</f>
        <v>9</v>
      </c>
      <c r="AE65" s="38">
        <f t="array" ref="AE65">sum(if(D65-$D$61=2,1,0),if(E65-$E$61=2,1,0),if(F65-$F$61=2,1,0),if(G65-$G$61=2,1,0),if(H65-$H$61=2,1,0),if(I65-$I$61=2,1,0),if(J65-$J$61=2,1,0),if(K65-$K$61=2,1,0),if(L65-$L$61=2,1,0),if(M65-$M$61=2,1,0),if(N65-$N$61=2,1,0),if(O65-$O$61=2,1,0),if(P65-$P$61=2,1,0),if(Q65-$Q$61=2,1,0),if(R65-$R$61=2,1,0),if(S65-$S$61=2,1,0),if(T65-$T$61=2,1,0),if(U65-$U$61=2,1,0))</f>
        <v>2</v>
      </c>
      <c r="AF65" s="38">
        <f t="array" ref="AF65">sum(if(D65-$D$61=3,1,0),if(E65-$E$61=3,1,0),if(F65-$F$61=3,1,0),if(G65-$G$61=3,1,0),if(H65-$H$61=3,1,0),if(I65-$I$61=3,1,0),if(J65-$J$61=3,1,0),if(K65-$K$61=3,1,0),if(L65-$L$61=3,1,0),if(M65-$M$61=3,1,0),if(N65-$N$61=3,1,0),if(O65-$O$61=3,1,0),if(P65-$P$61=3,1,0),if(Q65-$Q$61=3,1,0),if(R65-$R$61=3,1,0),if(S65-$S$61=3,1,0),if(T65-$T$61=3,1,0),if(U65-$U$61=3,1,0))</f>
        <v>0</v>
      </c>
      <c r="AG65" s="38">
        <f t="array" ref="AG65">sum(if(D65-$D$61&gt;3,1,0),if(E65-$E$61&gt;3,1,0),if(F65-$F$61&gt;3,1,0),if(G65-$G$61&gt;3,1,0),if(H65-$H$61&gt;3,1,0),if(I65-$I$61&gt;3,1,0),if(J65-$J$61&gt;3,1,0),if(K65-$K$61&gt;3,1,0),if(L65-$L$61&gt;3,1,0),if(M65-$M$61&gt;3,1,0),if(N65-$N$61&gt;3,1,0),if(O65-$O$61&gt;3,1,0),if(P65-$P$61&gt;3,1,0),if(Q65-$Q$61&gt;3,1,0),if(R65-$R$61&gt;3,1,0),if(S65-$S$61&gt;3,1,0),if(T65-$T$61&gt;3,1,0),if(U65-$U$61&gt;3,1,0))</f>
        <v>2</v>
      </c>
      <c r="AH65" s="38">
        <f t="shared" si="20"/>
        <v>18</v>
      </c>
    </row>
    <row r="66" ht="12.75" customHeight="1">
      <c r="A66" s="32" t="str">
        <f>SETUP!A9</f>
        <v>Dave K</v>
      </c>
      <c r="B66" s="33">
        <f t="array" ref="B66">if(A66="","",index(SETUP!F:F,match(A66,SETUP!A:A,0)))</f>
        <v>18</v>
      </c>
      <c r="C66" s="34"/>
      <c r="D66" s="35">
        <v>8.0</v>
      </c>
      <c r="E66" s="35">
        <v>8.0</v>
      </c>
      <c r="F66" s="35">
        <v>5.0</v>
      </c>
      <c r="G66" s="35">
        <v>6.0</v>
      </c>
      <c r="H66" s="35">
        <v>7.0</v>
      </c>
      <c r="I66" s="35">
        <v>3.0</v>
      </c>
      <c r="J66" s="35">
        <v>5.0</v>
      </c>
      <c r="K66" s="35">
        <v>5.0</v>
      </c>
      <c r="L66" s="35">
        <v>8.0</v>
      </c>
      <c r="M66" s="35">
        <v>3.0</v>
      </c>
      <c r="N66" s="35">
        <v>6.0</v>
      </c>
      <c r="O66" s="35">
        <v>3.0</v>
      </c>
      <c r="P66" s="35">
        <v>5.0</v>
      </c>
      <c r="Q66" s="35">
        <v>4.0</v>
      </c>
      <c r="R66" s="35">
        <v>5.0</v>
      </c>
      <c r="S66" s="35">
        <v>6.0</v>
      </c>
      <c r="T66" s="35">
        <v>3.0</v>
      </c>
      <c r="U66" s="35">
        <v>5.0</v>
      </c>
      <c r="V66" s="36">
        <f t="shared" si="16"/>
        <v>55</v>
      </c>
      <c r="W66" s="36">
        <f t="shared" si="17"/>
        <v>40</v>
      </c>
      <c r="X66" s="36">
        <f t="shared" si="18"/>
        <v>95</v>
      </c>
      <c r="Y66" s="37">
        <f t="shared" si="19"/>
        <v>77</v>
      </c>
      <c r="Z66" s="38">
        <f t="array" ref="Z66">sum(if(D66-$D$61=-3,1,0),if(E66-$E$61=-3,1,0),if(F66-$F$61=-3,1,0),if(G66-$G$61=-3,1,0),if(H66-$H$61=-3,1,0),if(I66-$I$61=-3,1,0),if(J66-$J$61=-3,1,0),if(K66-$K$61=-3,1,0),if(L66-$L$61=-3,1,0),if(M66-$M$61=-3,1,0),if(N66-$N$61=-3,1,0),if(O66-$O$61=-3,1,0),if(P66-$P$61=-3,1,0),if(Q66-$Q$61=-3,1,0),if(R66-$R$61=-3,1,0),if(S66-$S$61=-3,1,0),if(T66-$T$61=-3,1,0),if(U66-$U$61=-3,1,0))</f>
        <v>0</v>
      </c>
      <c r="AA66" s="38">
        <f t="array" ref="AA66">sum(if(D66-$D$61=-2,1,0),if(E66-$E$61=-2,1,0),if(F66-$F$61=-2,1,0),if(G66-$G$61=-2,1,0),if(H66-$H$61=-2,1,0),if(I66-$I$61=-2,1,0),if(J66-$J$61=-2,1,0),if(K66-$K$61=-2,1,0),if(L66-$L$61=-2,1,0),if(M66-$M$61=-2,1,0),if(N66-$N$61=-2,1,0),if(O66-$O$61=-2,1,0),if(P66-$P$61=-2,1,0),if(Q66-$Q$61=-2,1,0),if(R66-$R$61=-2,1,0),if(S66-$S$61=-2,1,0),if(T66-$T$61=-2,1,0),if(U66-$U$61=-2,1,0))</f>
        <v>0</v>
      </c>
      <c r="AB66" s="38">
        <f t="array" ref="AB66">sum(if(D66-$D$61=-1,1,0),if(E66-$E$61=-1,1,0),if(F66-$F$61=-1,1,0),if(G66-$G$61=-1,1,0),if(H66-$H$61=-1,1,0),if(I66-$I$61=-1,1,0),if(J66-$J$61=-1,1,0),if(K66-$K$61=-1,1,0),if(L66-$L$61=-1,1,0),if(M66-$M$61=-1,1,0),if(N66-$N$61=-1,1,0),if(O66-$O$61=-1,1,0),if(P66-$P$61=-1,1,0),if(Q66-$Q$61=-1,1,0),if(R66-$R$61=-1,1,0),if(S66-$S$61=-1,1,0),if(T66-$T$61=-1,1,0),if(U66-$U$61=-1,1,0))</f>
        <v>0</v>
      </c>
      <c r="AC66" s="38">
        <f t="array" ref="AC66">sum(if(D66-$D$61=0,1,0),if(E66-$E$61=0,1,0),if(F66-$F$61=0,1,0),if(G66-$G$61=0,1,0),if(H66-$H$61=0,1,0),if(I66-$I$61=0,1,0),if(J66-$J$61=0,1,0),if(K66-$K$61=0,1,0),if(L66-$L$61=0,1,0),if(M66-$M$61=0,1,0),if(N66-$N$61=0,1,0),if(O66-$O$61=0,1,0),if(P66-$P$61=0,1,0),if(Q66-$Q$61=0,1,0),if(R66-$R$61=0,1,0),if(S66-$S$61=0,1,0),if(T66-$T$61=0,1,0),if(U66-$U$61=0,1,0))</f>
        <v>6</v>
      </c>
      <c r="AD66" s="38">
        <f t="array" ref="AD66">sum(if(D66-$D$61=1,1,0),if(E66-$E$61=1,1,0),if(F66-$F$61=1,1,0),if(G66-$G$61=1,1,0),if(H66-$H$61=1,1,0),if(I66-$I$61=1,1,0),if(J66-$J$61=1,1,0),if(K66-$K$61=1,1,0),if(L66-$L$61=1,1,0),if(M66-$M$61=1,1,0),if(N66-$N$61=1,1,0),if(O66-$O$61=1,1,0),if(P66-$P$61=1,1,0),if(Q66-$Q$61=1,1,0),if(R66-$R$61=1,1,0),if(S66-$S$61=1,1,0),if(T66-$T$61=1,1,0),if(U66-$U$61=1,1,0))</f>
        <v>5</v>
      </c>
      <c r="AE66" s="38">
        <f t="array" ref="AE66">sum(if(D66-$D$61=2,1,0),if(E66-$E$61=2,1,0),if(F66-$F$61=2,1,0),if(G66-$G$61=2,1,0),if(H66-$H$61=2,1,0),if(I66-$I$61=2,1,0),if(J66-$J$61=2,1,0),if(K66-$K$61=2,1,0),if(L66-$L$61=2,1,0),if(M66-$M$61=2,1,0),if(N66-$N$61=2,1,0),if(O66-$O$61=2,1,0),if(P66-$P$61=2,1,0),if(Q66-$Q$61=2,1,0),if(R66-$R$61=2,1,0),if(S66-$S$61=2,1,0),if(T66-$T$61=2,1,0),if(U66-$U$61=2,1,0))</f>
        <v>4</v>
      </c>
      <c r="AF66" s="38">
        <f t="array" ref="AF66">sum(if(D66-$D$61=3,1,0),if(E66-$E$61=3,1,0),if(F66-$F$61=3,1,0),if(G66-$G$61=3,1,0),if(H66-$H$61=3,1,0),if(I66-$I$61=3,1,0),if(J66-$J$61=3,1,0),if(K66-$K$61=3,1,0),if(L66-$L$61=3,1,0),if(M66-$M$61=3,1,0),if(N66-$N$61=3,1,0),if(O66-$O$61=3,1,0),if(P66-$P$61=3,1,0),if(Q66-$Q$61=3,1,0),if(R66-$R$61=3,1,0),if(S66-$S$61=3,1,0),if(T66-$T$61=3,1,0),if(U66-$U$61=3,1,0))</f>
        <v>2</v>
      </c>
      <c r="AG66" s="38">
        <f t="array" ref="AG66">sum(if(D66-$D$61&gt;3,1,0),if(E66-$E$61&gt;3,1,0),if(F66-$F$61&gt;3,1,0),if(G66-$G$61&gt;3,1,0),if(H66-$H$61&gt;3,1,0),if(I66-$I$61&gt;3,1,0),if(J66-$J$61&gt;3,1,0),if(K66-$K$61&gt;3,1,0),if(L66-$L$61&gt;3,1,0),if(M66-$M$61&gt;3,1,0),if(N66-$N$61&gt;3,1,0),if(O66-$O$61&gt;3,1,0),if(P66-$P$61&gt;3,1,0),if(Q66-$Q$61&gt;3,1,0),if(R66-$R$61&gt;3,1,0),if(S66-$S$61&gt;3,1,0),if(T66-$T$61&gt;3,1,0),if(U66-$U$61&gt;3,1,0))</f>
        <v>1</v>
      </c>
      <c r="AH66" s="38">
        <f t="shared" si="20"/>
        <v>18</v>
      </c>
    </row>
    <row r="67" ht="12.75" customHeight="1">
      <c r="A67" s="32" t="str">
        <f>SETUP!A10</f>
        <v>Eric O</v>
      </c>
      <c r="B67" s="33">
        <f t="array" ref="B67">if(A67="","",index(SETUP!F:F,match(A67,SETUP!A:A,0)))</f>
        <v>17</v>
      </c>
      <c r="C67" s="34"/>
      <c r="D67" s="35">
        <v>5.0</v>
      </c>
      <c r="E67" s="35">
        <v>5.0</v>
      </c>
      <c r="F67" s="35">
        <v>3.0</v>
      </c>
      <c r="G67" s="35">
        <v>4.0</v>
      </c>
      <c r="H67" s="35">
        <v>5.0</v>
      </c>
      <c r="I67" s="35">
        <v>5.0</v>
      </c>
      <c r="J67" s="35">
        <v>7.0</v>
      </c>
      <c r="K67" s="35">
        <v>6.0</v>
      </c>
      <c r="L67" s="35">
        <v>5.0</v>
      </c>
      <c r="M67" s="35">
        <v>4.0</v>
      </c>
      <c r="N67" s="35">
        <v>4.0</v>
      </c>
      <c r="O67" s="35">
        <v>4.0</v>
      </c>
      <c r="P67" s="35">
        <v>6.0</v>
      </c>
      <c r="Q67" s="35">
        <v>6.0</v>
      </c>
      <c r="R67" s="35">
        <v>6.0</v>
      </c>
      <c r="S67" s="35">
        <v>6.0</v>
      </c>
      <c r="T67" s="35">
        <v>3.0</v>
      </c>
      <c r="U67" s="35">
        <v>8.0</v>
      </c>
      <c r="V67" s="36">
        <f t="shared" si="16"/>
        <v>45</v>
      </c>
      <c r="W67" s="36">
        <f t="shared" si="17"/>
        <v>47</v>
      </c>
      <c r="X67" s="36">
        <f t="shared" si="18"/>
        <v>92</v>
      </c>
      <c r="Y67" s="37">
        <f t="shared" si="19"/>
        <v>75</v>
      </c>
      <c r="Z67" s="38">
        <f t="array" ref="Z67">sum(if(D67-$D$61=-3,1,0),if(E67-$E$61=-3,1,0),if(F67-$F$61=-3,1,0),if(G67-$G$61=-3,1,0),if(H67-$H$61=-3,1,0),if(I67-$I$61=-3,1,0),if(J67-$J$61=-3,1,0),if(K67-$K$61=-3,1,0),if(L67-$L$61=-3,1,0),if(M67-$M$61=-3,1,0),if(N67-$N$61=-3,1,0),if(O67-$O$61=-3,1,0),if(P67-$P$61=-3,1,0),if(Q67-$Q$61=-3,1,0),if(R67-$R$61=-3,1,0),if(S67-$S$61=-3,1,0),if(T67-$T$61=-3,1,0),if(U67-$U$61=-3,1,0))</f>
        <v>0</v>
      </c>
      <c r="AA67" s="38">
        <f t="array" ref="AA67">sum(if(D67-$D$61=-2,1,0),if(E67-$E$61=-2,1,0),if(F67-$F$61=-2,1,0),if(G67-$G$61=-2,1,0),if(H67-$H$61=-2,1,0),if(I67-$I$61=-2,1,0),if(J67-$J$61=-2,1,0),if(K67-$K$61=-2,1,0),if(L67-$L$61=-2,1,0),if(M67-$M$61=-2,1,0),if(N67-$N$61=-2,1,0),if(O67-$O$61=-2,1,0),if(P67-$P$61=-2,1,0),if(Q67-$Q$61=-2,1,0),if(R67-$R$61=-2,1,0),if(S67-$S$61=-2,1,0),if(T67-$T$61=-2,1,0),if(U67-$U$61=-2,1,0))</f>
        <v>0</v>
      </c>
      <c r="AB67" s="38">
        <f t="array" ref="AB67">sum(if(D67-$D$61=-1,1,0),if(E67-$E$61=-1,1,0),if(F67-$F$61=-1,1,0),if(G67-$G$61=-1,1,0),if(H67-$H$61=-1,1,0),if(I67-$I$61=-1,1,0),if(J67-$J$61=-1,1,0),if(K67-$K$61=-1,1,0),if(L67-$L$61=-1,1,0),if(M67-$M$61=-1,1,0),if(N67-$N$61=-1,1,0),if(O67-$O$61=-1,1,0),if(P67-$P$61=-1,1,0),if(Q67-$Q$61=-1,1,0),if(R67-$R$61=-1,1,0),if(S67-$S$61=-1,1,0),if(T67-$T$61=-1,1,0),if(U67-$U$61=-1,1,0))</f>
        <v>1</v>
      </c>
      <c r="AC67" s="38">
        <f t="array" ref="AC67">sum(if(D67-$D$61=0,1,0),if(E67-$E$61=0,1,0),if(F67-$F$61=0,1,0),if(G67-$G$61=0,1,0),if(H67-$H$61=0,1,0),if(I67-$I$61=0,1,0),if(J67-$J$61=0,1,0),if(K67-$K$61=0,1,0),if(L67-$L$61=0,1,0),if(M67-$M$61=0,1,0),if(N67-$N$61=0,1,0),if(O67-$O$61=0,1,0),if(P67-$P$61=0,1,0),if(Q67-$Q$61=0,1,0),if(R67-$R$61=0,1,0),if(S67-$S$61=0,1,0),if(T67-$T$61=0,1,0),if(U67-$U$61=0,1,0))</f>
        <v>6</v>
      </c>
      <c r="AD67" s="38">
        <f t="array" ref="AD67">sum(if(D67-$D$61=1,1,0),if(E67-$E$61=1,1,0),if(F67-$F$61=1,1,0),if(G67-$G$61=1,1,0),if(H67-$H$61=1,1,0),if(I67-$I$61=1,1,0),if(J67-$J$61=1,1,0),if(K67-$K$61=1,1,0),if(L67-$L$61=1,1,0),if(M67-$M$61=1,1,0),if(N67-$N$61=1,1,0),if(O67-$O$61=1,1,0),if(P67-$P$61=1,1,0),if(Q67-$Q$61=1,1,0),if(R67-$R$61=1,1,0),if(S67-$S$61=1,1,0),if(T67-$T$61=1,1,0),if(U67-$U$61=1,1,0))</f>
        <v>3</v>
      </c>
      <c r="AE67" s="38">
        <f t="array" ref="AE67">sum(if(D67-$D$61=2,1,0),if(E67-$E$61=2,1,0),if(F67-$F$61=2,1,0),if(G67-$G$61=2,1,0),if(H67-$H$61=2,1,0),if(I67-$I$61=2,1,0),if(J67-$J$61=2,1,0),if(K67-$K$61=2,1,0),if(L67-$L$61=2,1,0),if(M67-$M$61=2,1,0),if(N67-$N$61=2,1,0),if(O67-$O$61=2,1,0),if(P67-$P$61=2,1,0),if(Q67-$Q$61=2,1,0),if(R67-$R$61=2,1,0),if(S67-$S$61=2,1,0),if(T67-$T$61=2,1,0),if(U67-$U$61=2,1,0))</f>
        <v>6</v>
      </c>
      <c r="AF67" s="38">
        <f t="array" ref="AF67">sum(if(D67-$D$61=3,1,0),if(E67-$E$61=3,1,0),if(F67-$F$61=3,1,0),if(G67-$G$61=3,1,0),if(H67-$H$61=3,1,0),if(I67-$I$61=3,1,0),if(J67-$J$61=3,1,0),if(K67-$K$61=3,1,0),if(L67-$L$61=3,1,0),if(M67-$M$61=3,1,0),if(N67-$N$61=3,1,0),if(O67-$O$61=3,1,0),if(P67-$P$61=3,1,0),if(Q67-$Q$61=3,1,0),if(R67-$R$61=3,1,0),if(S67-$S$61=3,1,0),if(T67-$T$61=3,1,0),if(U67-$U$61=3,1,0))</f>
        <v>2</v>
      </c>
      <c r="AG67" s="38">
        <f t="array" ref="AG67">sum(if(D67-$D$61&gt;3,1,0),if(E67-$E$61&gt;3,1,0),if(F67-$F$61&gt;3,1,0),if(G67-$G$61&gt;3,1,0),if(H67-$H$61&gt;3,1,0),if(I67-$I$61&gt;3,1,0),if(J67-$J$61&gt;3,1,0),if(K67-$K$61&gt;3,1,0),if(L67-$L$61&gt;3,1,0),if(M67-$M$61&gt;3,1,0),if(N67-$N$61&gt;3,1,0),if(O67-$O$61&gt;3,1,0),if(P67-$P$61&gt;3,1,0),if(Q67-$Q$61&gt;3,1,0),if(R67-$R$61&gt;3,1,0),if(S67-$S$61&gt;3,1,0),if(T67-$T$61&gt;3,1,0),if(U67-$U$61&gt;3,1,0))</f>
        <v>0</v>
      </c>
      <c r="AH67" s="38">
        <f t="shared" si="20"/>
        <v>18</v>
      </c>
    </row>
    <row r="68" ht="12.75" customHeight="1">
      <c r="A68" s="32" t="str">
        <f>SETUP!A11</f>
        <v>Jeff B</v>
      </c>
      <c r="B68" s="33">
        <f t="array" ref="B68">if(A68="","",index(SETUP!F:F,match(A68,SETUP!A:A,0)))</f>
        <v>20</v>
      </c>
      <c r="C68" s="34"/>
      <c r="D68" s="35">
        <v>6.0</v>
      </c>
      <c r="E68" s="35">
        <v>7.0</v>
      </c>
      <c r="F68" s="35">
        <v>5.0</v>
      </c>
      <c r="G68" s="35">
        <v>5.0</v>
      </c>
      <c r="H68" s="35">
        <v>5.0</v>
      </c>
      <c r="I68" s="35">
        <v>5.0</v>
      </c>
      <c r="J68" s="35">
        <v>7.0</v>
      </c>
      <c r="K68" s="35">
        <v>6.0</v>
      </c>
      <c r="L68" s="35">
        <v>7.0</v>
      </c>
      <c r="M68" s="35">
        <v>5.0</v>
      </c>
      <c r="N68" s="35">
        <v>6.0</v>
      </c>
      <c r="O68" s="35">
        <v>4.0</v>
      </c>
      <c r="P68" s="35">
        <v>4.0</v>
      </c>
      <c r="Q68" s="35">
        <v>8.0</v>
      </c>
      <c r="R68" s="35">
        <v>5.0</v>
      </c>
      <c r="S68" s="35">
        <v>5.0</v>
      </c>
      <c r="T68" s="35">
        <v>3.0</v>
      </c>
      <c r="U68" s="35">
        <v>7.0</v>
      </c>
      <c r="V68" s="36">
        <f t="shared" si="16"/>
        <v>53</v>
      </c>
      <c r="W68" s="36">
        <f t="shared" si="17"/>
        <v>47</v>
      </c>
      <c r="X68" s="36">
        <f t="shared" si="18"/>
        <v>100</v>
      </c>
      <c r="Y68" s="37">
        <f t="shared" si="19"/>
        <v>80</v>
      </c>
      <c r="Z68" s="38">
        <f t="array" ref="Z68">sum(if(D68-$D$61=-3,1,0),if(E68-$E$61=-3,1,0),if(F68-$F$61=-3,1,0),if(G68-$G$61=-3,1,0),if(H68-$H$61=-3,1,0),if(I68-$I$61=-3,1,0),if(J68-$J$61=-3,1,0),if(K68-$K$61=-3,1,0),if(L68-$L$61=-3,1,0),if(M68-$M$61=-3,1,0),if(N68-$N$61=-3,1,0),if(O68-$O$61=-3,1,0),if(P68-$P$61=-3,1,0),if(Q68-$Q$61=-3,1,0),if(R68-$R$61=-3,1,0),if(S68-$S$61=-3,1,0),if(T68-$T$61=-3,1,0),if(U68-$U$61=-3,1,0))</f>
        <v>0</v>
      </c>
      <c r="AA68" s="38">
        <f t="array" ref="AA68">sum(if(D68-$D$61=-2,1,0),if(E68-$E$61=-2,1,0),if(F68-$F$61=-2,1,0),if(G68-$G$61=-2,1,0),if(H68-$H$61=-2,1,0),if(I68-$I$61=-2,1,0),if(J68-$J$61=-2,1,0),if(K68-$K$61=-2,1,0),if(L68-$L$61=-2,1,0),if(M68-$M$61=-2,1,0),if(N68-$N$61=-2,1,0),if(O68-$O$61=-2,1,0),if(P68-$P$61=-2,1,0),if(Q68-$Q$61=-2,1,0),if(R68-$R$61=-2,1,0),if(S68-$S$61=-2,1,0),if(T68-$T$61=-2,1,0),if(U68-$U$61=-2,1,0))</f>
        <v>0</v>
      </c>
      <c r="AB68" s="38">
        <f t="array" ref="AB68">sum(if(D68-$D$61=-1,1,0),if(E68-$E$61=-1,1,0),if(F68-$F$61=-1,1,0),if(G68-$G$61=-1,1,0),if(H68-$H$61=-1,1,0),if(I68-$I$61=-1,1,0),if(J68-$J$61=-1,1,0),if(K68-$K$61=-1,1,0),if(L68-$L$61=-1,1,0),if(M68-$M$61=-1,1,0),if(N68-$N$61=-1,1,0),if(O68-$O$61=-1,1,0),if(P68-$P$61=-1,1,0),if(Q68-$Q$61=-1,1,0),if(R68-$R$61=-1,1,0),if(S68-$S$61=-1,1,0),if(T68-$T$61=-1,1,0),if(U68-$U$61=-1,1,0))</f>
        <v>0</v>
      </c>
      <c r="AC68" s="38">
        <f t="array" ref="AC68">sum(if(D68-$D$61=0,1,0),if(E68-$E$61=0,1,0),if(F68-$F$61=0,1,0),if(G68-$G$61=0,1,0),if(H68-$H$61=0,1,0),if(I68-$I$61=0,1,0),if(J68-$J$61=0,1,0),if(K68-$K$61=0,1,0),if(L68-$L$61=0,1,0),if(M68-$M$61=0,1,0),if(N68-$N$61=0,1,0),if(O68-$O$61=0,1,0),if(P68-$P$61=0,1,0),if(Q68-$Q$61=0,1,0),if(R68-$R$61=0,1,0),if(S68-$S$61=0,1,0),if(T68-$T$61=0,1,0),if(U68-$U$61=0,1,0))</f>
        <v>3</v>
      </c>
      <c r="AD68" s="38">
        <f t="array" ref="AD68">sum(if(D68-$D$61=1,1,0),if(E68-$E$61=1,1,0),if(F68-$F$61=1,1,0),if(G68-$G$61=1,1,0),if(H68-$H$61=1,1,0),if(I68-$I$61=1,1,0),if(J68-$J$61=1,1,0),if(K68-$K$61=1,1,0),if(L68-$L$61=1,1,0),if(M68-$M$61=1,1,0),if(N68-$N$61=1,1,0),if(O68-$O$61=1,1,0),if(P68-$P$61=1,1,0),if(Q68-$Q$61=1,1,0),if(R68-$R$61=1,1,0),if(S68-$S$61=1,1,0),if(T68-$T$61=1,1,0),if(U68-$U$61=1,1,0))</f>
        <v>5</v>
      </c>
      <c r="AE68" s="38">
        <f t="array" ref="AE68">sum(if(D68-$D$61=2,1,0),if(E68-$E$61=2,1,0),if(F68-$F$61=2,1,0),if(G68-$G$61=2,1,0),if(H68-$H$61=2,1,0),if(I68-$I$61=2,1,0),if(J68-$J$61=2,1,0),if(K68-$K$61=2,1,0),if(L68-$L$61=2,1,0),if(M68-$M$61=2,1,0),if(N68-$N$61=2,1,0),if(O68-$O$61=2,1,0),if(P68-$P$61=2,1,0),if(Q68-$Q$61=2,1,0),if(R68-$R$61=2,1,0),if(S68-$S$61=2,1,0),if(T68-$T$61=2,1,0),if(U68-$U$61=2,1,0))</f>
        <v>8</v>
      </c>
      <c r="AF68" s="38">
        <f t="array" ref="AF68">sum(if(D68-$D$61=3,1,0),if(E68-$E$61=3,1,0),if(F68-$F$61=3,1,0),if(G68-$G$61=3,1,0),if(H68-$H$61=3,1,0),if(I68-$I$61=3,1,0),if(J68-$J$61=3,1,0),if(K68-$K$61=3,1,0),if(L68-$L$61=3,1,0),if(M68-$M$61=3,1,0),if(N68-$N$61=3,1,0),if(O68-$O$61=3,1,0),if(P68-$P$61=3,1,0),if(Q68-$Q$61=3,1,0),if(R68-$R$61=3,1,0),if(S68-$S$61=3,1,0),if(T68-$T$61=3,1,0),if(U68-$U$61=3,1,0))</f>
        <v>1</v>
      </c>
      <c r="AG68" s="38">
        <f t="array" ref="AG68">sum(if(D68-$D$61&gt;3,1,0),if(E68-$E$61&gt;3,1,0),if(F68-$F$61&gt;3,1,0),if(G68-$G$61&gt;3,1,0),if(H68-$H$61&gt;3,1,0),if(I68-$I$61&gt;3,1,0),if(J68-$J$61&gt;3,1,0),if(K68-$K$61&gt;3,1,0),if(L68-$L$61&gt;3,1,0),if(M68-$M$61&gt;3,1,0),if(N68-$N$61&gt;3,1,0),if(O68-$O$61&gt;3,1,0),if(P68-$P$61&gt;3,1,0),if(Q68-$Q$61&gt;3,1,0),if(R68-$R$61&gt;3,1,0),if(S68-$S$61&gt;3,1,0),if(T68-$T$61&gt;3,1,0),if(U68-$U$61&gt;3,1,0))</f>
        <v>1</v>
      </c>
      <c r="AH68" s="38">
        <f t="shared" si="20"/>
        <v>18</v>
      </c>
    </row>
    <row r="69" ht="12.75" customHeight="1">
      <c r="A69" s="32" t="str">
        <f>SETUP!A12</f>
        <v>Joe S</v>
      </c>
      <c r="B69" s="33">
        <f t="array" ref="B69">if(A69="","",index(SETUP!F:F,match(A69,SETUP!A:A,0)))</f>
        <v>13</v>
      </c>
      <c r="C69" s="34"/>
      <c r="D69" s="35">
        <v>4.0</v>
      </c>
      <c r="E69" s="35">
        <v>4.0</v>
      </c>
      <c r="F69" s="35">
        <v>6.0</v>
      </c>
      <c r="G69" s="35">
        <v>4.0</v>
      </c>
      <c r="H69" s="35">
        <v>5.0</v>
      </c>
      <c r="I69" s="35">
        <v>3.0</v>
      </c>
      <c r="J69" s="35">
        <v>5.0</v>
      </c>
      <c r="K69" s="35">
        <v>5.0</v>
      </c>
      <c r="L69" s="35">
        <v>5.0</v>
      </c>
      <c r="M69" s="35">
        <v>4.0</v>
      </c>
      <c r="N69" s="35">
        <v>4.0</v>
      </c>
      <c r="O69" s="35">
        <v>3.0</v>
      </c>
      <c r="P69" s="35">
        <v>5.0</v>
      </c>
      <c r="Q69" s="35">
        <v>5.0</v>
      </c>
      <c r="R69" s="35">
        <v>4.0</v>
      </c>
      <c r="S69" s="35">
        <v>4.0</v>
      </c>
      <c r="T69" s="35">
        <v>4.0</v>
      </c>
      <c r="U69" s="35">
        <v>8.0</v>
      </c>
      <c r="V69" s="36">
        <f t="shared" si="16"/>
        <v>41</v>
      </c>
      <c r="W69" s="36">
        <f t="shared" si="17"/>
        <v>41</v>
      </c>
      <c r="X69" s="36">
        <f t="shared" si="18"/>
        <v>82</v>
      </c>
      <c r="Y69" s="37">
        <f t="shared" si="19"/>
        <v>69</v>
      </c>
      <c r="Z69" s="38">
        <f t="array" ref="Z69">sum(if(D69-$D$61=-3,1,0),if(E69-$E$61=-3,1,0),if(F69-$F$61=-3,1,0),if(G69-$G$61=-3,1,0),if(H69-$H$61=-3,1,0),if(I69-$I$61=-3,1,0),if(J69-$J$61=-3,1,0),if(K69-$K$61=-3,1,0),if(L69-$L$61=-3,1,0),if(M69-$M$61=-3,1,0),if(N69-$N$61=-3,1,0),if(O69-$O$61=-3,1,0),if(P69-$P$61=-3,1,0),if(Q69-$Q$61=-3,1,0),if(R69-$R$61=-3,1,0),if(S69-$S$61=-3,1,0),if(T69-$T$61=-3,1,0),if(U69-$U$61=-3,1,0))</f>
        <v>0</v>
      </c>
      <c r="AA69" s="38">
        <f t="array" ref="AA69">sum(if(D69-$D$61=-2,1,0),if(E69-$E$61=-2,1,0),if(F69-$F$61=-2,1,0),if(G69-$G$61=-2,1,0),if(H69-$H$61=-2,1,0),if(I69-$I$61=-2,1,0),if(J69-$J$61=-2,1,0),if(K69-$K$61=-2,1,0),if(L69-$L$61=-2,1,0),if(M69-$M$61=-2,1,0),if(N69-$N$61=-2,1,0),if(O69-$O$61=-2,1,0),if(P69-$P$61=-2,1,0),if(Q69-$Q$61=-2,1,0),if(R69-$R$61=-2,1,0),if(S69-$S$61=-2,1,0),if(T69-$T$61=-2,1,0),if(U69-$U$61=-2,1,0))</f>
        <v>0</v>
      </c>
      <c r="AB69" s="38">
        <f t="array" ref="AB69">sum(if(D69-$D$61=-1,1,0),if(E69-$E$61=-1,1,0),if(F69-$F$61=-1,1,0),if(G69-$G$61=-1,1,0),if(H69-$H$61=-1,1,0),if(I69-$I$61=-1,1,0),if(J69-$J$61=-1,1,0),if(K69-$K$61=-1,1,0),if(L69-$L$61=-1,1,0),if(M69-$M$61=-1,1,0),if(N69-$N$61=-1,1,0),if(O69-$O$61=-1,1,0),if(P69-$P$61=-1,1,0),if(Q69-$Q$61=-1,1,0),if(R69-$R$61=-1,1,0),if(S69-$S$61=-1,1,0),if(T69-$T$61=-1,1,0),if(U69-$U$61=-1,1,0))</f>
        <v>2</v>
      </c>
      <c r="AC69" s="38">
        <f t="array" ref="AC69">sum(if(D69-$D$61=0,1,0),if(E69-$E$61=0,1,0),if(F69-$F$61=0,1,0),if(G69-$G$61=0,1,0),if(H69-$H$61=0,1,0),if(I69-$I$61=0,1,0),if(J69-$J$61=0,1,0),if(K69-$K$61=0,1,0),if(L69-$L$61=0,1,0),if(M69-$M$61=0,1,0),if(N69-$N$61=0,1,0),if(O69-$O$61=0,1,0),if(P69-$P$61=0,1,0),if(Q69-$Q$61=0,1,0),if(R69-$R$61=0,1,0),if(S69-$S$61=0,1,0),if(T69-$T$61=0,1,0),if(U69-$U$61=0,1,0))</f>
        <v>8</v>
      </c>
      <c r="AD69" s="38">
        <f t="array" ref="AD69">sum(if(D69-$D$61=1,1,0),if(E69-$E$61=1,1,0),if(F69-$F$61=1,1,0),if(G69-$G$61=1,1,0),if(H69-$H$61=1,1,0),if(I69-$I$61=1,1,0),if(J69-$J$61=1,1,0),if(K69-$K$61=1,1,0),if(L69-$L$61=1,1,0),if(M69-$M$61=1,1,0),if(N69-$N$61=1,1,0),if(O69-$O$61=1,1,0),if(P69-$P$61=1,1,0),if(Q69-$Q$61=1,1,0),if(R69-$R$61=1,1,0),if(S69-$S$61=1,1,0),if(T69-$T$61=1,1,0),if(U69-$U$61=1,1,0))</f>
        <v>6</v>
      </c>
      <c r="AE69" s="38">
        <f t="array" ref="AE69">sum(if(D69-$D$61=2,1,0),if(E69-$E$61=2,1,0),if(F69-$F$61=2,1,0),if(G69-$G$61=2,1,0),if(H69-$H$61=2,1,0),if(I69-$I$61=2,1,0),if(J69-$J$61=2,1,0),if(K69-$K$61=2,1,0),if(L69-$L$61=2,1,0),if(M69-$M$61=2,1,0),if(N69-$N$61=2,1,0),if(O69-$O$61=2,1,0),if(P69-$P$61=2,1,0),if(Q69-$Q$61=2,1,0),if(R69-$R$61=2,1,0),if(S69-$S$61=2,1,0),if(T69-$T$61=2,1,0),if(U69-$U$61=2,1,0))</f>
        <v>0</v>
      </c>
      <c r="AF69" s="38">
        <f t="array" ref="AF69">sum(if(D69-$D$61=3,1,0),if(E69-$E$61=3,1,0),if(F69-$F$61=3,1,0),if(G69-$G$61=3,1,0),if(H69-$H$61=3,1,0),if(I69-$I$61=3,1,0),if(J69-$J$61=3,1,0),if(K69-$K$61=3,1,0),if(L69-$L$61=3,1,0),if(M69-$M$61=3,1,0),if(N69-$N$61=3,1,0),if(O69-$O$61=3,1,0),if(P69-$P$61=3,1,0),if(Q69-$Q$61=3,1,0),if(R69-$R$61=3,1,0),if(S69-$S$61=3,1,0),if(T69-$T$61=3,1,0),if(U69-$U$61=3,1,0))</f>
        <v>2</v>
      </c>
      <c r="AG69" s="38">
        <f t="array" ref="AG69">sum(if(D69-$D$61&gt;3,1,0),if(E69-$E$61&gt;3,1,0),if(F69-$F$61&gt;3,1,0),if(G69-$G$61&gt;3,1,0),if(H69-$H$61&gt;3,1,0),if(I69-$I$61&gt;3,1,0),if(J69-$J$61&gt;3,1,0),if(K69-$K$61&gt;3,1,0),if(L69-$L$61&gt;3,1,0),if(M69-$M$61&gt;3,1,0),if(N69-$N$61&gt;3,1,0),if(O69-$O$61&gt;3,1,0),if(P69-$P$61&gt;3,1,0),if(Q69-$Q$61&gt;3,1,0),if(R69-$R$61&gt;3,1,0),if(S69-$S$61&gt;3,1,0),if(T69-$T$61&gt;3,1,0),if(U69-$U$61&gt;3,1,0))</f>
        <v>0</v>
      </c>
      <c r="AH69" s="38">
        <f t="shared" si="20"/>
        <v>18</v>
      </c>
    </row>
    <row r="70" ht="12.75" customHeight="1">
      <c r="A70" s="32" t="str">
        <f>SETUP!A13</f>
        <v>John C</v>
      </c>
      <c r="B70" s="33">
        <f t="array" ref="B70">if(A70="","",index(SETUP!F:F,match(A70,SETUP!A:A,0)))</f>
        <v>20</v>
      </c>
      <c r="C70" s="39" t="s">
        <v>28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6" t="str">
        <f t="shared" si="16"/>
        <v>WD</v>
      </c>
      <c r="W70" s="36" t="str">
        <f t="shared" si="17"/>
        <v>WD</v>
      </c>
      <c r="X70" s="36" t="str">
        <f t="shared" si="18"/>
        <v>WD</v>
      </c>
      <c r="Y70" s="36" t="str">
        <f t="shared" si="19"/>
        <v>WD</v>
      </c>
      <c r="Z70" s="38">
        <f t="array" ref="Z70">sum(if(D70-$D$61=-3,1,0),if(E70-$E$61=-3,1,0),if(F70-$F$61=-3,1,0),if(G70-$G$61=-3,1,0),if(H70-$H$61=-3,1,0),if(I70-$I$61=-3,1,0),if(J70-$J$61=-3,1,0),if(K70-$K$61=-3,1,0),if(L70-$L$61=-3,1,0),if(M70-$M$61=-3,1,0),if(N70-$N$61=-3,1,0),if(O70-$O$61=-3,1,0),if(P70-$P$61=-3,1,0),if(Q70-$Q$61=-3,1,0),if(R70-$R$61=-3,1,0),if(S70-$S$61=-3,1,0),if(T70-$T$61=-3,1,0),if(U70-$U$61=-3,1,0))</f>
        <v>5</v>
      </c>
      <c r="AA70" s="38">
        <f t="array" ref="AA70">sum(if(D70-$D$61=-2,1,0),if(E70-$E$61=-2,1,0),if(F70-$F$61=-2,1,0),if(G70-$G$61=-2,1,0),if(H70-$H$61=-2,1,0),if(I70-$I$61=-2,1,0),if(J70-$J$61=-2,1,0),if(K70-$K$61=-2,1,0),if(L70-$L$61=-2,1,0),if(M70-$M$61=-2,1,0),if(N70-$N$61=-2,1,0),if(O70-$O$61=-2,1,0),if(P70-$P$61=-2,1,0),if(Q70-$Q$61=-2,1,0),if(R70-$R$61=-2,1,0),if(S70-$S$61=-2,1,0),if(T70-$T$61=-2,1,0),if(U70-$U$61=-2,1,0))</f>
        <v>0</v>
      </c>
      <c r="AB70" s="38">
        <f t="array" ref="AB70">sum(if(D70-$D$61=-1,1,0),if(E70-$E$61=-1,1,0),if(F70-$F$61=-1,1,0),if(G70-$G$61=-1,1,0),if(H70-$H$61=-1,1,0),if(I70-$I$61=-1,1,0),if(J70-$J$61=-1,1,0),if(K70-$K$61=-1,1,0),if(L70-$L$61=-1,1,0),if(M70-$M$61=-1,1,0),if(N70-$N$61=-1,1,0),if(O70-$O$61=-1,1,0),if(P70-$P$61=-1,1,0),if(Q70-$Q$61=-1,1,0),if(R70-$R$61=-1,1,0),if(S70-$S$61=-1,1,0),if(T70-$T$61=-1,1,0),if(U70-$U$61=-1,1,0))</f>
        <v>0</v>
      </c>
      <c r="AC70" s="38">
        <f t="array" ref="AC70">sum(if(D70-$D$61=0,1,0),if(E70-$E$61=0,1,0),if(F70-$F$61=0,1,0),if(G70-$G$61=0,1,0),if(H70-$H$61=0,1,0),if(I70-$I$61=0,1,0),if(J70-$J$61=0,1,0),if(K70-$K$61=0,1,0),if(L70-$L$61=0,1,0),if(M70-$M$61=0,1,0),if(N70-$N$61=0,1,0),if(O70-$O$61=0,1,0),if(P70-$P$61=0,1,0),if(Q70-$Q$61=0,1,0),if(R70-$R$61=0,1,0),if(S70-$S$61=0,1,0),if(T70-$T$61=0,1,0),if(U70-$U$61=0,1,0))</f>
        <v>0</v>
      </c>
      <c r="AD70" s="38">
        <f t="array" ref="AD70">sum(if(D70-$D$61=1,1,0),if(E70-$E$61=1,1,0),if(F70-$F$61=1,1,0),if(G70-$G$61=1,1,0),if(H70-$H$61=1,1,0),if(I70-$I$61=1,1,0),if(J70-$J$61=1,1,0),if(K70-$K$61=1,1,0),if(L70-$L$61=1,1,0),if(M70-$M$61=1,1,0),if(N70-$N$61=1,1,0),if(O70-$O$61=1,1,0),if(P70-$P$61=1,1,0),if(Q70-$Q$61=1,1,0),if(R70-$R$61=1,1,0),if(S70-$S$61=1,1,0),if(T70-$T$61=1,1,0),if(U70-$U$61=1,1,0))</f>
        <v>0</v>
      </c>
      <c r="AE70" s="38">
        <f t="array" ref="AE70">sum(if(D70-$D$61=2,1,0),if(E70-$E$61=2,1,0),if(F70-$F$61=2,1,0),if(G70-$G$61=2,1,0),if(H70-$H$61=2,1,0),if(I70-$I$61=2,1,0),if(J70-$J$61=2,1,0),if(K70-$K$61=2,1,0),if(L70-$L$61=2,1,0),if(M70-$M$61=2,1,0),if(N70-$N$61=2,1,0),if(O70-$O$61=2,1,0),if(P70-$P$61=2,1,0),if(Q70-$Q$61=2,1,0),if(R70-$R$61=2,1,0),if(S70-$S$61=2,1,0),if(T70-$T$61=2,1,0),if(U70-$U$61=2,1,0))</f>
        <v>0</v>
      </c>
      <c r="AF70" s="38">
        <f t="array" ref="AF70">sum(if(D70-$D$61=3,1,0),if(E70-$E$61=3,1,0),if(F70-$F$61=3,1,0),if(G70-$G$61=3,1,0),if(H70-$H$61=3,1,0),if(I70-$I$61=3,1,0),if(J70-$J$61=3,1,0),if(K70-$K$61=3,1,0),if(L70-$L$61=3,1,0),if(M70-$M$61=3,1,0),if(N70-$N$61=3,1,0),if(O70-$O$61=3,1,0),if(P70-$P$61=3,1,0),if(Q70-$Q$61=3,1,0),if(R70-$R$61=3,1,0),if(S70-$S$61=3,1,0),if(T70-$T$61=3,1,0),if(U70-$U$61=3,1,0))</f>
        <v>0</v>
      </c>
      <c r="AG70" s="38">
        <f t="array" ref="AG70">sum(if(D70-$D$61&gt;3,1,0),if(E70-$E$61&gt;3,1,0),if(F70-$F$61&gt;3,1,0),if(G70-$G$61&gt;3,1,0),if(H70-$H$61&gt;3,1,0),if(I70-$I$61&gt;3,1,0),if(J70-$J$61&gt;3,1,0),if(K70-$K$61&gt;3,1,0),if(L70-$L$61&gt;3,1,0),if(M70-$M$61&gt;3,1,0),if(N70-$N$61&gt;3,1,0),if(O70-$O$61&gt;3,1,0),if(P70-$P$61&gt;3,1,0),if(Q70-$Q$61&gt;3,1,0),if(R70-$R$61&gt;3,1,0),if(S70-$S$61&gt;3,1,0),if(T70-$T$61&gt;3,1,0),if(U70-$U$61&gt;3,1,0))</f>
        <v>0</v>
      </c>
      <c r="AH70" s="38">
        <f t="shared" si="20"/>
        <v>5</v>
      </c>
    </row>
    <row r="71" ht="12.75" customHeight="1">
      <c r="A71" s="32" t="str">
        <f>SETUP!A14</f>
        <v>Ray H</v>
      </c>
      <c r="B71" s="33">
        <f t="array" ref="B71">if(A71="","",index(SETUP!F:F,match(A71,SETUP!A:A,0)))</f>
        <v>20</v>
      </c>
      <c r="C71" s="34"/>
      <c r="D71" s="35">
        <v>6.0</v>
      </c>
      <c r="E71" s="35">
        <v>5.0</v>
      </c>
      <c r="F71" s="35">
        <v>4.0</v>
      </c>
      <c r="G71" s="35">
        <v>6.0</v>
      </c>
      <c r="H71" s="35">
        <v>12.0</v>
      </c>
      <c r="I71" s="35">
        <v>4.0</v>
      </c>
      <c r="J71" s="35">
        <v>5.0</v>
      </c>
      <c r="K71" s="35">
        <v>10.0</v>
      </c>
      <c r="L71" s="35">
        <v>9.0</v>
      </c>
      <c r="M71" s="35">
        <v>5.0</v>
      </c>
      <c r="N71" s="35">
        <v>7.0</v>
      </c>
      <c r="O71" s="35">
        <v>4.0</v>
      </c>
      <c r="P71" s="35">
        <v>7.0</v>
      </c>
      <c r="Q71" s="35">
        <v>7.0</v>
      </c>
      <c r="R71" s="35">
        <v>6.0</v>
      </c>
      <c r="S71" s="35">
        <v>8.0</v>
      </c>
      <c r="T71" s="35">
        <v>7.0</v>
      </c>
      <c r="U71" s="35">
        <v>7.0</v>
      </c>
      <c r="V71" s="36">
        <f t="shared" si="16"/>
        <v>61</v>
      </c>
      <c r="W71" s="36">
        <f t="shared" si="17"/>
        <v>58</v>
      </c>
      <c r="X71" s="36">
        <f t="shared" si="18"/>
        <v>119</v>
      </c>
      <c r="Y71" s="37">
        <f t="shared" si="19"/>
        <v>99</v>
      </c>
      <c r="Z71" s="38">
        <f t="array" ref="Z71">sum(if(D71-$D$61=-3,1,0),if(E71-$E$61=-3,1,0),if(F71-$F$61=-3,1,0),if(G71-$G$61=-3,1,0),if(H71-$H$61=-3,1,0),if(I71-$I$61=-3,1,0),if(J71-$J$61=-3,1,0),if(K71-$K$61=-3,1,0),if(L71-$L$61=-3,1,0),if(M71-$M$61=-3,1,0),if(N71-$N$61=-3,1,0),if(O71-$O$61=-3,1,0),if(P71-$P$61=-3,1,0),if(Q71-$Q$61=-3,1,0),if(R71-$R$61=-3,1,0),if(S71-$S$61=-3,1,0),if(T71-$T$61=-3,1,0),if(U71-$U$61=-3,1,0))</f>
        <v>0</v>
      </c>
      <c r="AA71" s="38">
        <f t="array" ref="AA71">sum(if(D71-$D$61=-2,1,0),if(E71-$E$61=-2,1,0),if(F71-$F$61=-2,1,0),if(G71-$G$61=-2,1,0),if(H71-$H$61=-2,1,0),if(I71-$I$61=-2,1,0),if(J71-$J$61=-2,1,0),if(K71-$K$61=-2,1,0),if(L71-$L$61=-2,1,0),if(M71-$M$61=-2,1,0),if(N71-$N$61=-2,1,0),if(O71-$O$61=-2,1,0),if(P71-$P$61=-2,1,0),if(Q71-$Q$61=-2,1,0),if(R71-$R$61=-2,1,0),if(S71-$S$61=-2,1,0),if(T71-$T$61=-2,1,0),if(U71-$U$61=-2,1,0))</f>
        <v>0</v>
      </c>
      <c r="AB71" s="38">
        <f t="array" ref="AB71">sum(if(D71-$D$61=-1,1,0),if(E71-$E$61=-1,1,0),if(F71-$F$61=-1,1,0),if(G71-$G$61=-1,1,0),if(H71-$H$61=-1,1,0),if(I71-$I$61=-1,1,0),if(J71-$J$61=-1,1,0),if(K71-$K$61=-1,1,0),if(L71-$L$61=-1,1,0),if(M71-$M$61=-1,1,0),if(N71-$N$61=-1,1,0),if(O71-$O$61=-1,1,0),if(P71-$P$61=-1,1,0),if(Q71-$Q$61=-1,1,0),if(R71-$R$61=-1,1,0),if(S71-$S$61=-1,1,0),if(T71-$T$61=-1,1,0),if(U71-$U$61=-1,1,0))</f>
        <v>0</v>
      </c>
      <c r="AC71" s="38">
        <f t="array" ref="AC71">sum(if(D71-$D$61=0,1,0),if(E71-$E$61=0,1,0),if(F71-$F$61=0,1,0),if(G71-$G$61=0,1,0),if(H71-$H$61=0,1,0),if(I71-$I$61=0,1,0),if(J71-$J$61=0,1,0),if(K71-$K$61=0,1,0),if(L71-$L$61=0,1,0),if(M71-$M$61=0,1,0),if(N71-$N$61=0,1,0),if(O71-$O$61=0,1,0),if(P71-$P$61=0,1,0),if(Q71-$Q$61=0,1,0),if(R71-$R$61=0,1,0),if(S71-$S$61=0,1,0),if(T71-$T$61=0,1,0),if(U71-$U$61=0,1,0))</f>
        <v>1</v>
      </c>
      <c r="AD71" s="38">
        <f t="array" ref="AD71">sum(if(D71-$D$61=1,1,0),if(E71-$E$61=1,1,0),if(F71-$F$61=1,1,0),if(G71-$G$61=1,1,0),if(H71-$H$61=1,1,0),if(I71-$I$61=1,1,0),if(J71-$J$61=1,1,0),if(K71-$K$61=1,1,0),if(L71-$L$61=1,1,0),if(M71-$M$61=1,1,0),if(N71-$N$61=1,1,0),if(O71-$O$61=1,1,0),if(P71-$P$61=1,1,0),if(Q71-$Q$61=1,1,0),if(R71-$R$61=1,1,0),if(S71-$S$61=1,1,0),if(T71-$T$61=1,1,0),if(U71-$U$61=1,1,0))</f>
        <v>4</v>
      </c>
      <c r="AE71" s="38">
        <f t="array" ref="AE71">sum(if(D71-$D$61=2,1,0),if(E71-$E$61=2,1,0),if(F71-$F$61=2,1,0),if(G71-$G$61=2,1,0),if(H71-$H$61=2,1,0),if(I71-$I$61=2,1,0),if(J71-$J$61=2,1,0),if(K71-$K$61=2,1,0),if(L71-$L$61=2,1,0),if(M71-$M$61=2,1,0),if(N71-$N$61=2,1,0),if(O71-$O$61=2,1,0),if(P71-$P$61=2,1,0),if(Q71-$Q$61=2,1,0),if(R71-$R$61=2,1,0),if(S71-$S$61=2,1,0),if(T71-$T$61=2,1,0),if(U71-$U$61=2,1,0))</f>
        <v>6</v>
      </c>
      <c r="AF71" s="38">
        <f t="array" ref="AF71">sum(if(D71-$D$61=3,1,0),if(E71-$E$61=3,1,0),if(F71-$F$61=3,1,0),if(G71-$G$61=3,1,0),if(H71-$H$61=3,1,0),if(I71-$I$61=3,1,0),if(J71-$J$61=3,1,0),if(K71-$K$61=3,1,0),if(L71-$L$61=3,1,0),if(M71-$M$61=3,1,0),if(N71-$N$61=3,1,0),if(O71-$O$61=3,1,0),if(P71-$P$61=3,1,0),if(Q71-$Q$61=3,1,0),if(R71-$R$61=3,1,0),if(S71-$S$61=3,1,0),if(T71-$T$61=3,1,0),if(U71-$U$61=3,1,0))</f>
        <v>2</v>
      </c>
      <c r="AG71" s="38">
        <f t="array" ref="AG71">sum(if(D71-$D$61&gt;3,1,0),if(E71-$E$61&gt;3,1,0),if(F71-$F$61&gt;3,1,0),if(G71-$G$61&gt;3,1,0),if(H71-$H$61&gt;3,1,0),if(I71-$I$61&gt;3,1,0),if(J71-$J$61&gt;3,1,0),if(K71-$K$61&gt;3,1,0),if(L71-$L$61&gt;3,1,0),if(M71-$M$61&gt;3,1,0),if(N71-$N$61&gt;3,1,0),if(O71-$O$61&gt;3,1,0),if(P71-$P$61&gt;3,1,0),if(Q71-$Q$61&gt;3,1,0),if(R71-$R$61&gt;3,1,0),if(S71-$S$61&gt;3,1,0),if(T71-$T$61&gt;3,1,0),if(U71-$U$61&gt;3,1,0))</f>
        <v>5</v>
      </c>
      <c r="AH71" s="38">
        <f t="shared" si="20"/>
        <v>18</v>
      </c>
    </row>
    <row r="72" ht="12.75" customHeight="1">
      <c r="A72" s="32" t="str">
        <f>SETUP!A15</f>
        <v>Russ W</v>
      </c>
      <c r="B72" s="33">
        <f t="array" ref="B72">if(A72="","",index(SETUP!F:F,match(A72,SETUP!A:A,0)))</f>
        <v>14</v>
      </c>
      <c r="C72" s="40"/>
      <c r="D72" s="35">
        <v>6.0</v>
      </c>
      <c r="E72" s="35">
        <v>5.0</v>
      </c>
      <c r="F72" s="35">
        <v>4.0</v>
      </c>
      <c r="G72" s="35">
        <v>5.0</v>
      </c>
      <c r="H72" s="35">
        <v>4.0</v>
      </c>
      <c r="I72" s="35">
        <v>3.0</v>
      </c>
      <c r="J72" s="35">
        <v>5.0</v>
      </c>
      <c r="K72" s="35">
        <v>5.0</v>
      </c>
      <c r="L72" s="35">
        <v>7.0</v>
      </c>
      <c r="M72" s="35">
        <v>5.0</v>
      </c>
      <c r="N72" s="35">
        <v>5.0</v>
      </c>
      <c r="O72" s="35">
        <v>2.0</v>
      </c>
      <c r="P72" s="35">
        <v>6.0</v>
      </c>
      <c r="Q72" s="35">
        <v>6.0</v>
      </c>
      <c r="R72" s="35">
        <v>5.0</v>
      </c>
      <c r="S72" s="35">
        <v>6.0</v>
      </c>
      <c r="T72" s="35">
        <v>5.0</v>
      </c>
      <c r="U72" s="35">
        <v>7.0</v>
      </c>
      <c r="V72" s="36">
        <f t="shared" si="16"/>
        <v>44</v>
      </c>
      <c r="W72" s="36">
        <f t="shared" si="17"/>
        <v>47</v>
      </c>
      <c r="X72" s="36">
        <f t="shared" si="18"/>
        <v>91</v>
      </c>
      <c r="Y72" s="37">
        <f t="shared" si="19"/>
        <v>77</v>
      </c>
      <c r="Z72" s="38">
        <f t="array" ref="Z72">sum(if(D72-$D$61=-3,1,0),if(E72-$E$61=-3,1,0),if(F72-$F$61=-3,1,0),if(G72-$G$61=-3,1,0),if(H72-$H$61=-3,1,0),if(I72-$I$61=-3,1,0),if(J72-$J$61=-3,1,0),if(K72-$K$61=-3,1,0),if(L72-$L$61=-3,1,0),if(M72-$M$61=-3,1,0),if(N72-$N$61=-3,1,0),if(O72-$O$61=-3,1,0),if(P72-$P$61=-3,1,0),if(Q72-$Q$61=-3,1,0),if(R72-$R$61=-3,1,0),if(S72-$S$61=-3,1,0),if(T72-$T$61=-3,1,0),if(U72-$U$61=-3,1,0))</f>
        <v>0</v>
      </c>
      <c r="AA72" s="38">
        <f t="array" ref="AA72">sum(if(D72-$D$61=-2,1,0),if(E72-$E$61=-2,1,0),if(F72-$F$61=-2,1,0),if(G72-$G$61=-2,1,0),if(H72-$H$61=-2,1,0),if(I72-$I$61=-2,1,0),if(J72-$J$61=-2,1,0),if(K72-$K$61=-2,1,0),if(L72-$L$61=-2,1,0),if(M72-$M$61=-2,1,0),if(N72-$N$61=-2,1,0),if(O72-$O$61=-2,1,0),if(P72-$P$61=-2,1,0),if(Q72-$Q$61=-2,1,0),if(R72-$R$61=-2,1,0),if(S72-$S$61=-2,1,0),if(T72-$T$61=-2,1,0),if(U72-$U$61=-2,1,0))</f>
        <v>0</v>
      </c>
      <c r="AB72" s="38">
        <f t="array" ref="AB72">sum(if(D72-$D$61=-1,1,0),if(E72-$E$61=-1,1,0),if(F72-$F$61=-1,1,0),if(G72-$G$61=-1,1,0),if(H72-$H$61=-1,1,0),if(I72-$I$61=-1,1,0),if(J72-$J$61=-1,1,0),if(K72-$K$61=-1,1,0),if(L72-$L$61=-1,1,0),if(M72-$M$61=-1,1,0),if(N72-$N$61=-1,1,0),if(O72-$O$61=-1,1,0),if(P72-$P$61=-1,1,0),if(Q72-$Q$61=-1,1,0),if(R72-$R$61=-1,1,0),if(S72-$S$61=-1,1,0),if(T72-$T$61=-1,1,0),if(U72-$U$61=-1,1,0))</f>
        <v>2</v>
      </c>
      <c r="AC72" s="38">
        <f t="array" ref="AC72">sum(if(D72-$D$61=0,1,0),if(E72-$E$61=0,1,0),if(F72-$F$61=0,1,0),if(G72-$G$61=0,1,0),if(H72-$H$61=0,1,0),if(I72-$I$61=0,1,0),if(J72-$J$61=0,1,0),if(K72-$K$61=0,1,0),if(L72-$L$61=0,1,0),if(M72-$M$61=0,1,0),if(N72-$N$61=0,1,0),if(O72-$O$61=0,1,0),if(P72-$P$61=0,1,0),if(Q72-$Q$61=0,1,0),if(R72-$R$61=0,1,0),if(S72-$S$61=0,1,0),if(T72-$T$61=0,1,0),if(U72-$U$61=0,1,0))</f>
        <v>3</v>
      </c>
      <c r="AD72" s="38">
        <f t="array" ref="AD72">sum(if(D72-$D$61=1,1,0),if(E72-$E$61=1,1,0),if(F72-$F$61=1,1,0),if(G72-$G$61=1,1,0),if(H72-$H$61=1,1,0),if(I72-$I$61=1,1,0),if(J72-$J$61=1,1,0),if(K72-$K$61=1,1,0),if(L72-$L$61=1,1,0),if(M72-$M$61=1,1,0),if(N72-$N$61=1,1,0),if(O72-$O$61=1,1,0),if(P72-$P$61=1,1,0),if(Q72-$Q$61=1,1,0),if(R72-$R$61=1,1,0),if(S72-$S$61=1,1,0),if(T72-$T$61=1,1,0),if(U72-$U$61=1,1,0))</f>
        <v>5</v>
      </c>
      <c r="AE72" s="38">
        <f t="array" ref="AE72">sum(if(D72-$D$61=2,1,0),if(E72-$E$61=2,1,0),if(F72-$F$61=2,1,0),if(G72-$G$61=2,1,0),if(H72-$H$61=2,1,0),if(I72-$I$61=2,1,0),if(J72-$J$61=2,1,0),if(K72-$K$61=2,1,0),if(L72-$L$61=2,1,0),if(M72-$M$61=2,1,0),if(N72-$N$61=2,1,0),if(O72-$O$61=2,1,0),if(P72-$P$61=2,1,0),if(Q72-$Q$61=2,1,0),if(R72-$R$61=2,1,0),if(S72-$S$61=2,1,0),if(T72-$T$61=2,1,0),if(U72-$U$61=2,1,0))</f>
        <v>8</v>
      </c>
      <c r="AF72" s="38">
        <f t="array" ref="AF72">sum(if(D72-$D$61=3,1,0),if(E72-$E$61=3,1,0),if(F72-$F$61=3,1,0),if(G72-$G$61=3,1,0),if(H72-$H$61=3,1,0),if(I72-$I$61=3,1,0),if(J72-$J$61=3,1,0),if(K72-$K$61=3,1,0),if(L72-$L$61=3,1,0),if(M72-$M$61=3,1,0),if(N72-$N$61=3,1,0),if(O72-$O$61=3,1,0),if(P72-$P$61=3,1,0),if(Q72-$Q$61=3,1,0),if(R72-$R$61=3,1,0),if(S72-$S$61=3,1,0),if(T72-$T$61=3,1,0),if(U72-$U$61=3,1,0))</f>
        <v>0</v>
      </c>
      <c r="AG72" s="38">
        <f t="array" ref="AG72">sum(if(D72-$D$61&gt;3,1,0),if(E72-$E$61&gt;3,1,0),if(F72-$F$61&gt;3,1,0),if(G72-$G$61&gt;3,1,0),if(H72-$H$61&gt;3,1,0),if(I72-$I$61&gt;3,1,0),if(J72-$J$61&gt;3,1,0),if(K72-$K$61&gt;3,1,0),if(L72-$L$61&gt;3,1,0),if(M72-$M$61&gt;3,1,0),if(N72-$N$61&gt;3,1,0),if(O72-$O$61&gt;3,1,0),if(P72-$P$61&gt;3,1,0),if(Q72-$Q$61&gt;3,1,0),if(R72-$R$61&gt;3,1,0),if(S72-$S$61&gt;3,1,0),if(T72-$T$61&gt;3,1,0),if(U72-$U$61&gt;3,1,0))</f>
        <v>0</v>
      </c>
      <c r="AH72" s="38">
        <f t="shared" si="20"/>
        <v>18</v>
      </c>
    </row>
    <row r="73" ht="12.75" customHeight="1">
      <c r="A73" s="32" t="str">
        <f>SETUP!A16</f>
        <v>Scott R</v>
      </c>
      <c r="B73" s="33">
        <f t="array" ref="B73">if(A73="","",index(SETUP!F:F,match(A73,SETUP!A:A,0)))</f>
        <v>8</v>
      </c>
      <c r="C73" s="40"/>
      <c r="D73" s="35">
        <v>4.0</v>
      </c>
      <c r="E73" s="35">
        <v>8.0</v>
      </c>
      <c r="F73" s="35">
        <v>4.0</v>
      </c>
      <c r="G73" s="35">
        <v>5.0</v>
      </c>
      <c r="H73" s="35">
        <v>5.0</v>
      </c>
      <c r="I73" s="35">
        <v>3.0</v>
      </c>
      <c r="J73" s="35">
        <v>3.0</v>
      </c>
      <c r="K73" s="35">
        <v>5.0</v>
      </c>
      <c r="L73" s="35">
        <v>6.0</v>
      </c>
      <c r="M73" s="35">
        <v>3.0</v>
      </c>
      <c r="N73" s="35">
        <v>5.0</v>
      </c>
      <c r="O73" s="35">
        <v>3.0</v>
      </c>
      <c r="P73" s="35">
        <v>4.0</v>
      </c>
      <c r="Q73" s="35">
        <v>5.0</v>
      </c>
      <c r="R73" s="35">
        <v>5.0</v>
      </c>
      <c r="S73" s="35">
        <v>7.0</v>
      </c>
      <c r="T73" s="35">
        <v>4.0</v>
      </c>
      <c r="U73" s="35">
        <v>5.0</v>
      </c>
      <c r="V73" s="36">
        <f t="shared" si="16"/>
        <v>43</v>
      </c>
      <c r="W73" s="36">
        <f t="shared" si="17"/>
        <v>41</v>
      </c>
      <c r="X73" s="36">
        <f t="shared" si="18"/>
        <v>84</v>
      </c>
      <c r="Y73" s="37">
        <f t="shared" si="19"/>
        <v>76</v>
      </c>
      <c r="Z73" s="38">
        <f t="array" ref="Z73">sum(if(D73-$D$61=-3,1,0),if(E73-$E$61=-3,1,0),if(F73-$F$61=-3,1,0),if(G73-$G$61=-3,1,0),if(H73-$H$61=-3,1,0),if(I73-$I$61=-3,1,0),if(J73-$J$61=-3,1,0),if(K73-$K$61=-3,1,0),if(L73-$L$61=-3,1,0),if(M73-$M$61=-3,1,0),if(N73-$N$61=-3,1,0),if(O73-$O$61=-3,1,0),if(P73-$P$61=-3,1,0),if(Q73-$Q$61=-3,1,0),if(R73-$R$61=-3,1,0),if(S73-$S$61=-3,1,0),if(T73-$T$61=-3,1,0),if(U73-$U$61=-3,1,0))</f>
        <v>0</v>
      </c>
      <c r="AA73" s="38">
        <f t="array" ref="AA73">sum(if(D73-$D$61=-2,1,0),if(E73-$E$61=-2,1,0),if(F73-$F$61=-2,1,0),if(G73-$G$61=-2,1,0),if(H73-$H$61=-2,1,0),if(I73-$I$61=-2,1,0),if(J73-$J$61=-2,1,0),if(K73-$K$61=-2,1,0),if(L73-$L$61=-2,1,0),if(M73-$M$61=-2,1,0),if(N73-$N$61=-2,1,0),if(O73-$O$61=-2,1,0),if(P73-$P$61=-2,1,0),if(Q73-$Q$61=-2,1,0),if(R73-$R$61=-2,1,0),if(S73-$S$61=-2,1,0),if(T73-$T$61=-2,1,0),if(U73-$U$61=-2,1,0))</f>
        <v>0</v>
      </c>
      <c r="AB73" s="38">
        <f t="array" ref="AB73">sum(if(D73-$D$61=-1,1,0),if(E73-$E$61=-1,1,0),if(F73-$F$61=-1,1,0),if(G73-$G$61=-1,1,0),if(H73-$H$61=-1,1,0),if(I73-$I$61=-1,1,0),if(J73-$J$61=-1,1,0),if(K73-$K$61=-1,1,0),if(L73-$L$61=-1,1,0),if(M73-$M$61=-1,1,0),if(N73-$N$61=-1,1,0),if(O73-$O$61=-1,1,0),if(P73-$P$61=-1,1,0),if(Q73-$Q$61=-1,1,0),if(R73-$R$61=-1,1,0),if(S73-$S$61=-1,1,0),if(T73-$T$61=-1,1,0),if(U73-$U$61=-1,1,0))</f>
        <v>1</v>
      </c>
      <c r="AC73" s="38">
        <f t="array" ref="AC73">sum(if(D73-$D$61=0,1,0),if(E73-$E$61=0,1,0),if(F73-$F$61=0,1,0),if(G73-$G$61=0,1,0),if(H73-$H$61=0,1,0),if(I73-$I$61=0,1,0),if(J73-$J$61=0,1,0),if(K73-$K$61=0,1,0),if(L73-$L$61=0,1,0),if(M73-$M$61=0,1,0),if(N73-$N$61=0,1,0),if(O73-$O$61=0,1,0),if(P73-$P$61=0,1,0),if(Q73-$Q$61=0,1,0),if(R73-$R$61=0,1,0),if(S73-$S$61=0,1,0),if(T73-$T$61=0,1,0),if(U73-$U$61=0,1,0))</f>
        <v>8</v>
      </c>
      <c r="AD73" s="38">
        <f t="array" ref="AD73">sum(if(D73-$D$61=1,1,0),if(E73-$E$61=1,1,0),if(F73-$F$61=1,1,0),if(G73-$G$61=1,1,0),if(H73-$H$61=1,1,0),if(I73-$I$61=1,1,0),if(J73-$J$61=1,1,0),if(K73-$K$61=1,1,0),if(L73-$L$61=1,1,0),if(M73-$M$61=1,1,0),if(N73-$N$61=1,1,0),if(O73-$O$61=1,1,0),if(P73-$P$61=1,1,0),if(Q73-$Q$61=1,1,0),if(R73-$R$61=1,1,0),if(S73-$S$61=1,1,0),if(T73-$T$61=1,1,0),if(U73-$U$61=1,1,0))</f>
        <v>7</v>
      </c>
      <c r="AE73" s="38">
        <f t="array" ref="AE73">sum(if(D73-$D$61=2,1,0),if(E73-$E$61=2,1,0),if(F73-$F$61=2,1,0),if(G73-$G$61=2,1,0),if(H73-$H$61=2,1,0),if(I73-$I$61=2,1,0),if(J73-$J$61=2,1,0),if(K73-$K$61=2,1,0),if(L73-$L$61=2,1,0),if(M73-$M$61=2,1,0),if(N73-$N$61=2,1,0),if(O73-$O$61=2,1,0),if(P73-$P$61=2,1,0),if(Q73-$Q$61=2,1,0),if(R73-$R$61=2,1,0),if(S73-$S$61=2,1,0),if(T73-$T$61=2,1,0),if(U73-$U$61=2,1,0))</f>
        <v>0</v>
      </c>
      <c r="AF73" s="38">
        <f t="array" ref="AF73">sum(if(D73-$D$61=3,1,0),if(E73-$E$61=3,1,0),if(F73-$F$61=3,1,0),if(G73-$G$61=3,1,0),if(H73-$H$61=3,1,0),if(I73-$I$61=3,1,0),if(J73-$J$61=3,1,0),if(K73-$K$61=3,1,0),if(L73-$L$61=3,1,0),if(M73-$M$61=3,1,0),if(N73-$N$61=3,1,0),if(O73-$O$61=3,1,0),if(P73-$P$61=3,1,0),if(Q73-$Q$61=3,1,0),if(R73-$R$61=3,1,0),if(S73-$S$61=3,1,0),if(T73-$T$61=3,1,0),if(U73-$U$61=3,1,0))</f>
        <v>2</v>
      </c>
      <c r="AG73" s="38">
        <f t="array" ref="AG73">sum(if(D73-$D$61&gt;3,1,0),if(E73-$E$61&gt;3,1,0),if(F73-$F$61&gt;3,1,0),if(G73-$G$61&gt;3,1,0),if(H73-$H$61&gt;3,1,0),if(I73-$I$61&gt;3,1,0),if(J73-$J$61&gt;3,1,0),if(K73-$K$61&gt;3,1,0),if(L73-$L$61&gt;3,1,0),if(M73-$M$61&gt;3,1,0),if(N73-$N$61&gt;3,1,0),if(O73-$O$61&gt;3,1,0),if(P73-$P$61&gt;3,1,0),if(Q73-$Q$61&gt;3,1,0),if(R73-$R$61&gt;3,1,0),if(S73-$S$61&gt;3,1,0),if(T73-$T$61&gt;3,1,0),if(U73-$U$61&gt;3,1,0))</f>
        <v>0</v>
      </c>
      <c r="AH73" s="38">
        <f t="shared" si="20"/>
        <v>18</v>
      </c>
    </row>
    <row r="74" ht="12.0" customHeight="1">
      <c r="A74" s="10"/>
      <c r="B74" s="11"/>
      <c r="C74" s="41" t="s">
        <v>19</v>
      </c>
      <c r="D74" s="42" t="str">
        <f t="array" ref="D74">IF(SUM(IF(IF('Betting SETUP'!$D$5:$D$16="Y", D62:D73, 10)=MIN(IF('Betting SETUP'!$D$5:$D$16="Y", D62:D73, 10)), 1, 0)) &gt; 1, "", INDEX('Betting SETUP'!$A$5:$A$16,MATCH(MIN(IF('Betting SETUP'!$D$5:$D$16="Y",D62:D73,10)),IF('Betting SETUP'!$D$5:$D$16="Y",D62:D73,10),0)))</f>
        <v/>
      </c>
      <c r="E74" s="42" t="str">
        <f t="array" ref="E74">IF(SUM(IF(IF('Betting SETUP'!$D$5:$D$16="Y", E62:E73, 10)=MIN(IF('Betting SETUP'!$D$5:$D$16="Y", E62:E73, 10)), 1, 0)) &gt; 1, "", INDEX('Betting SETUP'!$A$5:$A$16,MATCH(MIN(IF('Betting SETUP'!$D$5:$D$16="Y",E62:E73,10)),IF('Betting SETUP'!$D$5:$D$16="Y",E62:E73,10),0)))</f>
        <v/>
      </c>
      <c r="F74" s="42" t="str">
        <f t="array" ref="F74">IF(SUM(IF(IF('Betting SETUP'!$D$5:$D$16="Y", F62:F73, 10)=MIN(IF('Betting SETUP'!$D$5:$D$16="Y", F62:F73, 10)), 1, 0)) &gt; 1, "", INDEX('Betting SETUP'!$A$5:$A$16,MATCH(MIN(IF('Betting SETUP'!$D$5:$D$16="Y",F62:F73,10)),IF('Betting SETUP'!$D$5:$D$16="Y",F62:F73,10),0)))</f>
        <v>Eric O</v>
      </c>
      <c r="G74" s="42" t="str">
        <f t="array" ref="G74">IF(SUM(IF(IF('Betting SETUP'!$D$5:$D$16="Y", G62:G73, 10)=MIN(IF('Betting SETUP'!$D$5:$D$16="Y", G62:G73, 10)), 1, 0)) &gt; 1, "", INDEX('Betting SETUP'!$A$5:$A$16,MATCH(MIN(IF('Betting SETUP'!$D$5:$D$16="Y",G62:G73,10)),IF('Betting SETUP'!$D$5:$D$16="Y",G62:G73,10),0)))</f>
        <v/>
      </c>
      <c r="H74" s="42" t="str">
        <f t="array" ref="H74">IF(SUM(IF(IF('Betting SETUP'!$D$5:$D$16="Y", H62:H73, 10)=MIN(IF('Betting SETUP'!$D$5:$D$16="Y", H62:H73, 10)), 1, 0)) &gt; 1, "", INDEX('Betting SETUP'!$A$5:$A$16,MATCH(MIN(IF('Betting SETUP'!$D$5:$D$16="Y",H62:H73,10)),IF('Betting SETUP'!$D$5:$D$16="Y",H62:H73,10),0)))</f>
        <v>Russ W</v>
      </c>
      <c r="I74" s="42" t="str">
        <f t="array" ref="I74">IF(SUM(IF(IF('Betting SETUP'!$D$5:$D$16="Y", I62:I73, 10)=MIN(IF('Betting SETUP'!$D$5:$D$16="Y", I62:I73, 10)), 1, 0)) &gt; 1, "", INDEX('Betting SETUP'!$A$5:$A$16,MATCH(MIN(IF('Betting SETUP'!$D$5:$D$16="Y",I62:I73,10)),IF('Betting SETUP'!$D$5:$D$16="Y",I62:I73,10),0)))</f>
        <v/>
      </c>
      <c r="J74" s="42" t="str">
        <f t="array" ref="J74">IF(SUM(IF(IF('Betting SETUP'!$D$5:$D$16="Y", J62:J73, 10)=MIN(IF('Betting SETUP'!$D$5:$D$16="Y", J62:J73, 10)), 1, 0)) &gt; 1, "", INDEX('Betting SETUP'!$A$5:$A$16,MATCH(MIN(IF('Betting SETUP'!$D$5:$D$16="Y",J62:J73,10)),IF('Betting SETUP'!$D$5:$D$16="Y",J62:J73,10),0)))</f>
        <v>Scott R</v>
      </c>
      <c r="K74" s="42" t="str">
        <f t="array" ref="K74">IF(SUM(IF(IF('Betting SETUP'!$D$5:$D$16="Y", K62:K73, 10)=MIN(IF('Betting SETUP'!$D$5:$D$16="Y", K62:K73, 10)), 1, 0)) &gt; 1, "", INDEX('Betting SETUP'!$A$5:$A$16,MATCH(MIN(IF('Betting SETUP'!$D$5:$D$16="Y",K62:K73,10)),IF('Betting SETUP'!$D$5:$D$16="Y",K62:K73,10),0)))</f>
        <v/>
      </c>
      <c r="L74" s="42" t="str">
        <f t="array" ref="L74">IF(SUM(IF(IF('Betting SETUP'!$D$5:$D$16="Y", L62:L73, 10)=MIN(IF('Betting SETUP'!$D$5:$D$16="Y", L62:L73, 10)), 1, 0)) &gt; 1, "", INDEX('Betting SETUP'!$A$5:$A$16,MATCH(MIN(IF('Betting SETUP'!$D$5:$D$16="Y",L62:L73,10)),IF('Betting SETUP'!$D$5:$D$16="Y",L62:L73,10),0)))</f>
        <v/>
      </c>
      <c r="M74" s="42" t="str">
        <f t="array" ref="M74">IF(SUM(IF(IF('Betting SETUP'!$D$5:$D$16="Y", M62:M73, 10)=MIN(IF('Betting SETUP'!$D$5:$D$16="Y", M62:M73, 10)), 1, 0)) &gt; 1, "", INDEX('Betting SETUP'!$A$5:$A$16,MATCH(MIN(IF('Betting SETUP'!$D$5:$D$16="Y",M62:M73,10)),IF('Betting SETUP'!$D$5:$D$16="Y",M62:M73,10),0)))</f>
        <v/>
      </c>
      <c r="N74" s="42" t="str">
        <f t="array" ref="N74">IF(SUM(IF(IF('Betting SETUP'!$D$5:$D$16="Y", N62:N73, 10)=MIN(IF('Betting SETUP'!$D$5:$D$16="Y", N62:N73, 10)), 1, 0)) &gt; 1, "", INDEX('Betting SETUP'!$A$5:$A$16,MATCH(MIN(IF('Betting SETUP'!$D$5:$D$16="Y",N62:N73,10)),IF('Betting SETUP'!$D$5:$D$16="Y",N62:N73,10),0)))</f>
        <v/>
      </c>
      <c r="O74" s="42" t="str">
        <f t="array" ref="O74">IF(SUM(IF(IF('Betting SETUP'!$D$5:$D$16="Y", O62:O73, 10)=MIN(IF('Betting SETUP'!$D$5:$D$16="Y", O62:O73, 10)), 1, 0)) &gt; 1, "", INDEX('Betting SETUP'!$A$5:$A$16,MATCH(MIN(IF('Betting SETUP'!$D$5:$D$16="Y",O62:O73,10)),IF('Betting SETUP'!$D$5:$D$16="Y",O62:O73,10),0)))</f>
        <v>Russ W</v>
      </c>
      <c r="P74" s="42" t="str">
        <f t="array" ref="P74">IF(SUM(IF(IF('Betting SETUP'!$D$5:$D$16="Y", P62:P73, 10)=MIN(IF('Betting SETUP'!$D$5:$D$16="Y", P62:P73, 10)), 1, 0)) &gt; 1, "", INDEX('Betting SETUP'!$A$5:$A$16,MATCH(MIN(IF('Betting SETUP'!$D$5:$D$16="Y",P62:P73,10)),IF('Betting SETUP'!$D$5:$D$16="Y",P62:P73,10),0)))</f>
        <v/>
      </c>
      <c r="Q74" s="42" t="str">
        <f t="array" ref="Q74">IF(SUM(IF(IF('Betting SETUP'!$D$5:$D$16="Y", Q62:Q73, 10)=MIN(IF('Betting SETUP'!$D$5:$D$16="Y", Q62:Q73, 10)), 1, 0)) &gt; 1, "", INDEX('Betting SETUP'!$A$5:$A$16,MATCH(MIN(IF('Betting SETUP'!$D$5:$D$16="Y",Q62:Q73,10)),IF('Betting SETUP'!$D$5:$D$16="Y",Q62:Q73,10),0)))</f>
        <v>Dave K</v>
      </c>
      <c r="R74" s="42" t="str">
        <f t="array" ref="R74">IF(SUM(IF(IF('Betting SETUP'!$D$5:$D$16="Y", R62:R73, 10)=MIN(IF('Betting SETUP'!$D$5:$D$16="Y", R62:R73, 10)), 1, 0)) &gt; 1, "", INDEX('Betting SETUP'!$A$5:$A$16,MATCH(MIN(IF('Betting SETUP'!$D$5:$D$16="Y",R62:R73,10)),IF('Betting SETUP'!$D$5:$D$16="Y",R62:R73,10),0)))</f>
        <v>Joe S</v>
      </c>
      <c r="S74" s="42" t="str">
        <f t="array" ref="S74">IF(SUM(IF(IF('Betting SETUP'!$D$5:$D$16="Y", S62:S73, 10)=MIN(IF('Betting SETUP'!$D$5:$D$16="Y", S62:S73, 10)), 1, 0)) &gt; 1, "", INDEX('Betting SETUP'!$A$5:$A$16,MATCH(MIN(IF('Betting SETUP'!$D$5:$D$16="Y",S62:S73,10)),IF('Betting SETUP'!$D$5:$D$16="Y",S62:S73,10),0)))</f>
        <v/>
      </c>
      <c r="T74" s="42" t="str">
        <f t="array" ref="T74">IF(SUM(IF(IF('Betting SETUP'!$D$5:$D$16="Y", T62:T73, 10)=MIN(IF('Betting SETUP'!$D$5:$D$16="Y", T62:T73, 10)), 1, 0)) &gt; 1, "", INDEX('Betting SETUP'!$A$5:$A$16,MATCH(MIN(IF('Betting SETUP'!$D$5:$D$16="Y",T62:T73,10)),IF('Betting SETUP'!$D$5:$D$16="Y",T62:T73,10),0)))</f>
        <v/>
      </c>
      <c r="U74" s="42" t="str">
        <f t="array" ref="U74">IF(SUM(IF(IF('Betting SETUP'!$D$5:$D$16="Y", U62:U73, 10)=MIN(IF('Betting SETUP'!$D$5:$D$16="Y", U62:U73, 10)), 1, 0)) &gt; 1, "", INDEX('Betting SETUP'!$A$5:$A$16,MATCH(MIN(IF('Betting SETUP'!$D$5:$D$16="Y",U62:U73,10)),IF('Betting SETUP'!$D$5:$D$16="Y",U62:U73,10),0)))</f>
        <v/>
      </c>
      <c r="V74" s="14"/>
      <c r="W74" s="15"/>
      <c r="X74" s="42">
        <f>18-COUNTBLANK(D74:U74)</f>
        <v>6</v>
      </c>
      <c r="Y74" s="43"/>
      <c r="Z74" s="44"/>
      <c r="AA74" s="44"/>
      <c r="AB74" s="44"/>
      <c r="AC74" s="44"/>
      <c r="AD74" s="44"/>
      <c r="AE74" s="44"/>
      <c r="AF74" s="44"/>
      <c r="AG74" s="44"/>
      <c r="AH74" s="44"/>
    </row>
    <row r="75" ht="12.75" customHeight="1">
      <c r="A75" s="10"/>
      <c r="B75" s="11"/>
      <c r="C75" s="41" t="s">
        <v>20</v>
      </c>
      <c r="D75" s="42"/>
      <c r="E75" s="45"/>
      <c r="F75" s="45" t="s">
        <v>25</v>
      </c>
      <c r="G75" s="45"/>
      <c r="H75" s="45"/>
      <c r="I75" s="45" t="s">
        <v>29</v>
      </c>
      <c r="J75" s="45"/>
      <c r="K75" s="45"/>
      <c r="L75" s="45"/>
      <c r="M75" s="45" t="s">
        <v>25</v>
      </c>
      <c r="N75" s="45"/>
      <c r="O75" s="45" t="s">
        <v>30</v>
      </c>
      <c r="P75" s="45"/>
      <c r="Q75" s="45"/>
      <c r="R75" s="45"/>
      <c r="S75" s="42"/>
      <c r="T75" s="45" t="s">
        <v>21</v>
      </c>
      <c r="U75" s="42"/>
      <c r="V75" s="42"/>
      <c r="W75" s="42"/>
      <c r="X75" s="42">
        <f>COUNTA(D75:U75)</f>
        <v>5</v>
      </c>
      <c r="Y75" s="43"/>
      <c r="Z75" s="44"/>
      <c r="AA75" s="44"/>
      <c r="AB75" s="44"/>
      <c r="AC75" s="44"/>
      <c r="AD75" s="44"/>
      <c r="AE75" s="44"/>
      <c r="AF75" s="44"/>
      <c r="AG75" s="44"/>
      <c r="AH75" s="44"/>
    </row>
  </sheetData>
  <mergeCells count="4">
    <mergeCell ref="C1:U1"/>
    <mergeCell ref="C20:U20"/>
    <mergeCell ref="C39:U39"/>
    <mergeCell ref="C58:U58"/>
  </mergeCells>
  <conditionalFormatting sqref="D18:U18 D37:U37 D56:U56 D75:U75">
    <cfRule type="expression" dxfId="4" priority="1">
      <formula>D4=3</formula>
    </cfRule>
  </conditionalFormatting>
  <conditionalFormatting sqref="C3">
    <cfRule type="expression" dxfId="5" priority="2">
      <formula>sum($D$3:$U$3)&lt;&gt;171</formula>
    </cfRule>
  </conditionalFormatting>
  <conditionalFormatting sqref="C22">
    <cfRule type="expression" dxfId="5" priority="3">
      <formula>sum($D$22:$U$22)&lt;&gt;171</formula>
    </cfRule>
  </conditionalFormatting>
  <conditionalFormatting sqref="C41">
    <cfRule type="expression" dxfId="5" priority="4">
      <formula>sum($D$41:$U$41)&lt;&gt;171</formula>
    </cfRule>
  </conditionalFormatting>
  <conditionalFormatting sqref="C60">
    <cfRule type="expression" dxfId="5" priority="5">
      <formula>sum($D$60:$U$60)&lt;&gt;171</formula>
    </cfRule>
  </conditionalFormatting>
  <dataValidations>
    <dataValidation type="list" allowBlank="1" showErrorMessage="1" sqref="A5:A16 D18:U18 A24:A35 D37:U37 A43:A54 D56:U56 A62:A73 D75:U75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34" width="7.29"/>
  </cols>
  <sheetData>
    <row r="1" ht="12.75" customHeight="1">
      <c r="A1" s="10"/>
      <c r="B1" s="11"/>
      <c r="C1" s="12" t="str">
        <f>SETUP!C1</f>
        <v>THE TRIBUTE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/>
      <c r="X1" s="16">
        <f>SETUP!C2</f>
        <v>72.9</v>
      </c>
      <c r="Y1" s="17">
        <f>SETUP!C3</f>
        <v>136</v>
      </c>
      <c r="Z1" s="18"/>
      <c r="AA1" s="18"/>
      <c r="AB1" s="18"/>
      <c r="AC1" s="18"/>
      <c r="AD1" s="18"/>
      <c r="AE1" s="18"/>
      <c r="AF1" s="18"/>
      <c r="AG1" s="18"/>
      <c r="AH1" s="18"/>
    </row>
    <row r="2" ht="12.75" customHeight="1">
      <c r="A2" s="10"/>
      <c r="B2" s="11"/>
      <c r="C2" s="17" t="s">
        <v>5</v>
      </c>
      <c r="D2" s="19">
        <v>1.0</v>
      </c>
      <c r="E2" s="19">
        <v>2.0</v>
      </c>
      <c r="F2" s="19">
        <v>3.0</v>
      </c>
      <c r="G2" s="19">
        <v>4.0</v>
      </c>
      <c r="H2" s="19">
        <v>5.0</v>
      </c>
      <c r="I2" s="19">
        <v>6.0</v>
      </c>
      <c r="J2" s="19">
        <v>7.0</v>
      </c>
      <c r="K2" s="19">
        <v>8.0</v>
      </c>
      <c r="L2" s="19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19">
        <v>16.0</v>
      </c>
      <c r="T2" s="19">
        <v>17.0</v>
      </c>
      <c r="U2" s="19">
        <v>18.0</v>
      </c>
      <c r="V2" s="42" t="s">
        <v>6</v>
      </c>
      <c r="W2" s="42" t="s">
        <v>7</v>
      </c>
      <c r="X2" s="19" t="s">
        <v>8</v>
      </c>
      <c r="Y2" s="19" t="s">
        <v>9</v>
      </c>
      <c r="Z2" s="20"/>
      <c r="AA2" s="20"/>
      <c r="AB2" s="20"/>
      <c r="AC2" s="20"/>
      <c r="AD2" s="20"/>
      <c r="AE2" s="20"/>
      <c r="AF2" s="20"/>
      <c r="AG2" s="20"/>
      <c r="AH2" s="20"/>
    </row>
    <row r="3" ht="12.75" customHeight="1">
      <c r="A3" s="21"/>
      <c r="B3" s="22"/>
      <c r="C3" s="23" t="s">
        <v>10</v>
      </c>
      <c r="D3" s="19">
        <f>Scorecards!D3</f>
        <v>13</v>
      </c>
      <c r="E3" s="19">
        <f>Scorecards!E3</f>
        <v>9</v>
      </c>
      <c r="F3" s="19">
        <f>Scorecards!F3</f>
        <v>17</v>
      </c>
      <c r="G3" s="19">
        <f>Scorecards!G3</f>
        <v>7</v>
      </c>
      <c r="H3" s="19">
        <f>Scorecards!H3</f>
        <v>5</v>
      </c>
      <c r="I3" s="19">
        <f>Scorecards!I3</f>
        <v>11</v>
      </c>
      <c r="J3" s="19">
        <f>Scorecards!J3</f>
        <v>3</v>
      </c>
      <c r="K3" s="19">
        <f>Scorecards!K3</f>
        <v>1</v>
      </c>
      <c r="L3" s="19">
        <f>Scorecards!L3</f>
        <v>15</v>
      </c>
      <c r="M3" s="19">
        <f>Scorecards!M3</f>
        <v>12</v>
      </c>
      <c r="N3" s="19">
        <f>Scorecards!N3</f>
        <v>8</v>
      </c>
      <c r="O3" s="19">
        <f>Scorecards!O3</f>
        <v>6</v>
      </c>
      <c r="P3" s="19">
        <f>Scorecards!P3</f>
        <v>14</v>
      </c>
      <c r="Q3" s="19">
        <f>Scorecards!Q3</f>
        <v>4</v>
      </c>
      <c r="R3" s="19">
        <f>Scorecards!R3</f>
        <v>16</v>
      </c>
      <c r="S3" s="19">
        <f>Scorecards!S3</f>
        <v>2</v>
      </c>
      <c r="T3" s="19">
        <f>Scorecards!T3</f>
        <v>18</v>
      </c>
      <c r="U3" s="19">
        <f>Scorecards!U3</f>
        <v>10</v>
      </c>
      <c r="V3" s="25"/>
      <c r="W3" s="25"/>
      <c r="X3" s="26"/>
      <c r="Y3" s="26"/>
      <c r="Z3" s="27"/>
      <c r="AA3" s="27"/>
      <c r="AB3" s="27"/>
      <c r="AC3" s="27"/>
      <c r="AD3" s="27"/>
      <c r="AE3" s="27"/>
      <c r="AF3" s="27"/>
      <c r="AG3" s="27"/>
      <c r="AH3" s="27"/>
    </row>
    <row r="4" ht="12.75" customHeight="1">
      <c r="A4" s="28" t="str">
        <f>SETUP!A4</f>
        <v>Player</v>
      </c>
      <c r="B4" s="29" t="s">
        <v>10</v>
      </c>
      <c r="C4" s="17" t="s">
        <v>11</v>
      </c>
      <c r="D4" s="49">
        <f>Scorecards!D4</f>
        <v>4</v>
      </c>
      <c r="E4" s="49">
        <f>Scorecards!E4</f>
        <v>4</v>
      </c>
      <c r="F4" s="49">
        <f>Scorecards!F4</f>
        <v>4</v>
      </c>
      <c r="G4" s="49">
        <f>Scorecards!G4</f>
        <v>5</v>
      </c>
      <c r="H4" s="49">
        <f>Scorecards!H4</f>
        <v>4</v>
      </c>
      <c r="I4" s="49">
        <f>Scorecards!I4</f>
        <v>3</v>
      </c>
      <c r="J4" s="49">
        <f>Scorecards!J4</f>
        <v>5</v>
      </c>
      <c r="K4" s="49">
        <f>Scorecards!K4</f>
        <v>4</v>
      </c>
      <c r="L4" s="49">
        <f>Scorecards!L4</f>
        <v>3</v>
      </c>
      <c r="M4" s="49">
        <f>Scorecards!M4</f>
        <v>4</v>
      </c>
      <c r="N4" s="49">
        <f>Scorecards!N4</f>
        <v>5</v>
      </c>
      <c r="O4" s="49">
        <f>Scorecards!O4</f>
        <v>4</v>
      </c>
      <c r="P4" s="49">
        <f>Scorecards!P4</f>
        <v>3</v>
      </c>
      <c r="Q4" s="49">
        <f>Scorecards!Q4</f>
        <v>4</v>
      </c>
      <c r="R4" s="49">
        <f>Scorecards!R4</f>
        <v>4</v>
      </c>
      <c r="S4" s="49">
        <f>Scorecards!S4</f>
        <v>5</v>
      </c>
      <c r="T4" s="49">
        <f>Scorecards!T4</f>
        <v>3</v>
      </c>
      <c r="U4" s="49">
        <f>Scorecards!U4</f>
        <v>4</v>
      </c>
      <c r="V4" s="30">
        <f t="shared" ref="V4:V16" si="1">SUM(D4:L4)</f>
        <v>36</v>
      </c>
      <c r="W4" s="30">
        <f t="shared" ref="W4:W16" si="2">SUM(M4:U4)</f>
        <v>36</v>
      </c>
      <c r="X4" s="30">
        <f>V4+W4</f>
        <v>72</v>
      </c>
      <c r="Y4" s="30"/>
      <c r="Z4" s="31" t="s">
        <v>12</v>
      </c>
      <c r="AA4" s="31" t="s">
        <v>13</v>
      </c>
      <c r="AB4" s="31" t="s">
        <v>14</v>
      </c>
      <c r="AC4" s="31" t="s">
        <v>11</v>
      </c>
      <c r="AD4" s="31" t="s">
        <v>15</v>
      </c>
      <c r="AE4" s="31" t="s">
        <v>16</v>
      </c>
      <c r="AF4" s="31" t="s">
        <v>17</v>
      </c>
      <c r="AG4" s="31" t="s">
        <v>18</v>
      </c>
      <c r="AH4" s="27"/>
    </row>
    <row r="5" ht="12.75" customHeight="1">
      <c r="A5" s="32" t="str">
        <f>SETUP!A5</f>
        <v>Aaron J</v>
      </c>
      <c r="B5" s="33">
        <f t="array" ref="B5">if(A5="","",index(SETUP!C:C,match(A5,SETUP!A:A,0)))</f>
        <v>9</v>
      </c>
      <c r="C5" s="17"/>
      <c r="D5" s="35">
        <f>if(Scorecards!D5="","",Scorecards!D5-IF(Scorecards!$B5&gt;0,FLOOR(Scorecards!$B5/18,1),0)-IF(AND(MOD(Scorecards!$B5,18)&gt;=Scorecards!D$3,Scorecards!$B5&gt;0),1,0)+IF(Scorecards!D$3-18&gt;Scorecards!$B5,1,0))</f>
        <v>5</v>
      </c>
      <c r="E5" s="35">
        <f>if(Scorecards!E5="","",Scorecards!E5-IF(Scorecards!$B5&gt;0,FLOOR(Scorecards!$B5/18,1),0)-IF(AND(MOD(Scorecards!$B5,18)&gt;=Scorecards!E$3,Scorecards!$B5&gt;0),1,0)+IF(Scorecards!E$3-18&gt;Scorecards!$B5,1,0))</f>
        <v>3</v>
      </c>
      <c r="F5" s="35">
        <f>if(Scorecards!F5="","",Scorecards!F5-IF(Scorecards!$B5&gt;0,FLOOR(Scorecards!$B5/18,1),0)-IF(AND(MOD(Scorecards!$B5,18)&gt;=Scorecards!F$3,Scorecards!$B5&gt;0),1,0)+IF(Scorecards!F$3-18&gt;Scorecards!$B5,1,0))</f>
        <v>4</v>
      </c>
      <c r="G5" s="35">
        <f>if(Scorecards!G5="","",Scorecards!G5-IF(Scorecards!$B5&gt;0,FLOOR(Scorecards!$B5/18,1),0)-IF(AND(MOD(Scorecards!$B5,18)&gt;=Scorecards!G$3,Scorecards!$B5&gt;0),1,0)+IF(Scorecards!G$3-18&gt;Scorecards!$B5,1,0))</f>
        <v>5</v>
      </c>
      <c r="H5" s="35">
        <f>if(Scorecards!H5="","",Scorecards!H5-IF(Scorecards!$B5&gt;0,FLOOR(Scorecards!$B5/18,1),0)-IF(AND(MOD(Scorecards!$B5,18)&gt;=Scorecards!H$3,Scorecards!$B5&gt;0),1,0)+IF(Scorecards!H$3-18&gt;Scorecards!$B5,1,0))</f>
        <v>4</v>
      </c>
      <c r="I5" s="35">
        <f>if(Scorecards!I5="","",Scorecards!I5-IF(Scorecards!$B5&gt;0,FLOOR(Scorecards!$B5/18,1),0)-IF(AND(MOD(Scorecards!$B5,18)&gt;=Scorecards!I$3,Scorecards!$B5&gt;0),1,0)+IF(Scorecards!I$3-18&gt;Scorecards!$B5,1,0))</f>
        <v>3</v>
      </c>
      <c r="J5" s="35">
        <f>if(Scorecards!J5="","",Scorecards!J5-IF(Scorecards!$B5&gt;0,FLOOR(Scorecards!$B5/18,1),0)-IF(AND(MOD(Scorecards!$B5,18)&gt;=Scorecards!J$3,Scorecards!$B5&gt;0),1,0)+IF(Scorecards!J$3-18&gt;Scorecards!$B5,1,0))</f>
        <v>5</v>
      </c>
      <c r="K5" s="35">
        <f>if(Scorecards!K5="","",Scorecards!K5-IF(Scorecards!$B5&gt;0,FLOOR(Scorecards!$B5/18,1),0)-IF(AND(MOD(Scorecards!$B5,18)&gt;=Scorecards!K$3,Scorecards!$B5&gt;0),1,0)+IF(Scorecards!K$3-18&gt;Scorecards!$B5,1,0))</f>
        <v>5</v>
      </c>
      <c r="L5" s="35">
        <f>if(Scorecards!L5="","",Scorecards!L5-IF(Scorecards!$B5&gt;0,FLOOR(Scorecards!$B5/18,1),0)-IF(AND(MOD(Scorecards!$B5,18)&gt;=Scorecards!L$3,Scorecards!$B5&gt;0),1,0)+IF(Scorecards!L$3-18&gt;Scorecards!$B5,1,0))</f>
        <v>3</v>
      </c>
      <c r="M5" s="35">
        <f>if(Scorecards!M5="","",Scorecards!M5-IF(Scorecards!$B5&gt;0,FLOOR(Scorecards!$B5/18,1),0)-IF(AND(MOD(Scorecards!$B5,18)&gt;=Scorecards!M$3,Scorecards!$B5&gt;0),1,0)+IF(Scorecards!M$3-18&gt;Scorecards!$B5,1,0))</f>
        <v>5</v>
      </c>
      <c r="N5" s="35">
        <f>if(Scorecards!N5="","",Scorecards!N5-IF(Scorecards!$B5&gt;0,FLOOR(Scorecards!$B5/18,1),0)-IF(AND(MOD(Scorecards!$B5,18)&gt;=Scorecards!N$3,Scorecards!$B5&gt;0),1,0)+IF(Scorecards!N$3-18&gt;Scorecards!$B5,1,0))</f>
        <v>4</v>
      </c>
      <c r="O5" s="35">
        <f>if(Scorecards!O5="","",Scorecards!O5-IF(Scorecards!$B5&gt;0,FLOOR(Scorecards!$B5/18,1),0)-IF(AND(MOD(Scorecards!$B5,18)&gt;=Scorecards!O$3,Scorecards!$B5&gt;0),1,0)+IF(Scorecards!O$3-18&gt;Scorecards!$B5,1,0))</f>
        <v>7</v>
      </c>
      <c r="P5" s="35">
        <f>if(Scorecards!P5="","",Scorecards!P5-IF(Scorecards!$B5&gt;0,FLOOR(Scorecards!$B5/18,1),0)-IF(AND(MOD(Scorecards!$B5,18)&gt;=Scorecards!P$3,Scorecards!$B5&gt;0),1,0)+IF(Scorecards!P$3-18&gt;Scorecards!$B5,1,0))</f>
        <v>3</v>
      </c>
      <c r="Q5" s="35">
        <f>if(Scorecards!Q5="","",Scorecards!Q5-IF(Scorecards!$B5&gt;0,FLOOR(Scorecards!$B5/18,1),0)-IF(AND(MOD(Scorecards!$B5,18)&gt;=Scorecards!Q$3,Scorecards!$B5&gt;0),1,0)+IF(Scorecards!Q$3-18&gt;Scorecards!$B5,1,0))</f>
        <v>5</v>
      </c>
      <c r="R5" s="35">
        <f>if(Scorecards!R5="","",Scorecards!R5-IF(Scorecards!$B5&gt;0,FLOOR(Scorecards!$B5/18,1),0)-IF(AND(MOD(Scorecards!$B5,18)&gt;=Scorecards!R$3,Scorecards!$B5&gt;0),1,0)+IF(Scorecards!R$3-18&gt;Scorecards!$B5,1,0))</f>
        <v>3</v>
      </c>
      <c r="S5" s="35">
        <f>if(Scorecards!S5="","",Scorecards!S5-IF(Scorecards!$B5&gt;0,FLOOR(Scorecards!$B5/18,1),0)-IF(AND(MOD(Scorecards!$B5,18)&gt;=Scorecards!S$3,Scorecards!$B5&gt;0),1,0)+IF(Scorecards!S$3-18&gt;Scorecards!$B5,1,0))</f>
        <v>3</v>
      </c>
      <c r="T5" s="35">
        <f>if(Scorecards!T5="","",Scorecards!T5-IF(Scorecards!$B5&gt;0,FLOOR(Scorecards!$B5/18,1),0)-IF(AND(MOD(Scorecards!$B5,18)&gt;=Scorecards!T$3,Scorecards!$B5&gt;0),1,0)+IF(Scorecards!T$3-18&gt;Scorecards!$B5,1,0))</f>
        <v>3</v>
      </c>
      <c r="U5" s="35">
        <f>if(Scorecards!U5="","",Scorecards!U5-IF(Scorecards!$B5&gt;0,FLOOR(Scorecards!$B5/18,1),0)-IF(AND(MOD(Scorecards!$B5,18)&gt;=Scorecards!U$3,Scorecards!$B5&gt;0),1,0)+IF(Scorecards!U$3-18&gt;Scorecards!$B5,1,0))</f>
        <v>4</v>
      </c>
      <c r="V5" s="36">
        <f t="shared" si="1"/>
        <v>37</v>
      </c>
      <c r="W5" s="36">
        <f t="shared" si="2"/>
        <v>37</v>
      </c>
      <c r="X5" s="36">
        <f t="shared" ref="X5:X16" si="3">IF(W5&gt;0,V5+W5,"")</f>
        <v>74</v>
      </c>
      <c r="Y5" s="37">
        <f t="shared" ref="Y5:Y16" si="4">IF(W5=0,"",X5-B5)</f>
        <v>65</v>
      </c>
      <c r="Z5" s="38">
        <f t="array" ref="Z5">sum(if(D5-$D$4=-3,1,0),if(E5-$E$4=-3,1,0),if(F5-$F$4=-3,1,0),if(G5-$G$4=-3,1,0),if(H5-$H$4=-3,1,0),if(I5-$I$4=-3,1,0),if(J5-$J$4=-3,1,0),if(K5-$K$4=-3,1,0),if(L5-$L$4=-3,1,0),if(M5-$M$4=-3,1,0),if(N5-$N$4=-3,1,0),if(O5-$O$4=-3,1,0),if(P5-$P$4=-3,1,0),if(Q5-$Q$4=-3,1,0),if(R5-$R$4=-3,1,0),if(S5-$S$4=-3,1,0),if(T5-$T$4=-3,1,0),if(U5-$U$4=-3,1,0))</f>
        <v>0</v>
      </c>
      <c r="AA5" s="38">
        <f t="array" ref="AA5">sum(if(D5-$D$4=-2,1,0),if(E5-$E$4=-2,1,0),if(F5-$F$4=-2,1,0),if(G5-$G$4=-2,1,0),if(H5-$H$4=-2,1,0),if(I5-$I$4=-2,1,0),if(J5-$J$4=-2,1,0),if(K5-$K$4=-2,1,0),if(L5-$L$4=-2,1,0),if(M5-$M$4=-2,1,0),if(N5-$N$4=-2,1,0),if(O5-$O$4=-2,1,0),if(P5-$P$4=-2,1,0),if(Q5-$Q$4=-2,1,0),if(R5-$R$4=-2,1,0),if(S5-$S$4=-2,1,0),if(T5-$T$4=-2,1,0),if(U5-$U$4=-2,1,0))</f>
        <v>1</v>
      </c>
      <c r="AB5" s="38">
        <f t="array" ref="AB5">sum(if(D5-$D$4=-1,1,0),if(E5-$E$4=-1,1,0),if(F5-$F$4=-1,1,0),if(G5-$G$4=-1,1,0),if(H5-$H$4=-1,1,0),if(I5-$I$4=-1,1,0),if(J5-$J$4=-1,1,0),if(K5-$K$4=-1,1,0),if(L5-$L$4=-1,1,0),if(M5-$M$4=-1,1,0),if(N5-$N$4=-1,1,0),if(O5-$O$4=-1,1,0),if(P5-$P$4=-1,1,0),if(Q5-$Q$4=-1,1,0),if(R5-$R$4=-1,1,0),if(S5-$S$4=-1,1,0),if(T5-$T$4=-1,1,0),if(U5-$U$4=-1,1,0))</f>
        <v>3</v>
      </c>
      <c r="AC5" s="38">
        <f t="array" ref="AC5">sum(if(D5-$D$4=0,1,0),if(E5-$E$4=0,1,0),if(F5-$F$4=0,1,0),if(G5-$G$4=0,1,0),if(H5-$H$4=0,1,0),if(I5-$I$4=0,1,0),if(J5-$J$4=0,1,0),if(K5-$K$4=0,1,0),if(L5-$L$4=0,1,0),if(M5-$M$4=0,1,0),if(N5-$N$4=0,1,0),if(O5-$O$4=0,1,0),if(P5-$P$4=0,1,0),if(Q5-$Q$4=0,1,0),if(R5-$R$4=0,1,0),if(S5-$S$4=0,1,0),if(T5-$T$4=0,1,0),if(U5-$U$4=0,1,0))</f>
        <v>9</v>
      </c>
      <c r="AD5" s="38">
        <f t="array" ref="AD5">sum(if(D5-$D$4=1,1,0),if(E5-$E$4=1,1,0),if(F5-$F$4=1,1,0),if(G5-$G$4=1,1,0),if(H5-$H$4=1,1,0),if(I5-$I$4=1,1,0),if(J5-$J$4=1,1,0),if(K5-$K$4=1,1,0),if(L5-$L$4=1,1,0),if(M5-$M$4=1,1,0),if(N5-$N$4=1,1,0),if(O5-$O$4=1,1,0),if(P5-$P$4=1,1,0),if(Q5-$Q$4=1,1,0),if(R5-$R$4=1,1,0),if(S5-$S$4=1,1,0),if(T5-$T$4=1,1,0),if(U5-$U$4=1,1,0))</f>
        <v>4</v>
      </c>
      <c r="AE5" s="38">
        <f t="array" ref="AE5">sum(if(D5-$D$4=2,1,0),if(E5-$E$4=2,1,0),if(F5-$F$4=2,1,0),if(G5-$G$4=2,1,0),if(H5-$H$4=2,1,0),if(I5-$I$4=2,1,0),if(J5-$J$4=2,1,0),if(K5-$K$4=2,1,0),if(L5-$L$4=2,1,0),if(M5-$M$4=2,1,0),if(N5-$N$4=2,1,0),if(O5-$O$4=2,1,0),if(P5-$P$4=2,1,0),if(Q5-$Q$4=2,1,0),if(R5-$R$4=2,1,0),if(S5-$S$4=2,1,0),if(T5-$T$4=2,1,0),if(U5-$U$4=2,1,0))</f>
        <v>0</v>
      </c>
      <c r="AF5" s="38">
        <f t="array" ref="AF5">sum(if(D5-$D$4=3,1,0),if(E5-$E$4=3,1,0),if(F5-$F$4=3,1,0),if(G5-$G$4=3,1,0),if(H5-$H$4=3,1,0),if(I5-$I$4=3,1,0),if(J5-$J$4=3,1,0),if(K5-$K$4=3,1,0),if(L5-$L$4=3,1,0),if(M5-$M$4=3,1,0),if(N5-$N$4=3,1,0),if(O5-$O$4=3,1,0),if(P5-$P$4=3,1,0),if(Q5-$Q$4=3,1,0),if(R5-$R$4=3,1,0),if(S5-$S$4=3,1,0),if(T5-$T$4=3,1,0),if(U5-$U$4=3,1,0))</f>
        <v>1</v>
      </c>
      <c r="AG5" s="38">
        <f t="array" ref="AG5">sum(if(D5-$D$4&gt;3,1,0),if(E5-$E$4&gt;3,1,0),if(F5-$F$4&gt;3,1,0),if(G5-$G$4&gt;3,1,0),if(H5-$H$4&gt;3,1,0),if(I5-$I$4&gt;3,1,0),if(J5-$J$4&gt;3,1,0),if(K5-$K$4&gt;3,1,0),if(L5-$L$4&gt;3,1,0),if(M5-$M$4&gt;3,1,0),if(N5-$N$4&gt;3,1,0),if(O5-$O$4&gt;3,1,0),if(P5-$P$4&gt;3,1,0),if(Q5-$Q$4&gt;3,1,0),if(R5-$R$4&gt;3,1,0),if(S5-$S$4&gt;3,1,0),if(T5-$T$4&gt;3,1,0),if(U5-$U$4&gt;3,1,0))</f>
        <v>0</v>
      </c>
      <c r="AH5" s="38">
        <f t="shared" ref="AH5:AH16" si="5">sum(Z5:AG5)</f>
        <v>18</v>
      </c>
    </row>
    <row r="6" ht="12.75" customHeight="1">
      <c r="A6" s="32" t="str">
        <f>SETUP!A6</f>
        <v>Andy V</v>
      </c>
      <c r="B6" s="33">
        <f t="array" ref="B6">if(A6="","",index(SETUP!C:C,match(A6,SETUP!A:A,0)))</f>
        <v>22</v>
      </c>
      <c r="C6" s="17"/>
      <c r="D6" s="35">
        <f>if(Scorecards!D6="","",Scorecards!D6-IF(Scorecards!$B6&gt;0,FLOOR(Scorecards!$B6/18,1),0)-IF(AND(MOD(Scorecards!$B6,18)&gt;=Scorecards!D$3,Scorecards!$B6&gt;0),1,0)+IF(Scorecards!D$3-18&gt;Scorecards!$B6,1,0))</f>
        <v>5</v>
      </c>
      <c r="E6" s="35">
        <f>if(Scorecards!E6="","",Scorecards!E6-IF(Scorecards!$B6&gt;0,FLOOR(Scorecards!$B6/18,1),0)-IF(AND(MOD(Scorecards!$B6,18)&gt;=Scorecards!E$3,Scorecards!$B6&gt;0),1,0)+IF(Scorecards!E$3-18&gt;Scorecards!$B6,1,0))</f>
        <v>6</v>
      </c>
      <c r="F6" s="35">
        <f>if(Scorecards!F6="","",Scorecards!F6-IF(Scorecards!$B6&gt;0,FLOOR(Scorecards!$B6/18,1),0)-IF(AND(MOD(Scorecards!$B6,18)&gt;=Scorecards!F$3,Scorecards!$B6&gt;0),1,0)+IF(Scorecards!F$3-18&gt;Scorecards!$B6,1,0))</f>
        <v>3</v>
      </c>
      <c r="G6" s="35">
        <f>if(Scorecards!G6="","",Scorecards!G6-IF(Scorecards!$B6&gt;0,FLOOR(Scorecards!$B6/18,1),0)-IF(AND(MOD(Scorecards!$B6,18)&gt;=Scorecards!G$3,Scorecards!$B6&gt;0),1,0)+IF(Scorecards!G$3-18&gt;Scorecards!$B6,1,0))</f>
        <v>5</v>
      </c>
      <c r="H6" s="35">
        <f>if(Scorecards!H6="","",Scorecards!H6-IF(Scorecards!$B6&gt;0,FLOOR(Scorecards!$B6/18,1),0)-IF(AND(MOD(Scorecards!$B6,18)&gt;=Scorecards!H$3,Scorecards!$B6&gt;0),1,0)+IF(Scorecards!H$3-18&gt;Scorecards!$B6,1,0))</f>
        <v>5</v>
      </c>
      <c r="I6" s="35">
        <f>if(Scorecards!I6="","",Scorecards!I6-IF(Scorecards!$B6&gt;0,FLOOR(Scorecards!$B6/18,1),0)-IF(AND(MOD(Scorecards!$B6,18)&gt;=Scorecards!I$3,Scorecards!$B6&gt;0),1,0)+IF(Scorecards!I$3-18&gt;Scorecards!$B6,1,0))</f>
        <v>6</v>
      </c>
      <c r="J6" s="35">
        <f>if(Scorecards!J6="","",Scorecards!J6-IF(Scorecards!$B6&gt;0,FLOOR(Scorecards!$B6/18,1),0)-IF(AND(MOD(Scorecards!$B6,18)&gt;=Scorecards!J$3,Scorecards!$B6&gt;0),1,0)+IF(Scorecards!J$3-18&gt;Scorecards!$B6,1,0))</f>
        <v>5</v>
      </c>
      <c r="K6" s="35">
        <f>if(Scorecards!K6="","",Scorecards!K6-IF(Scorecards!$B6&gt;0,FLOOR(Scorecards!$B6/18,1),0)-IF(AND(MOD(Scorecards!$B6,18)&gt;=Scorecards!K$3,Scorecards!$B6&gt;0),1,0)+IF(Scorecards!K$3-18&gt;Scorecards!$B6,1,0))</f>
        <v>6</v>
      </c>
      <c r="L6" s="35">
        <f>if(Scorecards!L6="","",Scorecards!L6-IF(Scorecards!$B6&gt;0,FLOOR(Scorecards!$B6/18,1),0)-IF(AND(MOD(Scorecards!$B6,18)&gt;=Scorecards!L$3,Scorecards!$B6&gt;0),1,0)+IF(Scorecards!L$3-18&gt;Scorecards!$B6,1,0))</f>
        <v>4</v>
      </c>
      <c r="M6" s="35">
        <f>if(Scorecards!M6="","",Scorecards!M6-IF(Scorecards!$B6&gt;0,FLOOR(Scorecards!$B6/18,1),0)-IF(AND(MOD(Scorecards!$B6,18)&gt;=Scorecards!M$3,Scorecards!$B6&gt;0),1,0)+IF(Scorecards!M$3-18&gt;Scorecards!$B6,1,0))</f>
        <v>7</v>
      </c>
      <c r="N6" s="35">
        <f>if(Scorecards!N6="","",Scorecards!N6-IF(Scorecards!$B6&gt;0,FLOOR(Scorecards!$B6/18,1),0)-IF(AND(MOD(Scorecards!$B6,18)&gt;=Scorecards!N$3,Scorecards!$B6&gt;0),1,0)+IF(Scorecards!N$3-18&gt;Scorecards!$B6,1,0))</f>
        <v>7</v>
      </c>
      <c r="O6" s="35">
        <f>if(Scorecards!O6="","",Scorecards!O6-IF(Scorecards!$B6&gt;0,FLOOR(Scorecards!$B6/18,1),0)-IF(AND(MOD(Scorecards!$B6,18)&gt;=Scorecards!O$3,Scorecards!$B6&gt;0),1,0)+IF(Scorecards!O$3-18&gt;Scorecards!$B6,1,0))</f>
        <v>4</v>
      </c>
      <c r="P6" s="35">
        <f>if(Scorecards!P6="","",Scorecards!P6-IF(Scorecards!$B6&gt;0,FLOOR(Scorecards!$B6/18,1),0)-IF(AND(MOD(Scorecards!$B6,18)&gt;=Scorecards!P$3,Scorecards!$B6&gt;0),1,0)+IF(Scorecards!P$3-18&gt;Scorecards!$B6,1,0))</f>
        <v>2</v>
      </c>
      <c r="Q6" s="35">
        <f>if(Scorecards!Q6="","",Scorecards!Q6-IF(Scorecards!$B6&gt;0,FLOOR(Scorecards!$B6/18,1),0)-IF(AND(MOD(Scorecards!$B6,18)&gt;=Scorecards!Q$3,Scorecards!$B6&gt;0),1,0)+IF(Scorecards!Q$3-18&gt;Scorecards!$B6,1,0))</f>
        <v>4</v>
      </c>
      <c r="R6" s="35">
        <f>if(Scorecards!R6="","",Scorecards!R6-IF(Scorecards!$B6&gt;0,FLOOR(Scorecards!$B6/18,1),0)-IF(AND(MOD(Scorecards!$B6,18)&gt;=Scorecards!R$3,Scorecards!$B6&gt;0),1,0)+IF(Scorecards!R$3-18&gt;Scorecards!$B6,1,0))</f>
        <v>4</v>
      </c>
      <c r="S6" s="35">
        <f>if(Scorecards!S6="","",Scorecards!S6-IF(Scorecards!$B6&gt;0,FLOOR(Scorecards!$B6/18,1),0)-IF(AND(MOD(Scorecards!$B6,18)&gt;=Scorecards!S$3,Scorecards!$B6&gt;0),1,0)+IF(Scorecards!S$3-18&gt;Scorecards!$B6,1,0))</f>
        <v>4</v>
      </c>
      <c r="T6" s="35">
        <f>if(Scorecards!T6="","",Scorecards!T6-IF(Scorecards!$B6&gt;0,FLOOR(Scorecards!$B6/18,1),0)-IF(AND(MOD(Scorecards!$B6,18)&gt;=Scorecards!T$3,Scorecards!$B6&gt;0),1,0)+IF(Scorecards!T$3-18&gt;Scorecards!$B6,1,0))</f>
        <v>2</v>
      </c>
      <c r="U6" s="35">
        <f>if(Scorecards!U6="","",Scorecards!U6-IF(Scorecards!$B6&gt;0,FLOOR(Scorecards!$B6/18,1),0)-IF(AND(MOD(Scorecards!$B6,18)&gt;=Scorecards!U$3,Scorecards!$B6&gt;0),1,0)+IF(Scorecards!U$3-18&gt;Scorecards!$B6,1,0))</f>
        <v>3</v>
      </c>
      <c r="V6" s="36">
        <f t="shared" si="1"/>
        <v>45</v>
      </c>
      <c r="W6" s="36">
        <f t="shared" si="2"/>
        <v>37</v>
      </c>
      <c r="X6" s="36">
        <f t="shared" si="3"/>
        <v>82</v>
      </c>
      <c r="Y6" s="37">
        <f t="shared" si="4"/>
        <v>60</v>
      </c>
      <c r="Z6" s="38">
        <f t="array" ref="Z6">sum(if(D6-$D$4=-3,1,0),if(E6-$E$4=-3,1,0),if(F6-$F$4=-3,1,0),if(G6-$G$4=-3,1,0),if(H6-$H$4=-3,1,0),if(I6-$I$4=-3,1,0),if(J6-$J$4=-3,1,0),if(K6-$K$4=-3,1,0),if(L6-$L$4=-3,1,0),if(M6-$M$4=-3,1,0),if(N6-$N$4=-3,1,0),if(O6-$O$4=-3,1,0),if(P6-$P$4=-3,1,0),if(Q6-$Q$4=-3,1,0),if(R6-$R$4=-3,1,0),if(S6-$S$4=-3,1,0),if(T6-$T$4=-3,1,0),if(U6-$U$4=-3,1,0))</f>
        <v>0</v>
      </c>
      <c r="AA6" s="38">
        <f t="array" ref="AA6">sum(if(D6-$D$4=-2,1,0),if(E6-$E$4=-2,1,0),if(F6-$F$4=-2,1,0),if(G6-$G$4=-2,1,0),if(H6-$H$4=-2,1,0),if(I6-$I$4=-2,1,0),if(J6-$J$4=-2,1,0),if(K6-$K$4=-2,1,0),if(L6-$L$4=-2,1,0),if(M6-$M$4=-2,1,0),if(N6-$N$4=-2,1,0),if(O6-$O$4=-2,1,0),if(P6-$P$4=-2,1,0),if(Q6-$Q$4=-2,1,0),if(R6-$R$4=-2,1,0),if(S6-$S$4=-2,1,0),if(T6-$T$4=-2,1,0),if(U6-$U$4=-2,1,0))</f>
        <v>0</v>
      </c>
      <c r="AB6" s="38">
        <f t="array" ref="AB6">sum(if(D6-$D$4=-1,1,0),if(E6-$E$4=-1,1,0),if(F6-$F$4=-1,1,0),if(G6-$G$4=-1,1,0),if(H6-$H$4=-1,1,0),if(I6-$I$4=-1,1,0),if(J6-$J$4=-1,1,0),if(K6-$K$4=-1,1,0),if(L6-$L$4=-1,1,0),if(M6-$M$4=-1,1,0),if(N6-$N$4=-1,1,0),if(O6-$O$4=-1,1,0),if(P6-$P$4=-1,1,0),if(Q6-$Q$4=-1,1,0),if(R6-$R$4=-1,1,0),if(S6-$S$4=-1,1,0),if(T6-$T$4=-1,1,0),if(U6-$U$4=-1,1,0))</f>
        <v>5</v>
      </c>
      <c r="AC6" s="38">
        <f t="array" ref="AC6">sum(if(D6-$D$4=0,1,0),if(E6-$E$4=0,1,0),if(F6-$F$4=0,1,0),if(G6-$G$4=0,1,0),if(H6-$H$4=0,1,0),if(I6-$I$4=0,1,0),if(J6-$J$4=0,1,0),if(K6-$K$4=0,1,0),if(L6-$L$4=0,1,0),if(M6-$M$4=0,1,0),if(N6-$N$4=0,1,0),if(O6-$O$4=0,1,0),if(P6-$P$4=0,1,0),if(Q6-$Q$4=0,1,0),if(R6-$R$4=0,1,0),if(S6-$S$4=0,1,0),if(T6-$T$4=0,1,0),if(U6-$U$4=0,1,0))</f>
        <v>5</v>
      </c>
      <c r="AD6" s="38">
        <f t="array" ref="AD6">sum(if(D6-$D$4=1,1,0),if(E6-$E$4=1,1,0),if(F6-$F$4=1,1,0),if(G6-$G$4=1,1,0),if(H6-$H$4=1,1,0),if(I6-$I$4=1,1,0),if(J6-$J$4=1,1,0),if(K6-$K$4=1,1,0),if(L6-$L$4=1,1,0),if(M6-$M$4=1,1,0),if(N6-$N$4=1,1,0),if(O6-$O$4=1,1,0),if(P6-$P$4=1,1,0),if(Q6-$Q$4=1,1,0),if(R6-$R$4=1,1,0),if(S6-$S$4=1,1,0),if(T6-$T$4=1,1,0),if(U6-$U$4=1,1,0))</f>
        <v>3</v>
      </c>
      <c r="AE6" s="38">
        <f t="array" ref="AE6">sum(if(D6-$D$4=2,1,0),if(E6-$E$4=2,1,0),if(F6-$F$4=2,1,0),if(G6-$G$4=2,1,0),if(H6-$H$4=2,1,0),if(I6-$I$4=2,1,0),if(J6-$J$4=2,1,0),if(K6-$K$4=2,1,0),if(L6-$L$4=2,1,0),if(M6-$M$4=2,1,0),if(N6-$N$4=2,1,0),if(O6-$O$4=2,1,0),if(P6-$P$4=2,1,0),if(Q6-$Q$4=2,1,0),if(R6-$R$4=2,1,0),if(S6-$S$4=2,1,0),if(T6-$T$4=2,1,0),if(U6-$U$4=2,1,0))</f>
        <v>3</v>
      </c>
      <c r="AF6" s="38">
        <f t="array" ref="AF6">sum(if(D6-$D$4=3,1,0),if(E6-$E$4=3,1,0),if(F6-$F$4=3,1,0),if(G6-$G$4=3,1,0),if(H6-$H$4=3,1,0),if(I6-$I$4=3,1,0),if(J6-$J$4=3,1,0),if(K6-$K$4=3,1,0),if(L6-$L$4=3,1,0),if(M6-$M$4=3,1,0),if(N6-$N$4=3,1,0),if(O6-$O$4=3,1,0),if(P6-$P$4=3,1,0),if(Q6-$Q$4=3,1,0),if(R6-$R$4=3,1,0),if(S6-$S$4=3,1,0),if(T6-$T$4=3,1,0),if(U6-$U$4=3,1,0))</f>
        <v>2</v>
      </c>
      <c r="AG6" s="38">
        <f t="array" ref="AG6">sum(if(D6-$D$4&gt;3,1,0),if(E6-$E$4&gt;3,1,0),if(F6-$F$4&gt;3,1,0),if(G6-$G$4&gt;3,1,0),if(H6-$H$4&gt;3,1,0),if(I6-$I$4&gt;3,1,0),if(J6-$J$4&gt;3,1,0),if(K6-$K$4&gt;3,1,0),if(L6-$L$4&gt;3,1,0),if(M6-$M$4&gt;3,1,0),if(N6-$N$4&gt;3,1,0),if(O6-$O$4&gt;3,1,0),if(P6-$P$4&gt;3,1,0),if(Q6-$Q$4&gt;3,1,0),if(R6-$R$4&gt;3,1,0),if(S6-$S$4&gt;3,1,0),if(T6-$T$4&gt;3,1,0),if(U6-$U$4&gt;3,1,0))</f>
        <v>0</v>
      </c>
      <c r="AH6" s="38">
        <f t="shared" si="5"/>
        <v>18</v>
      </c>
    </row>
    <row r="7" ht="12.75" customHeight="1">
      <c r="A7" s="32" t="str">
        <f>SETUP!A7</f>
        <v>Bob B</v>
      </c>
      <c r="B7" s="33">
        <f t="array" ref="B7">if(A7="","",index(SETUP!C:C,match(A7,SETUP!A:A,0)))</f>
        <v>20</v>
      </c>
      <c r="C7" s="17"/>
      <c r="D7" s="35">
        <f>if(Scorecards!D7="","",Scorecards!D7-IF(Scorecards!$B7&gt;0,FLOOR(Scorecards!$B7/18,1),0)-IF(AND(MOD(Scorecards!$B7,18)&gt;=Scorecards!D$3,Scorecards!$B7&gt;0),1,0)+IF(Scorecards!D$3-18&gt;Scorecards!$B7,1,0))</f>
        <v>4</v>
      </c>
      <c r="E7" s="35">
        <f>if(Scorecards!E7="","",Scorecards!E7-IF(Scorecards!$B7&gt;0,FLOOR(Scorecards!$B7/18,1),0)-IF(AND(MOD(Scorecards!$B7,18)&gt;=Scorecards!E$3,Scorecards!$B7&gt;0),1,0)+IF(Scorecards!E$3-18&gt;Scorecards!$B7,1,0))</f>
        <v>5</v>
      </c>
      <c r="F7" s="35">
        <f>if(Scorecards!F7="","",Scorecards!F7-IF(Scorecards!$B7&gt;0,FLOOR(Scorecards!$B7/18,1),0)-IF(AND(MOD(Scorecards!$B7,18)&gt;=Scorecards!F$3,Scorecards!$B7&gt;0),1,0)+IF(Scorecards!F$3-18&gt;Scorecards!$B7,1,0))</f>
        <v>4</v>
      </c>
      <c r="G7" s="35">
        <f>if(Scorecards!G7="","",Scorecards!G7-IF(Scorecards!$B7&gt;0,FLOOR(Scorecards!$B7/18,1),0)-IF(AND(MOD(Scorecards!$B7,18)&gt;=Scorecards!G$3,Scorecards!$B7&gt;0),1,0)+IF(Scorecards!G$3-18&gt;Scorecards!$B7,1,0))</f>
        <v>7</v>
      </c>
      <c r="H7" s="35">
        <f>if(Scorecards!H7="","",Scorecards!H7-IF(Scorecards!$B7&gt;0,FLOOR(Scorecards!$B7/18,1),0)-IF(AND(MOD(Scorecards!$B7,18)&gt;=Scorecards!H$3,Scorecards!$B7&gt;0),1,0)+IF(Scorecards!H$3-18&gt;Scorecards!$B7,1,0))</f>
        <v>5</v>
      </c>
      <c r="I7" s="35">
        <f>if(Scorecards!I7="","",Scorecards!I7-IF(Scorecards!$B7&gt;0,FLOOR(Scorecards!$B7/18,1),0)-IF(AND(MOD(Scorecards!$B7,18)&gt;=Scorecards!I$3,Scorecards!$B7&gt;0),1,0)+IF(Scorecards!I$3-18&gt;Scorecards!$B7,1,0))</f>
        <v>2</v>
      </c>
      <c r="J7" s="35">
        <f>if(Scorecards!J7="","",Scorecards!J7-IF(Scorecards!$B7&gt;0,FLOOR(Scorecards!$B7/18,1),0)-IF(AND(MOD(Scorecards!$B7,18)&gt;=Scorecards!J$3,Scorecards!$B7&gt;0),1,0)+IF(Scorecards!J$3-18&gt;Scorecards!$B7,1,0))</f>
        <v>7</v>
      </c>
      <c r="K7" s="35">
        <f>if(Scorecards!K7="","",Scorecards!K7-IF(Scorecards!$B7&gt;0,FLOOR(Scorecards!$B7/18,1),0)-IF(AND(MOD(Scorecards!$B7,18)&gt;=Scorecards!K$3,Scorecards!$B7&gt;0),1,0)+IF(Scorecards!K$3-18&gt;Scorecards!$B7,1,0))</f>
        <v>4</v>
      </c>
      <c r="L7" s="35">
        <f>if(Scorecards!L7="","",Scorecards!L7-IF(Scorecards!$B7&gt;0,FLOOR(Scorecards!$B7/18,1),0)-IF(AND(MOD(Scorecards!$B7,18)&gt;=Scorecards!L$3,Scorecards!$B7&gt;0),1,0)+IF(Scorecards!L$3-18&gt;Scorecards!$B7,1,0))</f>
        <v>5</v>
      </c>
      <c r="M7" s="35">
        <f>if(Scorecards!M7="","",Scorecards!M7-IF(Scorecards!$B7&gt;0,FLOOR(Scorecards!$B7/18,1),0)-IF(AND(MOD(Scorecards!$B7,18)&gt;=Scorecards!M$3,Scorecards!$B7&gt;0),1,0)+IF(Scorecards!M$3-18&gt;Scorecards!$B7,1,0))</f>
        <v>4</v>
      </c>
      <c r="N7" s="35">
        <f>if(Scorecards!N7="","",Scorecards!N7-IF(Scorecards!$B7&gt;0,FLOOR(Scorecards!$B7/18,1),0)-IF(AND(MOD(Scorecards!$B7,18)&gt;=Scorecards!N$3,Scorecards!$B7&gt;0),1,0)+IF(Scorecards!N$3-18&gt;Scorecards!$B7,1,0))</f>
        <v>4</v>
      </c>
      <c r="O7" s="35">
        <f>if(Scorecards!O7="","",Scorecards!O7-IF(Scorecards!$B7&gt;0,FLOOR(Scorecards!$B7/18,1),0)-IF(AND(MOD(Scorecards!$B7,18)&gt;=Scorecards!O$3,Scorecards!$B7&gt;0),1,0)+IF(Scorecards!O$3-18&gt;Scorecards!$B7,1,0))</f>
        <v>4</v>
      </c>
      <c r="P7" s="35">
        <f>if(Scorecards!P7="","",Scorecards!P7-IF(Scorecards!$B7&gt;0,FLOOR(Scorecards!$B7/18,1),0)-IF(AND(MOD(Scorecards!$B7,18)&gt;=Scorecards!P$3,Scorecards!$B7&gt;0),1,0)+IF(Scorecards!P$3-18&gt;Scorecards!$B7,1,0))</f>
        <v>2</v>
      </c>
      <c r="Q7" s="35">
        <f>if(Scorecards!Q7="","",Scorecards!Q7-IF(Scorecards!$B7&gt;0,FLOOR(Scorecards!$B7/18,1),0)-IF(AND(MOD(Scorecards!$B7,18)&gt;=Scorecards!Q$3,Scorecards!$B7&gt;0),1,0)+IF(Scorecards!Q$3-18&gt;Scorecards!$B7,1,0))</f>
        <v>4</v>
      </c>
      <c r="R7" s="35">
        <f>if(Scorecards!R7="","",Scorecards!R7-IF(Scorecards!$B7&gt;0,FLOOR(Scorecards!$B7/18,1),0)-IF(AND(MOD(Scorecards!$B7,18)&gt;=Scorecards!R$3,Scorecards!$B7&gt;0),1,0)+IF(Scorecards!R$3-18&gt;Scorecards!$B7,1,0))</f>
        <v>6</v>
      </c>
      <c r="S7" s="35">
        <f>if(Scorecards!S7="","",Scorecards!S7-IF(Scorecards!$B7&gt;0,FLOOR(Scorecards!$B7/18,1),0)-IF(AND(MOD(Scorecards!$B7,18)&gt;=Scorecards!S$3,Scorecards!$B7&gt;0),1,0)+IF(Scorecards!S$3-18&gt;Scorecards!$B7,1,0))</f>
        <v>4</v>
      </c>
      <c r="T7" s="35">
        <f>if(Scorecards!T7="","",Scorecards!T7-IF(Scorecards!$B7&gt;0,FLOOR(Scorecards!$B7/18,1),0)-IF(AND(MOD(Scorecards!$B7,18)&gt;=Scorecards!T$3,Scorecards!$B7&gt;0),1,0)+IF(Scorecards!T$3-18&gt;Scorecards!$B7,1,0))</f>
        <v>2</v>
      </c>
      <c r="U7" s="35">
        <f>if(Scorecards!U7="","",Scorecards!U7-IF(Scorecards!$B7&gt;0,FLOOR(Scorecards!$B7/18,1),0)-IF(AND(MOD(Scorecards!$B7,18)&gt;=Scorecards!U$3,Scorecards!$B7&gt;0),1,0)+IF(Scorecards!U$3-18&gt;Scorecards!$B7,1,0))</f>
        <v>3</v>
      </c>
      <c r="V7" s="36">
        <f t="shared" si="1"/>
        <v>43</v>
      </c>
      <c r="W7" s="36">
        <f t="shared" si="2"/>
        <v>33</v>
      </c>
      <c r="X7" s="36">
        <f t="shared" si="3"/>
        <v>76</v>
      </c>
      <c r="Y7" s="37">
        <f t="shared" si="4"/>
        <v>56</v>
      </c>
      <c r="Z7" s="38">
        <f t="array" ref="Z7">sum(if(D7-$D$4=-3,1,0),if(E7-$E$4=-3,1,0),if(F7-$F$4=-3,1,0),if(G7-$G$4=-3,1,0),if(H7-$H$4=-3,1,0),if(I7-$I$4=-3,1,0),if(J7-$J$4=-3,1,0),if(K7-$K$4=-3,1,0),if(L7-$L$4=-3,1,0),if(M7-$M$4=-3,1,0),if(N7-$N$4=-3,1,0),if(O7-$O$4=-3,1,0),if(P7-$P$4=-3,1,0),if(Q7-$Q$4=-3,1,0),if(R7-$R$4=-3,1,0),if(S7-$S$4=-3,1,0),if(T7-$T$4=-3,1,0),if(U7-$U$4=-3,1,0))</f>
        <v>0</v>
      </c>
      <c r="AA7" s="38">
        <f t="array" ref="AA7">sum(if(D7-$D$4=-2,1,0),if(E7-$E$4=-2,1,0),if(F7-$F$4=-2,1,0),if(G7-$G$4=-2,1,0),if(H7-$H$4=-2,1,0),if(I7-$I$4=-2,1,0),if(J7-$J$4=-2,1,0),if(K7-$K$4=-2,1,0),if(L7-$L$4=-2,1,0),if(M7-$M$4=-2,1,0),if(N7-$N$4=-2,1,0),if(O7-$O$4=-2,1,0),if(P7-$P$4=-2,1,0),if(Q7-$Q$4=-2,1,0),if(R7-$R$4=-2,1,0),if(S7-$S$4=-2,1,0),if(T7-$T$4=-2,1,0),if(U7-$U$4=-2,1,0))</f>
        <v>0</v>
      </c>
      <c r="AB7" s="38">
        <f t="array" ref="AB7">sum(if(D7-$D$4=-1,1,0),if(E7-$E$4=-1,1,0),if(F7-$F$4=-1,1,0),if(G7-$G$4=-1,1,0),if(H7-$H$4=-1,1,0),if(I7-$I$4=-1,1,0),if(J7-$J$4=-1,1,0),if(K7-$K$4=-1,1,0),if(L7-$L$4=-1,1,0),if(M7-$M$4=-1,1,0),if(N7-$N$4=-1,1,0),if(O7-$O$4=-1,1,0),if(P7-$P$4=-1,1,0),if(Q7-$Q$4=-1,1,0),if(R7-$R$4=-1,1,0),if(S7-$S$4=-1,1,0),if(T7-$T$4=-1,1,0),if(U7-$U$4=-1,1,0))</f>
        <v>6</v>
      </c>
      <c r="AC7" s="38">
        <f t="array" ref="AC7">sum(if(D7-$D$4=0,1,0),if(E7-$E$4=0,1,0),if(F7-$F$4=0,1,0),if(G7-$G$4=0,1,0),if(H7-$H$4=0,1,0),if(I7-$I$4=0,1,0),if(J7-$J$4=0,1,0),if(K7-$K$4=0,1,0),if(L7-$L$4=0,1,0),if(M7-$M$4=0,1,0),if(N7-$N$4=0,1,0),if(O7-$O$4=0,1,0),if(P7-$P$4=0,1,0),if(Q7-$Q$4=0,1,0),if(R7-$R$4=0,1,0),if(S7-$S$4=0,1,0),if(T7-$T$4=0,1,0),if(U7-$U$4=0,1,0))</f>
        <v>6</v>
      </c>
      <c r="AD7" s="38">
        <f t="array" ref="AD7">sum(if(D7-$D$4=1,1,0),if(E7-$E$4=1,1,0),if(F7-$F$4=1,1,0),if(G7-$G$4=1,1,0),if(H7-$H$4=1,1,0),if(I7-$I$4=1,1,0),if(J7-$J$4=1,1,0),if(K7-$K$4=1,1,0),if(L7-$L$4=1,1,0),if(M7-$M$4=1,1,0),if(N7-$N$4=1,1,0),if(O7-$O$4=1,1,0),if(P7-$P$4=1,1,0),if(Q7-$Q$4=1,1,0),if(R7-$R$4=1,1,0),if(S7-$S$4=1,1,0),if(T7-$T$4=1,1,0),if(U7-$U$4=1,1,0))</f>
        <v>2</v>
      </c>
      <c r="AE7" s="38">
        <f t="array" ref="AE7">sum(if(D7-$D$4=2,1,0),if(E7-$E$4=2,1,0),if(F7-$F$4=2,1,0),if(G7-$G$4=2,1,0),if(H7-$H$4=2,1,0),if(I7-$I$4=2,1,0),if(J7-$J$4=2,1,0),if(K7-$K$4=2,1,0),if(L7-$L$4=2,1,0),if(M7-$M$4=2,1,0),if(N7-$N$4=2,1,0),if(O7-$O$4=2,1,0),if(P7-$P$4=2,1,0),if(Q7-$Q$4=2,1,0),if(R7-$R$4=2,1,0),if(S7-$S$4=2,1,0),if(T7-$T$4=2,1,0),if(U7-$U$4=2,1,0))</f>
        <v>4</v>
      </c>
      <c r="AF7" s="38">
        <f t="array" ref="AF7">sum(if(D7-$D$4=3,1,0),if(E7-$E$4=3,1,0),if(F7-$F$4=3,1,0),if(G7-$G$4=3,1,0),if(H7-$H$4=3,1,0),if(I7-$I$4=3,1,0),if(J7-$J$4=3,1,0),if(K7-$K$4=3,1,0),if(L7-$L$4=3,1,0),if(M7-$M$4=3,1,0),if(N7-$N$4=3,1,0),if(O7-$O$4=3,1,0),if(P7-$P$4=3,1,0),if(Q7-$Q$4=3,1,0),if(R7-$R$4=3,1,0),if(S7-$S$4=3,1,0),if(T7-$T$4=3,1,0),if(U7-$U$4=3,1,0))</f>
        <v>0</v>
      </c>
      <c r="AG7" s="38">
        <f t="array" ref="AG7">sum(if(D7-$D$4&gt;3,1,0),if(E7-$E$4&gt;3,1,0),if(F7-$F$4&gt;3,1,0),if(G7-$G$4&gt;3,1,0),if(H7-$H$4&gt;3,1,0),if(I7-$I$4&gt;3,1,0),if(J7-$J$4&gt;3,1,0),if(K7-$K$4&gt;3,1,0),if(L7-$L$4&gt;3,1,0),if(M7-$M$4&gt;3,1,0),if(N7-$N$4&gt;3,1,0),if(O7-$O$4&gt;3,1,0),if(P7-$P$4&gt;3,1,0),if(Q7-$Q$4&gt;3,1,0),if(R7-$R$4&gt;3,1,0),if(S7-$S$4&gt;3,1,0),if(T7-$T$4&gt;3,1,0),if(U7-$U$4&gt;3,1,0))</f>
        <v>0</v>
      </c>
      <c r="AH7" s="38">
        <f t="shared" si="5"/>
        <v>18</v>
      </c>
    </row>
    <row r="8" ht="12.75" customHeight="1">
      <c r="A8" s="32" t="str">
        <f>SETUP!A8</f>
        <v>Brian K</v>
      </c>
      <c r="B8" s="33">
        <f t="array" ref="B8">if(A8="","",index(SETUP!C:C,match(A8,SETUP!A:A,0)))</f>
        <v>13</v>
      </c>
      <c r="C8" s="17"/>
      <c r="D8" s="35">
        <f>if(Scorecards!D8="","",Scorecards!D8-IF(Scorecards!$B8&gt;0,FLOOR(Scorecards!$B8/18,1),0)-IF(AND(MOD(Scorecards!$B8,18)&gt;=Scorecards!D$3,Scorecards!$B8&gt;0),1,0)+IF(Scorecards!D$3-18&gt;Scorecards!$B8,1,0))</f>
        <v>3</v>
      </c>
      <c r="E8" s="35">
        <f>if(Scorecards!E8="","",Scorecards!E8-IF(Scorecards!$B8&gt;0,FLOOR(Scorecards!$B8/18,1),0)-IF(AND(MOD(Scorecards!$B8,18)&gt;=Scorecards!E$3,Scorecards!$B8&gt;0),1,0)+IF(Scorecards!E$3-18&gt;Scorecards!$B8,1,0))</f>
        <v>5</v>
      </c>
      <c r="F8" s="35">
        <f>if(Scorecards!F8="","",Scorecards!F8-IF(Scorecards!$B8&gt;0,FLOOR(Scorecards!$B8/18,1),0)-IF(AND(MOD(Scorecards!$B8,18)&gt;=Scorecards!F$3,Scorecards!$B8&gt;0),1,0)+IF(Scorecards!F$3-18&gt;Scorecards!$B8,1,0))</f>
        <v>6</v>
      </c>
      <c r="G8" s="35">
        <f>if(Scorecards!G8="","",Scorecards!G8-IF(Scorecards!$B8&gt;0,FLOOR(Scorecards!$B8/18,1),0)-IF(AND(MOD(Scorecards!$B8,18)&gt;=Scorecards!G$3,Scorecards!$B8&gt;0),1,0)+IF(Scorecards!G$3-18&gt;Scorecards!$B8,1,0))</f>
        <v>6</v>
      </c>
      <c r="H8" s="35">
        <f>if(Scorecards!H8="","",Scorecards!H8-IF(Scorecards!$B8&gt;0,FLOOR(Scorecards!$B8/18,1),0)-IF(AND(MOD(Scorecards!$B8,18)&gt;=Scorecards!H$3,Scorecards!$B8&gt;0),1,0)+IF(Scorecards!H$3-18&gt;Scorecards!$B8,1,0))</f>
        <v>4</v>
      </c>
      <c r="I8" s="35">
        <f>if(Scorecards!I8="","",Scorecards!I8-IF(Scorecards!$B8&gt;0,FLOOR(Scorecards!$B8/18,1),0)-IF(AND(MOD(Scorecards!$B8,18)&gt;=Scorecards!I$3,Scorecards!$B8&gt;0),1,0)+IF(Scorecards!I$3-18&gt;Scorecards!$B8,1,0))</f>
        <v>3</v>
      </c>
      <c r="J8" s="35">
        <f>if(Scorecards!J8="","",Scorecards!J8-IF(Scorecards!$B8&gt;0,FLOOR(Scorecards!$B8/18,1),0)-IF(AND(MOD(Scorecards!$B8,18)&gt;=Scorecards!J$3,Scorecards!$B8&gt;0),1,0)+IF(Scorecards!J$3-18&gt;Scorecards!$B8,1,0))</f>
        <v>7</v>
      </c>
      <c r="K8" s="35">
        <f>if(Scorecards!K8="","",Scorecards!K8-IF(Scorecards!$B8&gt;0,FLOOR(Scorecards!$B8/18,1),0)-IF(AND(MOD(Scorecards!$B8,18)&gt;=Scorecards!K$3,Scorecards!$B8&gt;0),1,0)+IF(Scorecards!K$3-18&gt;Scorecards!$B8,1,0))</f>
        <v>4</v>
      </c>
      <c r="L8" s="35">
        <f>if(Scorecards!L8="","",Scorecards!L8-IF(Scorecards!$B8&gt;0,FLOOR(Scorecards!$B8/18,1),0)-IF(AND(MOD(Scorecards!$B8,18)&gt;=Scorecards!L$3,Scorecards!$B8&gt;0),1,0)+IF(Scorecards!L$3-18&gt;Scorecards!$B8,1,0))</f>
        <v>4</v>
      </c>
      <c r="M8" s="35">
        <f>if(Scorecards!M8="","",Scorecards!M8-IF(Scorecards!$B8&gt;0,FLOOR(Scorecards!$B8/18,1),0)-IF(AND(MOD(Scorecards!$B8,18)&gt;=Scorecards!M$3,Scorecards!$B8&gt;0),1,0)+IF(Scorecards!M$3-18&gt;Scorecards!$B8,1,0))</f>
        <v>3</v>
      </c>
      <c r="N8" s="35">
        <f>if(Scorecards!N8="","",Scorecards!N8-IF(Scorecards!$B8&gt;0,FLOOR(Scorecards!$B8/18,1),0)-IF(AND(MOD(Scorecards!$B8,18)&gt;=Scorecards!N$3,Scorecards!$B8&gt;0),1,0)+IF(Scorecards!N$3-18&gt;Scorecards!$B8,1,0))</f>
        <v>7</v>
      </c>
      <c r="O8" s="35">
        <f>if(Scorecards!O8="","",Scorecards!O8-IF(Scorecards!$B8&gt;0,FLOOR(Scorecards!$B8/18,1),0)-IF(AND(MOD(Scorecards!$B8,18)&gt;=Scorecards!O$3,Scorecards!$B8&gt;0),1,0)+IF(Scorecards!O$3-18&gt;Scorecards!$B8,1,0))</f>
        <v>3</v>
      </c>
      <c r="P8" s="35">
        <f>if(Scorecards!P8="","",Scorecards!P8-IF(Scorecards!$B8&gt;0,FLOOR(Scorecards!$B8/18,1),0)-IF(AND(MOD(Scorecards!$B8,18)&gt;=Scorecards!P$3,Scorecards!$B8&gt;0),1,0)+IF(Scorecards!P$3-18&gt;Scorecards!$B8,1,0))</f>
        <v>3</v>
      </c>
      <c r="Q8" s="35">
        <f>if(Scorecards!Q8="","",Scorecards!Q8-IF(Scorecards!$B8&gt;0,FLOOR(Scorecards!$B8/18,1),0)-IF(AND(MOD(Scorecards!$B8,18)&gt;=Scorecards!Q$3,Scorecards!$B8&gt;0),1,0)+IF(Scorecards!Q$3-18&gt;Scorecards!$B8,1,0))</f>
        <v>3</v>
      </c>
      <c r="R8" s="35">
        <f>if(Scorecards!R8="","",Scorecards!R8-IF(Scorecards!$B8&gt;0,FLOOR(Scorecards!$B8/18,1),0)-IF(AND(MOD(Scorecards!$B8,18)&gt;=Scorecards!R$3,Scorecards!$B8&gt;0),1,0)+IF(Scorecards!R$3-18&gt;Scorecards!$B8,1,0))</f>
        <v>4</v>
      </c>
      <c r="S8" s="35">
        <f>if(Scorecards!S8="","",Scorecards!S8-IF(Scorecards!$B8&gt;0,FLOOR(Scorecards!$B8/18,1),0)-IF(AND(MOD(Scorecards!$B8,18)&gt;=Scorecards!S$3,Scorecards!$B8&gt;0),1,0)+IF(Scorecards!S$3-18&gt;Scorecards!$B8,1,0))</f>
        <v>5</v>
      </c>
      <c r="T8" s="35">
        <f>if(Scorecards!T8="","",Scorecards!T8-IF(Scorecards!$B8&gt;0,FLOOR(Scorecards!$B8/18,1),0)-IF(AND(MOD(Scorecards!$B8,18)&gt;=Scorecards!T$3,Scorecards!$B8&gt;0),1,0)+IF(Scorecards!T$3-18&gt;Scorecards!$B8,1,0))</f>
        <v>3</v>
      </c>
      <c r="U8" s="35">
        <f>if(Scorecards!U8="","",Scorecards!U8-IF(Scorecards!$B8&gt;0,FLOOR(Scorecards!$B8/18,1),0)-IF(AND(MOD(Scorecards!$B8,18)&gt;=Scorecards!U$3,Scorecards!$B8&gt;0),1,0)+IF(Scorecards!U$3-18&gt;Scorecards!$B8,1,0))</f>
        <v>3</v>
      </c>
      <c r="V8" s="36">
        <f t="shared" si="1"/>
        <v>42</v>
      </c>
      <c r="W8" s="36">
        <f t="shared" si="2"/>
        <v>34</v>
      </c>
      <c r="X8" s="36">
        <f t="shared" si="3"/>
        <v>76</v>
      </c>
      <c r="Y8" s="37">
        <f t="shared" si="4"/>
        <v>63</v>
      </c>
      <c r="Z8" s="38">
        <f t="array" ref="Z8">sum(if(D8-$D$4=-3,1,0),if(E8-$E$4=-3,1,0),if(F8-$F$4=-3,1,0),if(G8-$G$4=-3,1,0),if(H8-$H$4=-3,1,0),if(I8-$I$4=-3,1,0),if(J8-$J$4=-3,1,0),if(K8-$K$4=-3,1,0),if(L8-$L$4=-3,1,0),if(M8-$M$4=-3,1,0),if(N8-$N$4=-3,1,0),if(O8-$O$4=-3,1,0),if(P8-$P$4=-3,1,0),if(Q8-$Q$4=-3,1,0),if(R8-$R$4=-3,1,0),if(S8-$S$4=-3,1,0),if(T8-$T$4=-3,1,0),if(U8-$U$4=-3,1,0))</f>
        <v>0</v>
      </c>
      <c r="AA8" s="38">
        <f t="array" ref="AA8">sum(if(D8-$D$4=-2,1,0),if(E8-$E$4=-2,1,0),if(F8-$F$4=-2,1,0),if(G8-$G$4=-2,1,0),if(H8-$H$4=-2,1,0),if(I8-$I$4=-2,1,0),if(J8-$J$4=-2,1,0),if(K8-$K$4=-2,1,0),if(L8-$L$4=-2,1,0),if(M8-$M$4=-2,1,0),if(N8-$N$4=-2,1,0),if(O8-$O$4=-2,1,0),if(P8-$P$4=-2,1,0),if(Q8-$Q$4=-2,1,0),if(R8-$R$4=-2,1,0),if(S8-$S$4=-2,1,0),if(T8-$T$4=-2,1,0),if(U8-$U$4=-2,1,0))</f>
        <v>0</v>
      </c>
      <c r="AB8" s="38">
        <f t="array" ref="AB8">sum(if(D8-$D$4=-1,1,0),if(E8-$E$4=-1,1,0),if(F8-$F$4=-1,1,0),if(G8-$G$4=-1,1,0),if(H8-$H$4=-1,1,0),if(I8-$I$4=-1,1,0),if(J8-$J$4=-1,1,0),if(K8-$K$4=-1,1,0),if(L8-$L$4=-1,1,0),if(M8-$M$4=-1,1,0),if(N8-$N$4=-1,1,0),if(O8-$O$4=-1,1,0),if(P8-$P$4=-1,1,0),if(Q8-$Q$4=-1,1,0),if(R8-$R$4=-1,1,0),if(S8-$S$4=-1,1,0),if(T8-$T$4=-1,1,0),if(U8-$U$4=-1,1,0))</f>
        <v>5</v>
      </c>
      <c r="AC8" s="38">
        <f t="array" ref="AC8">sum(if(D8-$D$4=0,1,0),if(E8-$E$4=0,1,0),if(F8-$F$4=0,1,0),if(G8-$G$4=0,1,0),if(H8-$H$4=0,1,0),if(I8-$I$4=0,1,0),if(J8-$J$4=0,1,0),if(K8-$K$4=0,1,0),if(L8-$L$4=0,1,0),if(M8-$M$4=0,1,0),if(N8-$N$4=0,1,0),if(O8-$O$4=0,1,0),if(P8-$P$4=0,1,0),if(Q8-$Q$4=0,1,0),if(R8-$R$4=0,1,0),if(S8-$S$4=0,1,0),if(T8-$T$4=0,1,0),if(U8-$U$4=0,1,0))</f>
        <v>7</v>
      </c>
      <c r="AD8" s="38">
        <f t="array" ref="AD8">sum(if(D8-$D$4=1,1,0),if(E8-$E$4=1,1,0),if(F8-$F$4=1,1,0),if(G8-$G$4=1,1,0),if(H8-$H$4=1,1,0),if(I8-$I$4=1,1,0),if(J8-$J$4=1,1,0),if(K8-$K$4=1,1,0),if(L8-$L$4=1,1,0),if(M8-$M$4=1,1,0),if(N8-$N$4=1,1,0),if(O8-$O$4=1,1,0),if(P8-$P$4=1,1,0),if(Q8-$Q$4=1,1,0),if(R8-$R$4=1,1,0),if(S8-$S$4=1,1,0),if(T8-$T$4=1,1,0),if(U8-$U$4=1,1,0))</f>
        <v>3</v>
      </c>
      <c r="AE8" s="38">
        <f t="array" ref="AE8">sum(if(D8-$D$4=2,1,0),if(E8-$E$4=2,1,0),if(F8-$F$4=2,1,0),if(G8-$G$4=2,1,0),if(H8-$H$4=2,1,0),if(I8-$I$4=2,1,0),if(J8-$J$4=2,1,0),if(K8-$K$4=2,1,0),if(L8-$L$4=2,1,0),if(M8-$M$4=2,1,0),if(N8-$N$4=2,1,0),if(O8-$O$4=2,1,0),if(P8-$P$4=2,1,0),if(Q8-$Q$4=2,1,0),if(R8-$R$4=2,1,0),if(S8-$S$4=2,1,0),if(T8-$T$4=2,1,0),if(U8-$U$4=2,1,0))</f>
        <v>3</v>
      </c>
      <c r="AF8" s="38">
        <f t="array" ref="AF8">sum(if(D8-$D$4=3,1,0),if(E8-$E$4=3,1,0),if(F8-$F$4=3,1,0),if(G8-$G$4=3,1,0),if(H8-$H$4=3,1,0),if(I8-$I$4=3,1,0),if(J8-$J$4=3,1,0),if(K8-$K$4=3,1,0),if(L8-$L$4=3,1,0),if(M8-$M$4=3,1,0),if(N8-$N$4=3,1,0),if(O8-$O$4=3,1,0),if(P8-$P$4=3,1,0),if(Q8-$Q$4=3,1,0),if(R8-$R$4=3,1,0),if(S8-$S$4=3,1,0),if(T8-$T$4=3,1,0),if(U8-$U$4=3,1,0))</f>
        <v>0</v>
      </c>
      <c r="AG8" s="38">
        <f t="array" ref="AG8">sum(if(D8-$D$4&gt;3,1,0),if(E8-$E$4&gt;3,1,0),if(F8-$F$4&gt;3,1,0),if(G8-$G$4&gt;3,1,0),if(H8-$H$4&gt;3,1,0),if(I8-$I$4&gt;3,1,0),if(J8-$J$4&gt;3,1,0),if(K8-$K$4&gt;3,1,0),if(L8-$L$4&gt;3,1,0),if(M8-$M$4&gt;3,1,0),if(N8-$N$4&gt;3,1,0),if(O8-$O$4&gt;3,1,0),if(P8-$P$4&gt;3,1,0),if(Q8-$Q$4&gt;3,1,0),if(R8-$R$4&gt;3,1,0),if(S8-$S$4&gt;3,1,0),if(T8-$T$4&gt;3,1,0),if(U8-$U$4&gt;3,1,0))</f>
        <v>0</v>
      </c>
      <c r="AH8" s="38">
        <f t="shared" si="5"/>
        <v>18</v>
      </c>
    </row>
    <row r="9" ht="12.75" customHeight="1">
      <c r="A9" s="32" t="str">
        <f>SETUP!A9</f>
        <v>Dave K</v>
      </c>
      <c r="B9" s="33">
        <f t="array" ref="B9">if(A9="","",index(SETUP!C:C,match(A9,SETUP!A:A,0)))</f>
        <v>20</v>
      </c>
      <c r="C9" s="17"/>
      <c r="D9" s="35">
        <f>if(Scorecards!D9="","",Scorecards!D9-IF(Scorecards!$B9&gt;0,FLOOR(Scorecards!$B9/18,1),0)-IF(AND(MOD(Scorecards!$B9,18)&gt;=Scorecards!D$3,Scorecards!$B9&gt;0),1,0)+IF(Scorecards!D$3-18&gt;Scorecards!$B9,1,0))</f>
        <v>4</v>
      </c>
      <c r="E9" s="35">
        <f>if(Scorecards!E9="","",Scorecards!E9-IF(Scorecards!$B9&gt;0,FLOOR(Scorecards!$B9/18,1),0)-IF(AND(MOD(Scorecards!$B9,18)&gt;=Scorecards!E$3,Scorecards!$B9&gt;0),1,0)+IF(Scorecards!E$3-18&gt;Scorecards!$B9,1,0))</f>
        <v>4</v>
      </c>
      <c r="F9" s="35">
        <f>if(Scorecards!F9="","",Scorecards!F9-IF(Scorecards!$B9&gt;0,FLOOR(Scorecards!$B9/18,1),0)-IF(AND(MOD(Scorecards!$B9,18)&gt;=Scorecards!F$3,Scorecards!$B9&gt;0),1,0)+IF(Scorecards!F$3-18&gt;Scorecards!$B9,1,0))</f>
        <v>3</v>
      </c>
      <c r="G9" s="35">
        <f>if(Scorecards!G9="","",Scorecards!G9-IF(Scorecards!$B9&gt;0,FLOOR(Scorecards!$B9/18,1),0)-IF(AND(MOD(Scorecards!$B9,18)&gt;=Scorecards!G$3,Scorecards!$B9&gt;0),1,0)+IF(Scorecards!G$3-18&gt;Scorecards!$B9,1,0))</f>
        <v>7</v>
      </c>
      <c r="H9" s="35">
        <f>if(Scorecards!H9="","",Scorecards!H9-IF(Scorecards!$B9&gt;0,FLOOR(Scorecards!$B9/18,1),0)-IF(AND(MOD(Scorecards!$B9,18)&gt;=Scorecards!H$3,Scorecards!$B9&gt;0),1,0)+IF(Scorecards!H$3-18&gt;Scorecards!$B9,1,0))</f>
        <v>3</v>
      </c>
      <c r="I9" s="35">
        <f>if(Scorecards!I9="","",Scorecards!I9-IF(Scorecards!$B9&gt;0,FLOOR(Scorecards!$B9/18,1),0)-IF(AND(MOD(Scorecards!$B9,18)&gt;=Scorecards!I$3,Scorecards!$B9&gt;0),1,0)+IF(Scorecards!I$3-18&gt;Scorecards!$B9,1,0))</f>
        <v>4</v>
      </c>
      <c r="J9" s="35">
        <f>if(Scorecards!J9="","",Scorecards!J9-IF(Scorecards!$B9&gt;0,FLOOR(Scorecards!$B9/18,1),0)-IF(AND(MOD(Scorecards!$B9,18)&gt;=Scorecards!J$3,Scorecards!$B9&gt;0),1,0)+IF(Scorecards!J$3-18&gt;Scorecards!$B9,1,0))</f>
        <v>7</v>
      </c>
      <c r="K9" s="35">
        <f>if(Scorecards!K9="","",Scorecards!K9-IF(Scorecards!$B9&gt;0,FLOOR(Scorecards!$B9/18,1),0)-IF(AND(MOD(Scorecards!$B9,18)&gt;=Scorecards!K$3,Scorecards!$B9&gt;0),1,0)+IF(Scorecards!K$3-18&gt;Scorecards!$B9,1,0))</f>
        <v>2</v>
      </c>
      <c r="L9" s="35">
        <f>if(Scorecards!L9="","",Scorecards!L9-IF(Scorecards!$B9&gt;0,FLOOR(Scorecards!$B9/18,1),0)-IF(AND(MOD(Scorecards!$B9,18)&gt;=Scorecards!L$3,Scorecards!$B9&gt;0),1,0)+IF(Scorecards!L$3-18&gt;Scorecards!$B9,1,0))</f>
        <v>4</v>
      </c>
      <c r="M9" s="35">
        <f>if(Scorecards!M9="","",Scorecards!M9-IF(Scorecards!$B9&gt;0,FLOOR(Scorecards!$B9/18,1),0)-IF(AND(MOD(Scorecards!$B9,18)&gt;=Scorecards!M$3,Scorecards!$B9&gt;0),1,0)+IF(Scorecards!M$3-18&gt;Scorecards!$B9,1,0))</f>
        <v>4</v>
      </c>
      <c r="N9" s="35">
        <f>if(Scorecards!N9="","",Scorecards!N9-IF(Scorecards!$B9&gt;0,FLOOR(Scorecards!$B9/18,1),0)-IF(AND(MOD(Scorecards!$B9,18)&gt;=Scorecards!N$3,Scorecards!$B9&gt;0),1,0)+IF(Scorecards!N$3-18&gt;Scorecards!$B9,1,0))</f>
        <v>4</v>
      </c>
      <c r="O9" s="35">
        <f>if(Scorecards!O9="","",Scorecards!O9-IF(Scorecards!$B9&gt;0,FLOOR(Scorecards!$B9/18,1),0)-IF(AND(MOD(Scorecards!$B9,18)&gt;=Scorecards!O$3,Scorecards!$B9&gt;0),1,0)+IF(Scorecards!O$3-18&gt;Scorecards!$B9,1,0))</f>
        <v>4</v>
      </c>
      <c r="P9" s="35">
        <f>if(Scorecards!P9="","",Scorecards!P9-IF(Scorecards!$B9&gt;0,FLOOR(Scorecards!$B9/18,1),0)-IF(AND(MOD(Scorecards!$B9,18)&gt;=Scorecards!P$3,Scorecards!$B9&gt;0),1,0)+IF(Scorecards!P$3-18&gt;Scorecards!$B9,1,0))</f>
        <v>4</v>
      </c>
      <c r="Q9" s="35">
        <f>if(Scorecards!Q9="","",Scorecards!Q9-IF(Scorecards!$B9&gt;0,FLOOR(Scorecards!$B9/18,1),0)-IF(AND(MOD(Scorecards!$B9,18)&gt;=Scorecards!Q$3,Scorecards!$B9&gt;0),1,0)+IF(Scorecards!Q$3-18&gt;Scorecards!$B9,1,0))</f>
        <v>4</v>
      </c>
      <c r="R9" s="35">
        <f>if(Scorecards!R9="","",Scorecards!R9-IF(Scorecards!$B9&gt;0,FLOOR(Scorecards!$B9/18,1),0)-IF(AND(MOD(Scorecards!$B9,18)&gt;=Scorecards!R$3,Scorecards!$B9&gt;0),1,0)+IF(Scorecards!R$3-18&gt;Scorecards!$B9,1,0))</f>
        <v>4</v>
      </c>
      <c r="S9" s="35">
        <f>if(Scorecards!S9="","",Scorecards!S9-IF(Scorecards!$B9&gt;0,FLOOR(Scorecards!$B9/18,1),0)-IF(AND(MOD(Scorecards!$B9,18)&gt;=Scorecards!S$3,Scorecards!$B9&gt;0),1,0)+IF(Scorecards!S$3-18&gt;Scorecards!$B9,1,0))</f>
        <v>5</v>
      </c>
      <c r="T9" s="35">
        <f>if(Scorecards!T9="","",Scorecards!T9-IF(Scorecards!$B9&gt;0,FLOOR(Scorecards!$B9/18,1),0)-IF(AND(MOD(Scorecards!$B9,18)&gt;=Scorecards!T$3,Scorecards!$B9&gt;0),1,0)+IF(Scorecards!T$3-18&gt;Scorecards!$B9,1,0))</f>
        <v>3</v>
      </c>
      <c r="U9" s="35">
        <f>if(Scorecards!U9="","",Scorecards!U9-IF(Scorecards!$B9&gt;0,FLOOR(Scorecards!$B9/18,1),0)-IF(AND(MOD(Scorecards!$B9,18)&gt;=Scorecards!U$3,Scorecards!$B9&gt;0),1,0)+IF(Scorecards!U$3-18&gt;Scorecards!$B9,1,0))</f>
        <v>3</v>
      </c>
      <c r="V9" s="36">
        <f t="shared" si="1"/>
        <v>38</v>
      </c>
      <c r="W9" s="36">
        <f t="shared" si="2"/>
        <v>35</v>
      </c>
      <c r="X9" s="36">
        <f t="shared" si="3"/>
        <v>73</v>
      </c>
      <c r="Y9" s="37">
        <f t="shared" si="4"/>
        <v>53</v>
      </c>
      <c r="Z9" s="38">
        <f t="array" ref="Z9">sum(if(D9-$D$4=-3,1,0),if(E9-$E$4=-3,1,0),if(F9-$F$4=-3,1,0),if(G9-$G$4=-3,1,0),if(H9-$H$4=-3,1,0),if(I9-$I$4=-3,1,0),if(J9-$J$4=-3,1,0),if(K9-$K$4=-3,1,0),if(L9-$L$4=-3,1,0),if(M9-$M$4=-3,1,0),if(N9-$N$4=-3,1,0),if(O9-$O$4=-3,1,0),if(P9-$P$4=-3,1,0),if(Q9-$Q$4=-3,1,0),if(R9-$R$4=-3,1,0),if(S9-$S$4=-3,1,0),if(T9-$T$4=-3,1,0),if(U9-$U$4=-3,1,0))</f>
        <v>0</v>
      </c>
      <c r="AA9" s="38">
        <f t="array" ref="AA9">sum(if(D9-$D$4=-2,1,0),if(E9-$E$4=-2,1,0),if(F9-$F$4=-2,1,0),if(G9-$G$4=-2,1,0),if(H9-$H$4=-2,1,0),if(I9-$I$4=-2,1,0),if(J9-$J$4=-2,1,0),if(K9-$K$4=-2,1,0),if(L9-$L$4=-2,1,0),if(M9-$M$4=-2,1,0),if(N9-$N$4=-2,1,0),if(O9-$O$4=-2,1,0),if(P9-$P$4=-2,1,0),if(Q9-$Q$4=-2,1,0),if(R9-$R$4=-2,1,0),if(S9-$S$4=-2,1,0),if(T9-$T$4=-2,1,0),if(U9-$U$4=-2,1,0))</f>
        <v>1</v>
      </c>
      <c r="AB9" s="38">
        <f t="array" ref="AB9">sum(if(D9-$D$4=-1,1,0),if(E9-$E$4=-1,1,0),if(F9-$F$4=-1,1,0),if(G9-$G$4=-1,1,0),if(H9-$H$4=-1,1,0),if(I9-$I$4=-1,1,0),if(J9-$J$4=-1,1,0),if(K9-$K$4=-1,1,0),if(L9-$L$4=-1,1,0),if(M9-$M$4=-1,1,0),if(N9-$N$4=-1,1,0),if(O9-$O$4=-1,1,0),if(P9-$P$4=-1,1,0),if(Q9-$Q$4=-1,1,0),if(R9-$R$4=-1,1,0),if(S9-$S$4=-1,1,0),if(T9-$T$4=-1,1,0),if(U9-$U$4=-1,1,0))</f>
        <v>4</v>
      </c>
      <c r="AC9" s="38">
        <f t="array" ref="AC9">sum(if(D9-$D$4=0,1,0),if(E9-$E$4=0,1,0),if(F9-$F$4=0,1,0),if(G9-$G$4=0,1,0),if(H9-$H$4=0,1,0),if(I9-$I$4=0,1,0),if(J9-$J$4=0,1,0),if(K9-$K$4=0,1,0),if(L9-$L$4=0,1,0),if(M9-$M$4=0,1,0),if(N9-$N$4=0,1,0),if(O9-$O$4=0,1,0),if(P9-$P$4=0,1,0),if(Q9-$Q$4=0,1,0),if(R9-$R$4=0,1,0),if(S9-$S$4=0,1,0),if(T9-$T$4=0,1,0),if(U9-$U$4=0,1,0))</f>
        <v>8</v>
      </c>
      <c r="AD9" s="38">
        <f t="array" ref="AD9">sum(if(D9-$D$4=1,1,0),if(E9-$E$4=1,1,0),if(F9-$F$4=1,1,0),if(G9-$G$4=1,1,0),if(H9-$H$4=1,1,0),if(I9-$I$4=1,1,0),if(J9-$J$4=1,1,0),if(K9-$K$4=1,1,0),if(L9-$L$4=1,1,0),if(M9-$M$4=1,1,0),if(N9-$N$4=1,1,0),if(O9-$O$4=1,1,0),if(P9-$P$4=1,1,0),if(Q9-$Q$4=1,1,0),if(R9-$R$4=1,1,0),if(S9-$S$4=1,1,0),if(T9-$T$4=1,1,0),if(U9-$U$4=1,1,0))</f>
        <v>3</v>
      </c>
      <c r="AE9" s="38">
        <f t="array" ref="AE9">sum(if(D9-$D$4=2,1,0),if(E9-$E$4=2,1,0),if(F9-$F$4=2,1,0),if(G9-$G$4=2,1,0),if(H9-$H$4=2,1,0),if(I9-$I$4=2,1,0),if(J9-$J$4=2,1,0),if(K9-$K$4=2,1,0),if(L9-$L$4=2,1,0),if(M9-$M$4=2,1,0),if(N9-$N$4=2,1,0),if(O9-$O$4=2,1,0),if(P9-$P$4=2,1,0),if(Q9-$Q$4=2,1,0),if(R9-$R$4=2,1,0),if(S9-$S$4=2,1,0),if(T9-$T$4=2,1,0),if(U9-$U$4=2,1,0))</f>
        <v>2</v>
      </c>
      <c r="AF9" s="38">
        <f t="array" ref="AF9">sum(if(D9-$D$4=3,1,0),if(E9-$E$4=3,1,0),if(F9-$F$4=3,1,0),if(G9-$G$4=3,1,0),if(H9-$H$4=3,1,0),if(I9-$I$4=3,1,0),if(J9-$J$4=3,1,0),if(K9-$K$4=3,1,0),if(L9-$L$4=3,1,0),if(M9-$M$4=3,1,0),if(N9-$N$4=3,1,0),if(O9-$O$4=3,1,0),if(P9-$P$4=3,1,0),if(Q9-$Q$4=3,1,0),if(R9-$R$4=3,1,0),if(S9-$S$4=3,1,0),if(T9-$T$4=3,1,0),if(U9-$U$4=3,1,0))</f>
        <v>0</v>
      </c>
      <c r="AG9" s="38">
        <f t="array" ref="AG9">sum(if(D9-$D$4&gt;3,1,0),if(E9-$E$4&gt;3,1,0),if(F9-$F$4&gt;3,1,0),if(G9-$G$4&gt;3,1,0),if(H9-$H$4&gt;3,1,0),if(I9-$I$4&gt;3,1,0),if(J9-$J$4&gt;3,1,0),if(K9-$K$4&gt;3,1,0),if(L9-$L$4&gt;3,1,0),if(M9-$M$4&gt;3,1,0),if(N9-$N$4&gt;3,1,0),if(O9-$O$4&gt;3,1,0),if(P9-$P$4&gt;3,1,0),if(Q9-$Q$4&gt;3,1,0),if(R9-$R$4&gt;3,1,0),if(S9-$S$4&gt;3,1,0),if(T9-$T$4&gt;3,1,0),if(U9-$U$4&gt;3,1,0))</f>
        <v>0</v>
      </c>
      <c r="AH9" s="38">
        <f t="shared" si="5"/>
        <v>18</v>
      </c>
    </row>
    <row r="10" ht="12.75" customHeight="1">
      <c r="A10" s="32" t="str">
        <f>SETUP!A10</f>
        <v>Eric O</v>
      </c>
      <c r="B10" s="33">
        <f t="array" ref="B10">if(A10="","",index(SETUP!C:C,match(A10,SETUP!A:A,0)))</f>
        <v>19</v>
      </c>
      <c r="C10" s="17"/>
      <c r="D10" s="35">
        <f>if(Scorecards!D10="","",Scorecards!D10-IF(Scorecards!$B10&gt;0,FLOOR(Scorecards!$B10/18,1),0)-IF(AND(MOD(Scorecards!$B10,18)&gt;=Scorecards!D$3,Scorecards!$B10&gt;0),1,0)+IF(Scorecards!D$3-18&gt;Scorecards!$B10,1,0))</f>
        <v>3</v>
      </c>
      <c r="E10" s="35">
        <f>if(Scorecards!E10="","",Scorecards!E10-IF(Scorecards!$B10&gt;0,FLOOR(Scorecards!$B10/18,1),0)-IF(AND(MOD(Scorecards!$B10,18)&gt;=Scorecards!E$3,Scorecards!$B10&gt;0),1,0)+IF(Scorecards!E$3-18&gt;Scorecards!$B10,1,0))</f>
        <v>3</v>
      </c>
      <c r="F10" s="35">
        <f>if(Scorecards!F10="","",Scorecards!F10-IF(Scorecards!$B10&gt;0,FLOOR(Scorecards!$B10/18,1),0)-IF(AND(MOD(Scorecards!$B10,18)&gt;=Scorecards!F$3,Scorecards!$B10&gt;0),1,0)+IF(Scorecards!F$3-18&gt;Scorecards!$B10,1,0))</f>
        <v>4</v>
      </c>
      <c r="G10" s="35">
        <f>if(Scorecards!G10="","",Scorecards!G10-IF(Scorecards!$B10&gt;0,FLOOR(Scorecards!$B10/18,1),0)-IF(AND(MOD(Scorecards!$B10,18)&gt;=Scorecards!G$3,Scorecards!$B10&gt;0),1,0)+IF(Scorecards!G$3-18&gt;Scorecards!$B10,1,0))</f>
        <v>5</v>
      </c>
      <c r="H10" s="35">
        <f>if(Scorecards!H10="","",Scorecards!H10-IF(Scorecards!$B10&gt;0,FLOOR(Scorecards!$B10/18,1),0)-IF(AND(MOD(Scorecards!$B10,18)&gt;=Scorecards!H$3,Scorecards!$B10&gt;0),1,0)+IF(Scorecards!H$3-18&gt;Scorecards!$B10,1,0))</f>
        <v>5</v>
      </c>
      <c r="I10" s="35">
        <f>if(Scorecards!I10="","",Scorecards!I10-IF(Scorecards!$B10&gt;0,FLOOR(Scorecards!$B10/18,1),0)-IF(AND(MOD(Scorecards!$B10,18)&gt;=Scorecards!I$3,Scorecards!$B10&gt;0),1,0)+IF(Scorecards!I$3-18&gt;Scorecards!$B10,1,0))</f>
        <v>4</v>
      </c>
      <c r="J10" s="35">
        <f>if(Scorecards!J10="","",Scorecards!J10-IF(Scorecards!$B10&gt;0,FLOOR(Scorecards!$B10/18,1),0)-IF(AND(MOD(Scorecards!$B10,18)&gt;=Scorecards!J$3,Scorecards!$B10&gt;0),1,0)+IF(Scorecards!J$3-18&gt;Scorecards!$B10,1,0))</f>
        <v>6</v>
      </c>
      <c r="K10" s="35">
        <f>if(Scorecards!K10="","",Scorecards!K10-IF(Scorecards!$B10&gt;0,FLOOR(Scorecards!$B10/18,1),0)-IF(AND(MOD(Scorecards!$B10,18)&gt;=Scorecards!K$3,Scorecards!$B10&gt;0),1,0)+IF(Scorecards!K$3-18&gt;Scorecards!$B10,1,0))</f>
        <v>6</v>
      </c>
      <c r="L10" s="35">
        <f>if(Scorecards!L10="","",Scorecards!L10-IF(Scorecards!$B10&gt;0,FLOOR(Scorecards!$B10/18,1),0)-IF(AND(MOD(Scorecards!$B10,18)&gt;=Scorecards!L$3,Scorecards!$B10&gt;0),1,0)+IF(Scorecards!L$3-18&gt;Scorecards!$B10,1,0))</f>
        <v>3</v>
      </c>
      <c r="M10" s="35">
        <f>if(Scorecards!M10="","",Scorecards!M10-IF(Scorecards!$B10&gt;0,FLOOR(Scorecards!$B10/18,1),0)-IF(AND(MOD(Scorecards!$B10,18)&gt;=Scorecards!M$3,Scorecards!$B10&gt;0),1,0)+IF(Scorecards!M$3-18&gt;Scorecards!$B10,1,0))</f>
        <v>4</v>
      </c>
      <c r="N10" s="35">
        <f>if(Scorecards!N10="","",Scorecards!N10-IF(Scorecards!$B10&gt;0,FLOOR(Scorecards!$B10/18,1),0)-IF(AND(MOD(Scorecards!$B10,18)&gt;=Scorecards!N$3,Scorecards!$B10&gt;0),1,0)+IF(Scorecards!N$3-18&gt;Scorecards!$B10,1,0))</f>
        <v>5</v>
      </c>
      <c r="O10" s="35">
        <f>if(Scorecards!O10="","",Scorecards!O10-IF(Scorecards!$B10&gt;0,FLOOR(Scorecards!$B10/18,1),0)-IF(AND(MOD(Scorecards!$B10,18)&gt;=Scorecards!O$3,Scorecards!$B10&gt;0),1,0)+IF(Scorecards!O$3-18&gt;Scorecards!$B10,1,0))</f>
        <v>6</v>
      </c>
      <c r="P10" s="35">
        <f>if(Scorecards!P10="","",Scorecards!P10-IF(Scorecards!$B10&gt;0,FLOOR(Scorecards!$B10/18,1),0)-IF(AND(MOD(Scorecards!$B10,18)&gt;=Scorecards!P$3,Scorecards!$B10&gt;0),1,0)+IF(Scorecards!P$3-18&gt;Scorecards!$B10,1,0))</f>
        <v>5</v>
      </c>
      <c r="Q10" s="35">
        <f>if(Scorecards!Q10="","",Scorecards!Q10-IF(Scorecards!$B10&gt;0,FLOOR(Scorecards!$B10/18,1),0)-IF(AND(MOD(Scorecards!$B10,18)&gt;=Scorecards!Q$3,Scorecards!$B10&gt;0),1,0)+IF(Scorecards!Q$3-18&gt;Scorecards!$B10,1,0))</f>
        <v>3</v>
      </c>
      <c r="R10" s="35">
        <f>if(Scorecards!R10="","",Scorecards!R10-IF(Scorecards!$B10&gt;0,FLOOR(Scorecards!$B10/18,1),0)-IF(AND(MOD(Scorecards!$B10,18)&gt;=Scorecards!R$3,Scorecards!$B10&gt;0),1,0)+IF(Scorecards!R$3-18&gt;Scorecards!$B10,1,0))</f>
        <v>5</v>
      </c>
      <c r="S10" s="35">
        <f>if(Scorecards!S10="","",Scorecards!S10-IF(Scorecards!$B10&gt;0,FLOOR(Scorecards!$B10/18,1),0)-IF(AND(MOD(Scorecards!$B10,18)&gt;=Scorecards!S$3,Scorecards!$B10&gt;0),1,0)+IF(Scorecards!S$3-18&gt;Scorecards!$B10,1,0))</f>
        <v>6</v>
      </c>
      <c r="T10" s="35">
        <f>if(Scorecards!T10="","",Scorecards!T10-IF(Scorecards!$B10&gt;0,FLOOR(Scorecards!$B10/18,1),0)-IF(AND(MOD(Scorecards!$B10,18)&gt;=Scorecards!T$3,Scorecards!$B10&gt;0),1,0)+IF(Scorecards!T$3-18&gt;Scorecards!$B10,1,0))</f>
        <v>3</v>
      </c>
      <c r="U10" s="35">
        <f>if(Scorecards!U10="","",Scorecards!U10-IF(Scorecards!$B10&gt;0,FLOOR(Scorecards!$B10/18,1),0)-IF(AND(MOD(Scorecards!$B10,18)&gt;=Scorecards!U$3,Scorecards!$B10&gt;0),1,0)+IF(Scorecards!U$3-18&gt;Scorecards!$B10,1,0))</f>
        <v>6</v>
      </c>
      <c r="V10" s="36">
        <f t="shared" si="1"/>
        <v>39</v>
      </c>
      <c r="W10" s="36">
        <f t="shared" si="2"/>
        <v>43</v>
      </c>
      <c r="X10" s="36">
        <f t="shared" si="3"/>
        <v>82</v>
      </c>
      <c r="Y10" s="37">
        <f t="shared" si="4"/>
        <v>63</v>
      </c>
      <c r="Z10" s="38">
        <f t="array" ref="Z10">sum(if(D10-$D$4=-3,1,0),if(E10-$E$4=-3,1,0),if(F10-$F$4=-3,1,0),if(G10-$G$4=-3,1,0),if(H10-$H$4=-3,1,0),if(I10-$I$4=-3,1,0),if(J10-$J$4=-3,1,0),if(K10-$K$4=-3,1,0),if(L10-$L$4=-3,1,0),if(M10-$M$4=-3,1,0),if(N10-$N$4=-3,1,0),if(O10-$O$4=-3,1,0),if(P10-$P$4=-3,1,0),if(Q10-$Q$4=-3,1,0),if(R10-$R$4=-3,1,0),if(S10-$S$4=-3,1,0),if(T10-$T$4=-3,1,0),if(U10-$U$4=-3,1,0))</f>
        <v>0</v>
      </c>
      <c r="AA10" s="38">
        <f t="array" ref="AA10">sum(if(D10-$D$4=-2,1,0),if(E10-$E$4=-2,1,0),if(F10-$F$4=-2,1,0),if(G10-$G$4=-2,1,0),if(H10-$H$4=-2,1,0),if(I10-$I$4=-2,1,0),if(J10-$J$4=-2,1,0),if(K10-$K$4=-2,1,0),if(L10-$L$4=-2,1,0),if(M10-$M$4=-2,1,0),if(N10-$N$4=-2,1,0),if(O10-$O$4=-2,1,0),if(P10-$P$4=-2,1,0),if(Q10-$Q$4=-2,1,0),if(R10-$R$4=-2,1,0),if(S10-$S$4=-2,1,0),if(T10-$T$4=-2,1,0),if(U10-$U$4=-2,1,0))</f>
        <v>0</v>
      </c>
      <c r="AB10" s="38">
        <f t="array" ref="AB10">sum(if(D10-$D$4=-1,1,0),if(E10-$E$4=-1,1,0),if(F10-$F$4=-1,1,0),if(G10-$G$4=-1,1,0),if(H10-$H$4=-1,1,0),if(I10-$I$4=-1,1,0),if(J10-$J$4=-1,1,0),if(K10-$K$4=-1,1,0),if(L10-$L$4=-1,1,0),if(M10-$M$4=-1,1,0),if(N10-$N$4=-1,1,0),if(O10-$O$4=-1,1,0),if(P10-$P$4=-1,1,0),if(Q10-$Q$4=-1,1,0),if(R10-$R$4=-1,1,0),if(S10-$S$4=-1,1,0),if(T10-$T$4=-1,1,0),if(U10-$U$4=-1,1,0))</f>
        <v>3</v>
      </c>
      <c r="AC10" s="38">
        <f t="array" ref="AC10">sum(if(D10-$D$4=0,1,0),if(E10-$E$4=0,1,0),if(F10-$F$4=0,1,0),if(G10-$G$4=0,1,0),if(H10-$H$4=0,1,0),if(I10-$I$4=0,1,0),if(J10-$J$4=0,1,0),if(K10-$K$4=0,1,0),if(L10-$L$4=0,1,0),if(M10-$M$4=0,1,0),if(N10-$N$4=0,1,0),if(O10-$O$4=0,1,0),if(P10-$P$4=0,1,0),if(Q10-$Q$4=0,1,0),if(R10-$R$4=0,1,0),if(S10-$S$4=0,1,0),if(T10-$T$4=0,1,0),if(U10-$U$4=0,1,0))</f>
        <v>6</v>
      </c>
      <c r="AD10" s="38">
        <f t="array" ref="AD10">sum(if(D10-$D$4=1,1,0),if(E10-$E$4=1,1,0),if(F10-$F$4=1,1,0),if(G10-$G$4=1,1,0),if(H10-$H$4=1,1,0),if(I10-$I$4=1,1,0),if(J10-$J$4=1,1,0),if(K10-$K$4=1,1,0),if(L10-$L$4=1,1,0),if(M10-$M$4=1,1,0),if(N10-$N$4=1,1,0),if(O10-$O$4=1,1,0),if(P10-$P$4=1,1,0),if(Q10-$Q$4=1,1,0),if(R10-$R$4=1,1,0),if(S10-$S$4=1,1,0),if(T10-$T$4=1,1,0),if(U10-$U$4=1,1,0))</f>
        <v>5</v>
      </c>
      <c r="AE10" s="38">
        <f t="array" ref="AE10">sum(if(D10-$D$4=2,1,0),if(E10-$E$4=2,1,0),if(F10-$F$4=2,1,0),if(G10-$G$4=2,1,0),if(H10-$H$4=2,1,0),if(I10-$I$4=2,1,0),if(J10-$J$4=2,1,0),if(K10-$K$4=2,1,0),if(L10-$L$4=2,1,0),if(M10-$M$4=2,1,0),if(N10-$N$4=2,1,0),if(O10-$O$4=2,1,0),if(P10-$P$4=2,1,0),if(Q10-$Q$4=2,1,0),if(R10-$R$4=2,1,0),if(S10-$S$4=2,1,0),if(T10-$T$4=2,1,0),if(U10-$U$4=2,1,0))</f>
        <v>4</v>
      </c>
      <c r="AF10" s="38">
        <f t="array" ref="AF10">sum(if(D10-$D$4=3,1,0),if(E10-$E$4=3,1,0),if(F10-$F$4=3,1,0),if(G10-$G$4=3,1,0),if(H10-$H$4=3,1,0),if(I10-$I$4=3,1,0),if(J10-$J$4=3,1,0),if(K10-$K$4=3,1,0),if(L10-$L$4=3,1,0),if(M10-$M$4=3,1,0),if(N10-$N$4=3,1,0),if(O10-$O$4=3,1,0),if(P10-$P$4=3,1,0),if(Q10-$Q$4=3,1,0),if(R10-$R$4=3,1,0),if(S10-$S$4=3,1,0),if(T10-$T$4=3,1,0),if(U10-$U$4=3,1,0))</f>
        <v>0</v>
      </c>
      <c r="AG10" s="38">
        <f t="array" ref="AG10">sum(if(D10-$D$4&gt;3,1,0),if(E10-$E$4&gt;3,1,0),if(F10-$F$4&gt;3,1,0),if(G10-$G$4&gt;3,1,0),if(H10-$H$4&gt;3,1,0),if(I10-$I$4&gt;3,1,0),if(J10-$J$4&gt;3,1,0),if(K10-$K$4&gt;3,1,0),if(L10-$L$4&gt;3,1,0),if(M10-$M$4&gt;3,1,0),if(N10-$N$4&gt;3,1,0),if(O10-$O$4&gt;3,1,0),if(P10-$P$4&gt;3,1,0),if(Q10-$Q$4&gt;3,1,0),if(R10-$R$4&gt;3,1,0),if(S10-$S$4&gt;3,1,0),if(T10-$T$4&gt;3,1,0),if(U10-$U$4&gt;3,1,0))</f>
        <v>0</v>
      </c>
      <c r="AH10" s="38">
        <f t="shared" si="5"/>
        <v>18</v>
      </c>
    </row>
    <row r="11" ht="12.75" customHeight="1">
      <c r="A11" s="32" t="str">
        <f>SETUP!A11</f>
        <v>Jeff B</v>
      </c>
      <c r="B11" s="33">
        <f t="array" ref="B11">if(A11="","",index(SETUP!C:C,match(A11,SETUP!A:A,0)))</f>
        <v>22</v>
      </c>
      <c r="C11" s="17"/>
      <c r="D11" s="35">
        <f>if(Scorecards!D11="","",Scorecards!D11-IF(Scorecards!$B11&gt;0,FLOOR(Scorecards!$B11/18,1),0)-IF(AND(MOD(Scorecards!$B11,18)&gt;=Scorecards!D$3,Scorecards!$B11&gt;0),1,0)+IF(Scorecards!D$3-18&gt;Scorecards!$B11,1,0))</f>
        <v>3</v>
      </c>
      <c r="E11" s="35">
        <f>if(Scorecards!E11="","",Scorecards!E11-IF(Scorecards!$B11&gt;0,FLOOR(Scorecards!$B11/18,1),0)-IF(AND(MOD(Scorecards!$B11,18)&gt;=Scorecards!E$3,Scorecards!$B11&gt;0),1,0)+IF(Scorecards!E$3-18&gt;Scorecards!$B11,1,0))</f>
        <v>5</v>
      </c>
      <c r="F11" s="35">
        <f>if(Scorecards!F11="","",Scorecards!F11-IF(Scorecards!$B11&gt;0,FLOOR(Scorecards!$B11/18,1),0)-IF(AND(MOD(Scorecards!$B11,18)&gt;=Scorecards!F$3,Scorecards!$B11&gt;0),1,0)+IF(Scorecards!F$3-18&gt;Scorecards!$B11,1,0))</f>
        <v>5</v>
      </c>
      <c r="G11" s="35">
        <f>if(Scorecards!G11="","",Scorecards!G11-IF(Scorecards!$B11&gt;0,FLOOR(Scorecards!$B11/18,1),0)-IF(AND(MOD(Scorecards!$B11,18)&gt;=Scorecards!G$3,Scorecards!$B11&gt;0),1,0)+IF(Scorecards!G$3-18&gt;Scorecards!$B11,1,0))</f>
        <v>4</v>
      </c>
      <c r="H11" s="35">
        <f>if(Scorecards!H11="","",Scorecards!H11-IF(Scorecards!$B11&gt;0,FLOOR(Scorecards!$B11/18,1),0)-IF(AND(MOD(Scorecards!$B11,18)&gt;=Scorecards!H$3,Scorecards!$B11&gt;0),1,0)+IF(Scorecards!H$3-18&gt;Scorecards!$B11,1,0))</f>
        <v>5</v>
      </c>
      <c r="I11" s="35">
        <f>if(Scorecards!I11="","",Scorecards!I11-IF(Scorecards!$B11&gt;0,FLOOR(Scorecards!$B11/18,1),0)-IF(AND(MOD(Scorecards!$B11,18)&gt;=Scorecards!I$3,Scorecards!$B11&gt;0),1,0)+IF(Scorecards!I$3-18&gt;Scorecards!$B11,1,0))</f>
        <v>3</v>
      </c>
      <c r="J11" s="35">
        <f>if(Scorecards!J11="","",Scorecards!J11-IF(Scorecards!$B11&gt;0,FLOOR(Scorecards!$B11/18,1),0)-IF(AND(MOD(Scorecards!$B11,18)&gt;=Scorecards!J$3,Scorecards!$B11&gt;0),1,0)+IF(Scorecards!J$3-18&gt;Scorecards!$B11,1,0))</f>
        <v>7</v>
      </c>
      <c r="K11" s="35">
        <f>if(Scorecards!K11="","",Scorecards!K11-IF(Scorecards!$B11&gt;0,FLOOR(Scorecards!$B11/18,1),0)-IF(AND(MOD(Scorecards!$B11,18)&gt;=Scorecards!K$3,Scorecards!$B11&gt;0),1,0)+IF(Scorecards!K$3-18&gt;Scorecards!$B11,1,0))</f>
        <v>3</v>
      </c>
      <c r="L11" s="35">
        <f>if(Scorecards!L11="","",Scorecards!L11-IF(Scorecards!$B11&gt;0,FLOOR(Scorecards!$B11/18,1),0)-IF(AND(MOD(Scorecards!$B11,18)&gt;=Scorecards!L$3,Scorecards!$B11&gt;0),1,0)+IF(Scorecards!L$3-18&gt;Scorecards!$B11,1,0))</f>
        <v>3</v>
      </c>
      <c r="M11" s="35">
        <f>if(Scorecards!M11="","",Scorecards!M11-IF(Scorecards!$B11&gt;0,FLOOR(Scorecards!$B11/18,1),0)-IF(AND(MOD(Scorecards!$B11,18)&gt;=Scorecards!M$3,Scorecards!$B11&gt;0),1,0)+IF(Scorecards!M$3-18&gt;Scorecards!$B11,1,0))</f>
        <v>3</v>
      </c>
      <c r="N11" s="35">
        <f>if(Scorecards!N11="","",Scorecards!N11-IF(Scorecards!$B11&gt;0,FLOOR(Scorecards!$B11/18,1),0)-IF(AND(MOD(Scorecards!$B11,18)&gt;=Scorecards!N$3,Scorecards!$B11&gt;0),1,0)+IF(Scorecards!N$3-18&gt;Scorecards!$B11,1,0))</f>
        <v>4</v>
      </c>
      <c r="O11" s="35">
        <f>if(Scorecards!O11="","",Scorecards!O11-IF(Scorecards!$B11&gt;0,FLOOR(Scorecards!$B11/18,1),0)-IF(AND(MOD(Scorecards!$B11,18)&gt;=Scorecards!O$3,Scorecards!$B11&gt;0),1,0)+IF(Scorecards!O$3-18&gt;Scorecards!$B11,1,0))</f>
        <v>5</v>
      </c>
      <c r="P11" s="35">
        <f>if(Scorecards!P11="","",Scorecards!P11-IF(Scorecards!$B11&gt;0,FLOOR(Scorecards!$B11/18,1),0)-IF(AND(MOD(Scorecards!$B11,18)&gt;=Scorecards!P$3,Scorecards!$B11&gt;0),1,0)+IF(Scorecards!P$3-18&gt;Scorecards!$B11,1,0))</f>
        <v>3</v>
      </c>
      <c r="Q11" s="35">
        <f>if(Scorecards!Q11="","",Scorecards!Q11-IF(Scorecards!$B11&gt;0,FLOOR(Scorecards!$B11/18,1),0)-IF(AND(MOD(Scorecards!$B11,18)&gt;=Scorecards!Q$3,Scorecards!$B11&gt;0),1,0)+IF(Scorecards!Q$3-18&gt;Scorecards!$B11,1,0))</f>
        <v>6</v>
      </c>
      <c r="R11" s="35">
        <f>if(Scorecards!R11="","",Scorecards!R11-IF(Scorecards!$B11&gt;0,FLOOR(Scorecards!$B11/18,1),0)-IF(AND(MOD(Scorecards!$B11,18)&gt;=Scorecards!R$3,Scorecards!$B11&gt;0),1,0)+IF(Scorecards!R$3-18&gt;Scorecards!$B11,1,0))</f>
        <v>5</v>
      </c>
      <c r="S11" s="35">
        <f>if(Scorecards!S11="","",Scorecards!S11-IF(Scorecards!$B11&gt;0,FLOOR(Scorecards!$B11/18,1),0)-IF(AND(MOD(Scorecards!$B11,18)&gt;=Scorecards!S$3,Scorecards!$B11&gt;0),1,0)+IF(Scorecards!S$3-18&gt;Scorecards!$B11,1,0))</f>
        <v>5</v>
      </c>
      <c r="T11" s="35">
        <f>if(Scorecards!T11="","",Scorecards!T11-IF(Scorecards!$B11&gt;0,FLOOR(Scorecards!$B11/18,1),0)-IF(AND(MOD(Scorecards!$B11,18)&gt;=Scorecards!T$3,Scorecards!$B11&gt;0),1,0)+IF(Scorecards!T$3-18&gt;Scorecards!$B11,1,0))</f>
        <v>4</v>
      </c>
      <c r="U11" s="35">
        <f>if(Scorecards!U11="","",Scorecards!U11-IF(Scorecards!$B11&gt;0,FLOOR(Scorecards!$B11/18,1),0)-IF(AND(MOD(Scorecards!$B11,18)&gt;=Scorecards!U$3,Scorecards!$B11&gt;0),1,0)+IF(Scorecards!U$3-18&gt;Scorecards!$B11,1,0))</f>
        <v>4</v>
      </c>
      <c r="V11" s="36">
        <f t="shared" si="1"/>
        <v>38</v>
      </c>
      <c r="W11" s="36">
        <f t="shared" si="2"/>
        <v>39</v>
      </c>
      <c r="X11" s="36">
        <f t="shared" si="3"/>
        <v>77</v>
      </c>
      <c r="Y11" s="37">
        <f t="shared" si="4"/>
        <v>55</v>
      </c>
      <c r="Z11" s="38">
        <f t="array" ref="Z11">sum(if(D11-$D$4=-3,1,0),if(E11-$E$4=-3,1,0),if(F11-$F$4=-3,1,0),if(G11-$G$4=-3,1,0),if(H11-$H$4=-3,1,0),if(I11-$I$4=-3,1,0),if(J11-$J$4=-3,1,0),if(K11-$K$4=-3,1,0),if(L11-$L$4=-3,1,0),if(M11-$M$4=-3,1,0),if(N11-$N$4=-3,1,0),if(O11-$O$4=-3,1,0),if(P11-$P$4=-3,1,0),if(Q11-$Q$4=-3,1,0),if(R11-$R$4=-3,1,0),if(S11-$S$4=-3,1,0),if(T11-$T$4=-3,1,0),if(U11-$U$4=-3,1,0))</f>
        <v>0</v>
      </c>
      <c r="AA11" s="38">
        <f t="array" ref="AA11">sum(if(D11-$D$4=-2,1,0),if(E11-$E$4=-2,1,0),if(F11-$F$4=-2,1,0),if(G11-$G$4=-2,1,0),if(H11-$H$4=-2,1,0),if(I11-$I$4=-2,1,0),if(J11-$J$4=-2,1,0),if(K11-$K$4=-2,1,0),if(L11-$L$4=-2,1,0),if(M11-$M$4=-2,1,0),if(N11-$N$4=-2,1,0),if(O11-$O$4=-2,1,0),if(P11-$P$4=-2,1,0),if(Q11-$Q$4=-2,1,0),if(R11-$R$4=-2,1,0),if(S11-$S$4=-2,1,0),if(T11-$T$4=-2,1,0),if(U11-$U$4=-2,1,0))</f>
        <v>0</v>
      </c>
      <c r="AB11" s="38">
        <f t="array" ref="AB11">sum(if(D11-$D$4=-1,1,0),if(E11-$E$4=-1,1,0),if(F11-$F$4=-1,1,0),if(G11-$G$4=-1,1,0),if(H11-$H$4=-1,1,0),if(I11-$I$4=-1,1,0),if(J11-$J$4=-1,1,0),if(K11-$K$4=-1,1,0),if(L11-$L$4=-1,1,0),if(M11-$M$4=-1,1,0),if(N11-$N$4=-1,1,0),if(O11-$O$4=-1,1,0),if(P11-$P$4=-1,1,0),if(Q11-$Q$4=-1,1,0),if(R11-$R$4=-1,1,0),if(S11-$S$4=-1,1,0),if(T11-$T$4=-1,1,0),if(U11-$U$4=-1,1,0))</f>
        <v>5</v>
      </c>
      <c r="AC11" s="38">
        <f t="array" ref="AC11">sum(if(D11-$D$4=0,1,0),if(E11-$E$4=0,1,0),if(F11-$F$4=0,1,0),if(G11-$G$4=0,1,0),if(H11-$H$4=0,1,0),if(I11-$I$4=0,1,0),if(J11-$J$4=0,1,0),if(K11-$K$4=0,1,0),if(L11-$L$4=0,1,0),if(M11-$M$4=0,1,0),if(N11-$N$4=0,1,0),if(O11-$O$4=0,1,0),if(P11-$P$4=0,1,0),if(Q11-$Q$4=0,1,0),if(R11-$R$4=0,1,0),if(S11-$S$4=0,1,0),if(T11-$T$4=0,1,0),if(U11-$U$4=0,1,0))</f>
        <v>5</v>
      </c>
      <c r="AD11" s="38">
        <f t="array" ref="AD11">sum(if(D11-$D$4=1,1,0),if(E11-$E$4=1,1,0),if(F11-$F$4=1,1,0),if(G11-$G$4=1,1,0),if(H11-$H$4=1,1,0),if(I11-$I$4=1,1,0),if(J11-$J$4=1,1,0),if(K11-$K$4=1,1,0),if(L11-$L$4=1,1,0),if(M11-$M$4=1,1,0),if(N11-$N$4=1,1,0),if(O11-$O$4=1,1,0),if(P11-$P$4=1,1,0),if(Q11-$Q$4=1,1,0),if(R11-$R$4=1,1,0),if(S11-$S$4=1,1,0),if(T11-$T$4=1,1,0),if(U11-$U$4=1,1,0))</f>
        <v>6</v>
      </c>
      <c r="AE11" s="38">
        <f t="array" ref="AE11">sum(if(D11-$D$4=2,1,0),if(E11-$E$4=2,1,0),if(F11-$F$4=2,1,0),if(G11-$G$4=2,1,0),if(H11-$H$4=2,1,0),if(I11-$I$4=2,1,0),if(J11-$J$4=2,1,0),if(K11-$K$4=2,1,0),if(L11-$L$4=2,1,0),if(M11-$M$4=2,1,0),if(N11-$N$4=2,1,0),if(O11-$O$4=2,1,0),if(P11-$P$4=2,1,0),if(Q11-$Q$4=2,1,0),if(R11-$R$4=2,1,0),if(S11-$S$4=2,1,0),if(T11-$T$4=2,1,0),if(U11-$U$4=2,1,0))</f>
        <v>2</v>
      </c>
      <c r="AF11" s="38">
        <f t="array" ref="AF11">sum(if(D11-$D$4=3,1,0),if(E11-$E$4=3,1,0),if(F11-$F$4=3,1,0),if(G11-$G$4=3,1,0),if(H11-$H$4=3,1,0),if(I11-$I$4=3,1,0),if(J11-$J$4=3,1,0),if(K11-$K$4=3,1,0),if(L11-$L$4=3,1,0),if(M11-$M$4=3,1,0),if(N11-$N$4=3,1,0),if(O11-$O$4=3,1,0),if(P11-$P$4=3,1,0),if(Q11-$Q$4=3,1,0),if(R11-$R$4=3,1,0),if(S11-$S$4=3,1,0),if(T11-$T$4=3,1,0),if(U11-$U$4=3,1,0))</f>
        <v>0</v>
      </c>
      <c r="AG11" s="38">
        <f t="array" ref="AG11">sum(if(D11-$D$4&gt;3,1,0),if(E11-$E$4&gt;3,1,0),if(F11-$F$4&gt;3,1,0),if(G11-$G$4&gt;3,1,0),if(H11-$H$4&gt;3,1,0),if(I11-$I$4&gt;3,1,0),if(J11-$J$4&gt;3,1,0),if(K11-$K$4&gt;3,1,0),if(L11-$L$4&gt;3,1,0),if(M11-$M$4&gt;3,1,0),if(N11-$N$4&gt;3,1,0),if(O11-$O$4&gt;3,1,0),if(P11-$P$4&gt;3,1,0),if(Q11-$Q$4&gt;3,1,0),if(R11-$R$4&gt;3,1,0),if(S11-$S$4&gt;3,1,0),if(T11-$T$4&gt;3,1,0),if(U11-$U$4&gt;3,1,0))</f>
        <v>0</v>
      </c>
      <c r="AH11" s="38">
        <f t="shared" si="5"/>
        <v>18</v>
      </c>
    </row>
    <row r="12" ht="12.75" customHeight="1">
      <c r="A12" s="32" t="str">
        <f>SETUP!A12</f>
        <v>Joe S</v>
      </c>
      <c r="B12" s="33">
        <f t="array" ref="B12">if(A12="","",index(SETUP!C:C,match(A12,SETUP!A:A,0)))</f>
        <v>15</v>
      </c>
      <c r="C12" s="17"/>
      <c r="D12" s="35">
        <f>if(Scorecards!D12="","",Scorecards!D12-IF(Scorecards!$B12&gt;0,FLOOR(Scorecards!$B12/18,1),0)-IF(AND(MOD(Scorecards!$B12,18)&gt;=Scorecards!D$3,Scorecards!$B12&gt;0),1,0)+IF(Scorecards!D$3-18&gt;Scorecards!$B12,1,0))</f>
        <v>4</v>
      </c>
      <c r="E12" s="35">
        <f>if(Scorecards!E12="","",Scorecards!E12-IF(Scorecards!$B12&gt;0,FLOOR(Scorecards!$B12/18,1),0)-IF(AND(MOD(Scorecards!$B12,18)&gt;=Scorecards!E$3,Scorecards!$B12&gt;0),1,0)+IF(Scorecards!E$3-18&gt;Scorecards!$B12,1,0))</f>
        <v>4</v>
      </c>
      <c r="F12" s="35">
        <f>if(Scorecards!F12="","",Scorecards!F12-IF(Scorecards!$B12&gt;0,FLOOR(Scorecards!$B12/18,1),0)-IF(AND(MOD(Scorecards!$B12,18)&gt;=Scorecards!F$3,Scorecards!$B12&gt;0),1,0)+IF(Scorecards!F$3-18&gt;Scorecards!$B12,1,0))</f>
        <v>5</v>
      </c>
      <c r="G12" s="35">
        <f>if(Scorecards!G12="","",Scorecards!G12-IF(Scorecards!$B12&gt;0,FLOOR(Scorecards!$B12/18,1),0)-IF(AND(MOD(Scorecards!$B12,18)&gt;=Scorecards!G$3,Scorecards!$B12&gt;0),1,0)+IF(Scorecards!G$3-18&gt;Scorecards!$B12,1,0))</f>
        <v>6</v>
      </c>
      <c r="H12" s="35">
        <f>if(Scorecards!H12="","",Scorecards!H12-IF(Scorecards!$B12&gt;0,FLOOR(Scorecards!$B12/18,1),0)-IF(AND(MOD(Scorecards!$B12,18)&gt;=Scorecards!H$3,Scorecards!$B12&gt;0),1,0)+IF(Scorecards!H$3-18&gt;Scorecards!$B12,1,0))</f>
        <v>4</v>
      </c>
      <c r="I12" s="35">
        <f>if(Scorecards!I12="","",Scorecards!I12-IF(Scorecards!$B12&gt;0,FLOOR(Scorecards!$B12/18,1),0)-IF(AND(MOD(Scorecards!$B12,18)&gt;=Scorecards!I$3,Scorecards!$B12&gt;0),1,0)+IF(Scorecards!I$3-18&gt;Scorecards!$B12,1,0))</f>
        <v>3</v>
      </c>
      <c r="J12" s="35">
        <f>if(Scorecards!J12="","",Scorecards!J12-IF(Scorecards!$B12&gt;0,FLOOR(Scorecards!$B12/18,1),0)-IF(AND(MOD(Scorecards!$B12,18)&gt;=Scorecards!J$3,Scorecards!$B12&gt;0),1,0)+IF(Scorecards!J$3-18&gt;Scorecards!$B12,1,0))</f>
        <v>5</v>
      </c>
      <c r="K12" s="35">
        <f>if(Scorecards!K12="","",Scorecards!K12-IF(Scorecards!$B12&gt;0,FLOOR(Scorecards!$B12/18,1),0)-IF(AND(MOD(Scorecards!$B12,18)&gt;=Scorecards!K$3,Scorecards!$B12&gt;0),1,0)+IF(Scorecards!K$3-18&gt;Scorecards!$B12,1,0))</f>
        <v>4</v>
      </c>
      <c r="L12" s="35">
        <f>if(Scorecards!L12="","",Scorecards!L12-IF(Scorecards!$B12&gt;0,FLOOR(Scorecards!$B12/18,1),0)-IF(AND(MOD(Scorecards!$B12,18)&gt;=Scorecards!L$3,Scorecards!$B12&gt;0),1,0)+IF(Scorecards!L$3-18&gt;Scorecards!$B12,1,0))</f>
        <v>4</v>
      </c>
      <c r="M12" s="35">
        <f>if(Scorecards!M12="","",Scorecards!M12-IF(Scorecards!$B12&gt;0,FLOOR(Scorecards!$B12/18,1),0)-IF(AND(MOD(Scorecards!$B12,18)&gt;=Scorecards!M$3,Scorecards!$B12&gt;0),1,0)+IF(Scorecards!M$3-18&gt;Scorecards!$B12,1,0))</f>
        <v>4</v>
      </c>
      <c r="N12" s="35">
        <f>if(Scorecards!N12="","",Scorecards!N12-IF(Scorecards!$B12&gt;0,FLOOR(Scorecards!$B12/18,1),0)-IF(AND(MOD(Scorecards!$B12,18)&gt;=Scorecards!N$3,Scorecards!$B12&gt;0),1,0)+IF(Scorecards!N$3-18&gt;Scorecards!$B12,1,0))</f>
        <v>3</v>
      </c>
      <c r="O12" s="35">
        <f>if(Scorecards!O12="","",Scorecards!O12-IF(Scorecards!$B12&gt;0,FLOOR(Scorecards!$B12/18,1),0)-IF(AND(MOD(Scorecards!$B12,18)&gt;=Scorecards!O$3,Scorecards!$B12&gt;0),1,0)+IF(Scorecards!O$3-18&gt;Scorecards!$B12,1,0))</f>
        <v>4</v>
      </c>
      <c r="P12" s="35">
        <f>if(Scorecards!P12="","",Scorecards!P12-IF(Scorecards!$B12&gt;0,FLOOR(Scorecards!$B12/18,1),0)-IF(AND(MOD(Scorecards!$B12,18)&gt;=Scorecards!P$3,Scorecards!$B12&gt;0),1,0)+IF(Scorecards!P$3-18&gt;Scorecards!$B12,1,0))</f>
        <v>3</v>
      </c>
      <c r="Q12" s="35">
        <f>if(Scorecards!Q12="","",Scorecards!Q12-IF(Scorecards!$B12&gt;0,FLOOR(Scorecards!$B12/18,1),0)-IF(AND(MOD(Scorecards!$B12,18)&gt;=Scorecards!Q$3,Scorecards!$B12&gt;0),1,0)+IF(Scorecards!Q$3-18&gt;Scorecards!$B12,1,0))</f>
        <v>5</v>
      </c>
      <c r="R12" s="35">
        <f>if(Scorecards!R12="","",Scorecards!R12-IF(Scorecards!$B12&gt;0,FLOOR(Scorecards!$B12/18,1),0)-IF(AND(MOD(Scorecards!$B12,18)&gt;=Scorecards!R$3,Scorecards!$B12&gt;0),1,0)+IF(Scorecards!R$3-18&gt;Scorecards!$B12,1,0))</f>
        <v>4</v>
      </c>
      <c r="S12" s="35">
        <f>if(Scorecards!S12="","",Scorecards!S12-IF(Scorecards!$B12&gt;0,FLOOR(Scorecards!$B12/18,1),0)-IF(AND(MOD(Scorecards!$B12,18)&gt;=Scorecards!S$3,Scorecards!$B12&gt;0),1,0)+IF(Scorecards!S$3-18&gt;Scorecards!$B12,1,0))</f>
        <v>4</v>
      </c>
      <c r="T12" s="35">
        <f>if(Scorecards!T12="","",Scorecards!T12-IF(Scorecards!$B12&gt;0,FLOOR(Scorecards!$B12/18,1),0)-IF(AND(MOD(Scorecards!$B12,18)&gt;=Scorecards!T$3,Scorecards!$B12&gt;0),1,0)+IF(Scorecards!T$3-18&gt;Scorecards!$B12,1,0))</f>
        <v>3</v>
      </c>
      <c r="U12" s="35">
        <f>if(Scorecards!U12="","",Scorecards!U12-IF(Scorecards!$B12&gt;0,FLOOR(Scorecards!$B12/18,1),0)-IF(AND(MOD(Scorecards!$B12,18)&gt;=Scorecards!U$3,Scorecards!$B12&gt;0),1,0)+IF(Scorecards!U$3-18&gt;Scorecards!$B12,1,0))</f>
        <v>3</v>
      </c>
      <c r="V12" s="36">
        <f t="shared" si="1"/>
        <v>39</v>
      </c>
      <c r="W12" s="36">
        <f t="shared" si="2"/>
        <v>33</v>
      </c>
      <c r="X12" s="36">
        <f t="shared" si="3"/>
        <v>72</v>
      </c>
      <c r="Y12" s="37">
        <f t="shared" si="4"/>
        <v>57</v>
      </c>
      <c r="Z12" s="38">
        <f t="array" ref="Z12">sum(if(D12-$D$4=-3,1,0),if(E12-$E$4=-3,1,0),if(F12-$F$4=-3,1,0),if(G12-$G$4=-3,1,0),if(H12-$H$4=-3,1,0),if(I12-$I$4=-3,1,0),if(J12-$J$4=-3,1,0),if(K12-$K$4=-3,1,0),if(L12-$L$4=-3,1,0),if(M12-$M$4=-3,1,0),if(N12-$N$4=-3,1,0),if(O12-$O$4=-3,1,0),if(P12-$P$4=-3,1,0),if(Q12-$Q$4=-3,1,0),if(R12-$R$4=-3,1,0),if(S12-$S$4=-3,1,0),if(T12-$T$4=-3,1,0),if(U12-$U$4=-3,1,0))</f>
        <v>0</v>
      </c>
      <c r="AA12" s="38">
        <f t="array" ref="AA12">sum(if(D12-$D$4=-2,1,0),if(E12-$E$4=-2,1,0),if(F12-$F$4=-2,1,0),if(G12-$G$4=-2,1,0),if(H12-$H$4=-2,1,0),if(I12-$I$4=-2,1,0),if(J12-$J$4=-2,1,0),if(K12-$K$4=-2,1,0),if(L12-$L$4=-2,1,0),if(M12-$M$4=-2,1,0),if(N12-$N$4=-2,1,0),if(O12-$O$4=-2,1,0),if(P12-$P$4=-2,1,0),if(Q12-$Q$4=-2,1,0),if(R12-$R$4=-2,1,0),if(S12-$S$4=-2,1,0),if(T12-$T$4=-2,1,0),if(U12-$U$4=-2,1,0))</f>
        <v>1</v>
      </c>
      <c r="AB12" s="38">
        <f t="array" ref="AB12">sum(if(D12-$D$4=-1,1,0),if(E12-$E$4=-1,1,0),if(F12-$F$4=-1,1,0),if(G12-$G$4=-1,1,0),if(H12-$H$4=-1,1,0),if(I12-$I$4=-1,1,0),if(J12-$J$4=-1,1,0),if(K12-$K$4=-1,1,0),if(L12-$L$4=-1,1,0),if(M12-$M$4=-1,1,0),if(N12-$N$4=-1,1,0),if(O12-$O$4=-1,1,0),if(P12-$P$4=-1,1,0),if(Q12-$Q$4=-1,1,0),if(R12-$R$4=-1,1,0),if(S12-$S$4=-1,1,0),if(T12-$T$4=-1,1,0),if(U12-$U$4=-1,1,0))</f>
        <v>2</v>
      </c>
      <c r="AC12" s="38">
        <f t="array" ref="AC12">sum(if(D12-$D$4=0,1,0),if(E12-$E$4=0,1,0),if(F12-$F$4=0,1,0),if(G12-$G$4=0,1,0),if(H12-$H$4=0,1,0),if(I12-$I$4=0,1,0),if(J12-$J$4=0,1,0),if(K12-$K$4=0,1,0),if(L12-$L$4=0,1,0),if(M12-$M$4=0,1,0),if(N12-$N$4=0,1,0),if(O12-$O$4=0,1,0),if(P12-$P$4=0,1,0),if(Q12-$Q$4=0,1,0),if(R12-$R$4=0,1,0),if(S12-$S$4=0,1,0),if(T12-$T$4=0,1,0),if(U12-$U$4=0,1,0))</f>
        <v>11</v>
      </c>
      <c r="AD12" s="38">
        <f t="array" ref="AD12">sum(if(D12-$D$4=1,1,0),if(E12-$E$4=1,1,0),if(F12-$F$4=1,1,0),if(G12-$G$4=1,1,0),if(H12-$H$4=1,1,0),if(I12-$I$4=1,1,0),if(J12-$J$4=1,1,0),if(K12-$K$4=1,1,0),if(L12-$L$4=1,1,0),if(M12-$M$4=1,1,0),if(N12-$N$4=1,1,0),if(O12-$O$4=1,1,0),if(P12-$P$4=1,1,0),if(Q12-$Q$4=1,1,0),if(R12-$R$4=1,1,0),if(S12-$S$4=1,1,0),if(T12-$T$4=1,1,0),if(U12-$U$4=1,1,0))</f>
        <v>4</v>
      </c>
      <c r="AE12" s="38">
        <f t="array" ref="AE12">sum(if(D12-$D$4=2,1,0),if(E12-$E$4=2,1,0),if(F12-$F$4=2,1,0),if(G12-$G$4=2,1,0),if(H12-$H$4=2,1,0),if(I12-$I$4=2,1,0),if(J12-$J$4=2,1,0),if(K12-$K$4=2,1,0),if(L12-$L$4=2,1,0),if(M12-$M$4=2,1,0),if(N12-$N$4=2,1,0),if(O12-$O$4=2,1,0),if(P12-$P$4=2,1,0),if(Q12-$Q$4=2,1,0),if(R12-$R$4=2,1,0),if(S12-$S$4=2,1,0),if(T12-$T$4=2,1,0),if(U12-$U$4=2,1,0))</f>
        <v>0</v>
      </c>
      <c r="AF12" s="38">
        <f t="array" ref="AF12">sum(if(D12-$D$4=3,1,0),if(E12-$E$4=3,1,0),if(F12-$F$4=3,1,0),if(G12-$G$4=3,1,0),if(H12-$H$4=3,1,0),if(I12-$I$4=3,1,0),if(J12-$J$4=3,1,0),if(K12-$K$4=3,1,0),if(L12-$L$4=3,1,0),if(M12-$M$4=3,1,0),if(N12-$N$4=3,1,0),if(O12-$O$4=3,1,0),if(P12-$P$4=3,1,0),if(Q12-$Q$4=3,1,0),if(R12-$R$4=3,1,0),if(S12-$S$4=3,1,0),if(T12-$T$4=3,1,0),if(U12-$U$4=3,1,0))</f>
        <v>0</v>
      </c>
      <c r="AG12" s="38">
        <f t="array" ref="AG12">sum(if(D12-$D$4&gt;3,1,0),if(E12-$E$4&gt;3,1,0),if(F12-$F$4&gt;3,1,0),if(G12-$G$4&gt;3,1,0),if(H12-$H$4&gt;3,1,0),if(I12-$I$4&gt;3,1,0),if(J12-$J$4&gt;3,1,0),if(K12-$K$4&gt;3,1,0),if(L12-$L$4&gt;3,1,0),if(M12-$M$4&gt;3,1,0),if(N12-$N$4&gt;3,1,0),if(O12-$O$4&gt;3,1,0),if(P12-$P$4&gt;3,1,0),if(Q12-$Q$4&gt;3,1,0),if(R12-$R$4&gt;3,1,0),if(S12-$S$4&gt;3,1,0),if(T12-$T$4&gt;3,1,0),if(U12-$U$4&gt;3,1,0))</f>
        <v>0</v>
      </c>
      <c r="AH12" s="38">
        <f t="shared" si="5"/>
        <v>18</v>
      </c>
    </row>
    <row r="13" ht="12.75" customHeight="1">
      <c r="A13" s="32" t="str">
        <f>SETUP!A13</f>
        <v>John C</v>
      </c>
      <c r="B13" s="33">
        <f t="array" ref="B13">if(A13="","",index(SETUP!C:C,match(A13,SETUP!A:A,0)))</f>
        <v>23</v>
      </c>
      <c r="C13" s="17"/>
      <c r="D13" s="35">
        <f>if(Scorecards!D13="","",Scorecards!D13-IF(Scorecards!$B13&gt;0,FLOOR(Scorecards!$B13/18,1),0)-IF(AND(MOD(Scorecards!$B13,18)&gt;=Scorecards!D$3,Scorecards!$B13&gt;0),1,0)+IF(Scorecards!D$3-18&gt;Scorecards!$B13,1,0))</f>
        <v>6</v>
      </c>
      <c r="E13" s="35">
        <f>if(Scorecards!E13="","",Scorecards!E13-IF(Scorecards!$B13&gt;0,FLOOR(Scorecards!$B13/18,1),0)-IF(AND(MOD(Scorecards!$B13,18)&gt;=Scorecards!E$3,Scorecards!$B13&gt;0),1,0)+IF(Scorecards!E$3-18&gt;Scorecards!$B13,1,0))</f>
        <v>5</v>
      </c>
      <c r="F13" s="35">
        <f>if(Scorecards!F13="","",Scorecards!F13-IF(Scorecards!$B13&gt;0,FLOOR(Scorecards!$B13/18,1),0)-IF(AND(MOD(Scorecards!$B13,18)&gt;=Scorecards!F$3,Scorecards!$B13&gt;0),1,0)+IF(Scorecards!F$3-18&gt;Scorecards!$B13,1,0))</f>
        <v>3</v>
      </c>
      <c r="G13" s="35">
        <f>if(Scorecards!G13="","",Scorecards!G13-IF(Scorecards!$B13&gt;0,FLOOR(Scorecards!$B13/18,1),0)-IF(AND(MOD(Scorecards!$B13,18)&gt;=Scorecards!G$3,Scorecards!$B13&gt;0),1,0)+IF(Scorecards!G$3-18&gt;Scorecards!$B13,1,0))</f>
        <v>6</v>
      </c>
      <c r="H13" s="35">
        <f>if(Scorecards!H13="","",Scorecards!H13-IF(Scorecards!$B13&gt;0,FLOOR(Scorecards!$B13/18,1),0)-IF(AND(MOD(Scorecards!$B13,18)&gt;=Scorecards!H$3,Scorecards!$B13&gt;0),1,0)+IF(Scorecards!H$3-18&gt;Scorecards!$B13,1,0))</f>
        <v>3</v>
      </c>
      <c r="I13" s="35">
        <f>if(Scorecards!I13="","",Scorecards!I13-IF(Scorecards!$B13&gt;0,FLOOR(Scorecards!$B13/18,1),0)-IF(AND(MOD(Scorecards!$B13,18)&gt;=Scorecards!I$3,Scorecards!$B13&gt;0),1,0)+IF(Scorecards!I$3-18&gt;Scorecards!$B13,1,0))</f>
        <v>2</v>
      </c>
      <c r="J13" s="35">
        <f>if(Scorecards!J13="","",Scorecards!J13-IF(Scorecards!$B13&gt;0,FLOOR(Scorecards!$B13/18,1),0)-IF(AND(MOD(Scorecards!$B13,18)&gt;=Scorecards!J$3,Scorecards!$B13&gt;0),1,0)+IF(Scorecards!J$3-18&gt;Scorecards!$B13,1,0))</f>
        <v>4</v>
      </c>
      <c r="K13" s="35">
        <f>if(Scorecards!K13="","",Scorecards!K13-IF(Scorecards!$B13&gt;0,FLOOR(Scorecards!$B13/18,1),0)-IF(AND(MOD(Scorecards!$B13,18)&gt;=Scorecards!K$3,Scorecards!$B13&gt;0),1,0)+IF(Scorecards!K$3-18&gt;Scorecards!$B13,1,0))</f>
        <v>2</v>
      </c>
      <c r="L13" s="35">
        <f>if(Scorecards!L13="","",Scorecards!L13-IF(Scorecards!$B13&gt;0,FLOOR(Scorecards!$B13/18,1),0)-IF(AND(MOD(Scorecards!$B13,18)&gt;=Scorecards!L$3,Scorecards!$B13&gt;0),1,0)+IF(Scorecards!L$3-18&gt;Scorecards!$B13,1,0))</f>
        <v>2</v>
      </c>
      <c r="M13" s="35">
        <f>if(Scorecards!M13="","",Scorecards!M13-IF(Scorecards!$B13&gt;0,FLOOR(Scorecards!$B13/18,1),0)-IF(AND(MOD(Scorecards!$B13,18)&gt;=Scorecards!M$3,Scorecards!$B13&gt;0),1,0)+IF(Scorecards!M$3-18&gt;Scorecards!$B13,1,0))</f>
        <v>6</v>
      </c>
      <c r="N13" s="35">
        <f>if(Scorecards!N13="","",Scorecards!N13-IF(Scorecards!$B13&gt;0,FLOOR(Scorecards!$B13/18,1),0)-IF(AND(MOD(Scorecards!$B13,18)&gt;=Scorecards!N$3,Scorecards!$B13&gt;0),1,0)+IF(Scorecards!N$3-18&gt;Scorecards!$B13,1,0))</f>
        <v>6</v>
      </c>
      <c r="O13" s="35">
        <f>if(Scorecards!O13="","",Scorecards!O13-IF(Scorecards!$B13&gt;0,FLOOR(Scorecards!$B13/18,1),0)-IF(AND(MOD(Scorecards!$B13,18)&gt;=Scorecards!O$3,Scorecards!$B13&gt;0),1,0)+IF(Scorecards!O$3-18&gt;Scorecards!$B13,1,0))</f>
        <v>4</v>
      </c>
      <c r="P13" s="35">
        <f>if(Scorecards!P13="","",Scorecards!P13-IF(Scorecards!$B13&gt;0,FLOOR(Scorecards!$B13/18,1),0)-IF(AND(MOD(Scorecards!$B13,18)&gt;=Scorecards!P$3,Scorecards!$B13&gt;0),1,0)+IF(Scorecards!P$3-18&gt;Scorecards!$B13,1,0))</f>
        <v>2</v>
      </c>
      <c r="Q13" s="35">
        <f>if(Scorecards!Q13="","",Scorecards!Q13-IF(Scorecards!$B13&gt;0,FLOOR(Scorecards!$B13/18,1),0)-IF(AND(MOD(Scorecards!$B13,18)&gt;=Scorecards!Q$3,Scorecards!$B13&gt;0),1,0)+IF(Scorecards!Q$3-18&gt;Scorecards!$B13,1,0))</f>
        <v>3</v>
      </c>
      <c r="R13" s="35">
        <f>if(Scorecards!R13="","",Scorecards!R13-IF(Scorecards!$B13&gt;0,FLOOR(Scorecards!$B13/18,1),0)-IF(AND(MOD(Scorecards!$B13,18)&gt;=Scorecards!R$3,Scorecards!$B13&gt;0),1,0)+IF(Scorecards!R$3-18&gt;Scorecards!$B13,1,0))</f>
        <v>4</v>
      </c>
      <c r="S13" s="35">
        <f>if(Scorecards!S13="","",Scorecards!S13-IF(Scorecards!$B13&gt;0,FLOOR(Scorecards!$B13/18,1),0)-IF(AND(MOD(Scorecards!$B13,18)&gt;=Scorecards!S$3,Scorecards!$B13&gt;0),1,0)+IF(Scorecards!S$3-18&gt;Scorecards!$B13,1,0))</f>
        <v>4</v>
      </c>
      <c r="T13" s="35">
        <f>if(Scorecards!T13="","",Scorecards!T13-IF(Scorecards!$B13&gt;0,FLOOR(Scorecards!$B13/18,1),0)-IF(AND(MOD(Scorecards!$B13,18)&gt;=Scorecards!T$3,Scorecards!$B13&gt;0),1,0)+IF(Scorecards!T$3-18&gt;Scorecards!$B13,1,0))</f>
        <v>4</v>
      </c>
      <c r="U13" s="35">
        <f>if(Scorecards!U13="","",Scorecards!U13-IF(Scorecards!$B13&gt;0,FLOOR(Scorecards!$B13/18,1),0)-IF(AND(MOD(Scorecards!$B13,18)&gt;=Scorecards!U$3,Scorecards!$B13&gt;0),1,0)+IF(Scorecards!U$3-18&gt;Scorecards!$B13,1,0))</f>
        <v>5</v>
      </c>
      <c r="V13" s="36">
        <f t="shared" si="1"/>
        <v>33</v>
      </c>
      <c r="W13" s="36">
        <f t="shared" si="2"/>
        <v>38</v>
      </c>
      <c r="X13" s="36">
        <f t="shared" si="3"/>
        <v>71</v>
      </c>
      <c r="Y13" s="37">
        <f t="shared" si="4"/>
        <v>48</v>
      </c>
      <c r="Z13" s="38">
        <f t="array" ref="Z13">sum(if(D13-$D$4=-3,1,0),if(E13-$E$4=-3,1,0),if(F13-$F$4=-3,1,0),if(G13-$G$4=-3,1,0),if(H13-$H$4=-3,1,0),if(I13-$I$4=-3,1,0),if(J13-$J$4=-3,1,0),if(K13-$K$4=-3,1,0),if(L13-$L$4=-3,1,0),if(M13-$M$4=-3,1,0),if(N13-$N$4=-3,1,0),if(O13-$O$4=-3,1,0),if(P13-$P$4=-3,1,0),if(Q13-$Q$4=-3,1,0),if(R13-$R$4=-3,1,0),if(S13-$S$4=-3,1,0),if(T13-$T$4=-3,1,0),if(U13-$U$4=-3,1,0))</f>
        <v>0</v>
      </c>
      <c r="AA13" s="38">
        <f t="array" ref="AA13">sum(if(D13-$D$4=-2,1,0),if(E13-$E$4=-2,1,0),if(F13-$F$4=-2,1,0),if(G13-$G$4=-2,1,0),if(H13-$H$4=-2,1,0),if(I13-$I$4=-2,1,0),if(J13-$J$4=-2,1,0),if(K13-$K$4=-2,1,0),if(L13-$L$4=-2,1,0),if(M13-$M$4=-2,1,0),if(N13-$N$4=-2,1,0),if(O13-$O$4=-2,1,0),if(P13-$P$4=-2,1,0),if(Q13-$Q$4=-2,1,0),if(R13-$R$4=-2,1,0),if(S13-$S$4=-2,1,0),if(T13-$T$4=-2,1,0),if(U13-$U$4=-2,1,0))</f>
        <v>1</v>
      </c>
      <c r="AB13" s="38">
        <f t="array" ref="AB13">sum(if(D13-$D$4=-1,1,0),if(E13-$E$4=-1,1,0),if(F13-$F$4=-1,1,0),if(G13-$G$4=-1,1,0),if(H13-$H$4=-1,1,0),if(I13-$I$4=-1,1,0),if(J13-$J$4=-1,1,0),if(K13-$K$4=-1,1,0),if(L13-$L$4=-1,1,0),if(M13-$M$4=-1,1,0),if(N13-$N$4=-1,1,0),if(O13-$O$4=-1,1,0),if(P13-$P$4=-1,1,0),if(Q13-$Q$4=-1,1,0),if(R13-$R$4=-1,1,0),if(S13-$S$4=-1,1,0),if(T13-$T$4=-1,1,0),if(U13-$U$4=-1,1,0))</f>
        <v>8</v>
      </c>
      <c r="AC13" s="38">
        <f t="array" ref="AC13">sum(if(D13-$D$4=0,1,0),if(E13-$E$4=0,1,0),if(F13-$F$4=0,1,0),if(G13-$G$4=0,1,0),if(H13-$H$4=0,1,0),if(I13-$I$4=0,1,0),if(J13-$J$4=0,1,0),if(K13-$K$4=0,1,0),if(L13-$L$4=0,1,0),if(M13-$M$4=0,1,0),if(N13-$N$4=0,1,0),if(O13-$O$4=0,1,0),if(P13-$P$4=0,1,0),if(Q13-$Q$4=0,1,0),if(R13-$R$4=0,1,0),if(S13-$S$4=0,1,0),if(T13-$T$4=0,1,0),if(U13-$U$4=0,1,0))</f>
        <v>2</v>
      </c>
      <c r="AD13" s="38">
        <f t="array" ref="AD13">sum(if(D13-$D$4=1,1,0),if(E13-$E$4=1,1,0),if(F13-$F$4=1,1,0),if(G13-$G$4=1,1,0),if(H13-$H$4=1,1,0),if(I13-$I$4=1,1,0),if(J13-$J$4=1,1,0),if(K13-$K$4=1,1,0),if(L13-$L$4=1,1,0),if(M13-$M$4=1,1,0),if(N13-$N$4=1,1,0),if(O13-$O$4=1,1,0),if(P13-$P$4=1,1,0),if(Q13-$Q$4=1,1,0),if(R13-$R$4=1,1,0),if(S13-$S$4=1,1,0),if(T13-$T$4=1,1,0),if(U13-$U$4=1,1,0))</f>
        <v>5</v>
      </c>
      <c r="AE13" s="38">
        <f t="array" ref="AE13">sum(if(D13-$D$4=2,1,0),if(E13-$E$4=2,1,0),if(F13-$F$4=2,1,0),if(G13-$G$4=2,1,0),if(H13-$H$4=2,1,0),if(I13-$I$4=2,1,0),if(J13-$J$4=2,1,0),if(K13-$K$4=2,1,0),if(L13-$L$4=2,1,0),if(M13-$M$4=2,1,0),if(N13-$N$4=2,1,0),if(O13-$O$4=2,1,0),if(P13-$P$4=2,1,0),if(Q13-$Q$4=2,1,0),if(R13-$R$4=2,1,0),if(S13-$S$4=2,1,0),if(T13-$T$4=2,1,0),if(U13-$U$4=2,1,0))</f>
        <v>2</v>
      </c>
      <c r="AF13" s="38">
        <f t="array" ref="AF13">sum(if(D13-$D$4=3,1,0),if(E13-$E$4=3,1,0),if(F13-$F$4=3,1,0),if(G13-$G$4=3,1,0),if(H13-$H$4=3,1,0),if(I13-$I$4=3,1,0),if(J13-$J$4=3,1,0),if(K13-$K$4=3,1,0),if(L13-$L$4=3,1,0),if(M13-$M$4=3,1,0),if(N13-$N$4=3,1,0),if(O13-$O$4=3,1,0),if(P13-$P$4=3,1,0),if(Q13-$Q$4=3,1,0),if(R13-$R$4=3,1,0),if(S13-$S$4=3,1,0),if(T13-$T$4=3,1,0),if(U13-$U$4=3,1,0))</f>
        <v>0</v>
      </c>
      <c r="AG13" s="38">
        <f t="array" ref="AG13">sum(if(D13-$D$4&gt;3,1,0),if(E13-$E$4&gt;3,1,0),if(F13-$F$4&gt;3,1,0),if(G13-$G$4&gt;3,1,0),if(H13-$H$4&gt;3,1,0),if(I13-$I$4&gt;3,1,0),if(J13-$J$4&gt;3,1,0),if(K13-$K$4&gt;3,1,0),if(L13-$L$4&gt;3,1,0),if(M13-$M$4&gt;3,1,0),if(N13-$N$4&gt;3,1,0),if(O13-$O$4&gt;3,1,0),if(P13-$P$4&gt;3,1,0),if(Q13-$Q$4&gt;3,1,0),if(R13-$R$4&gt;3,1,0),if(S13-$S$4&gt;3,1,0),if(T13-$T$4&gt;3,1,0),if(U13-$U$4&gt;3,1,0))</f>
        <v>0</v>
      </c>
      <c r="AH13" s="38">
        <f t="shared" si="5"/>
        <v>18</v>
      </c>
    </row>
    <row r="14" ht="12.75" customHeight="1">
      <c r="A14" s="32" t="str">
        <f>SETUP!A14</f>
        <v>Ray H</v>
      </c>
      <c r="B14" s="33">
        <f t="array" ref="B14">if(A14="","",index(SETUP!C:C,match(A14,SETUP!A:A,0)))</f>
        <v>23</v>
      </c>
      <c r="C14" s="50"/>
      <c r="D14" s="35">
        <f>if(Scorecards!D14="","",Scorecards!D14-IF(Scorecards!$B14&gt;0,FLOOR(Scorecards!$B14/18,1),0)-IF(AND(MOD(Scorecards!$B14,18)&gt;=Scorecards!D$3,Scorecards!$B14&gt;0),1,0)+IF(Scorecards!D$3-18&gt;Scorecards!$B14,1,0))</f>
        <v>3</v>
      </c>
      <c r="E14" s="35">
        <f>if(Scorecards!E14="","",Scorecards!E14-IF(Scorecards!$B14&gt;0,FLOOR(Scorecards!$B14/18,1),0)-IF(AND(MOD(Scorecards!$B14,18)&gt;=Scorecards!E$3,Scorecards!$B14&gt;0),1,0)+IF(Scorecards!E$3-18&gt;Scorecards!$B14,1,0))</f>
        <v>6</v>
      </c>
      <c r="F14" s="35">
        <f>if(Scorecards!F14="","",Scorecards!F14-IF(Scorecards!$B14&gt;0,FLOOR(Scorecards!$B14/18,1),0)-IF(AND(MOD(Scorecards!$B14,18)&gt;=Scorecards!F$3,Scorecards!$B14&gt;0),1,0)+IF(Scorecards!F$3-18&gt;Scorecards!$B14,1,0))</f>
        <v>6</v>
      </c>
      <c r="G14" s="35">
        <f>if(Scorecards!G14="","",Scorecards!G14-IF(Scorecards!$B14&gt;0,FLOOR(Scorecards!$B14/18,1),0)-IF(AND(MOD(Scorecards!$B14,18)&gt;=Scorecards!G$3,Scorecards!$B14&gt;0),1,0)+IF(Scorecards!G$3-18&gt;Scorecards!$B14,1,0))</f>
        <v>6</v>
      </c>
      <c r="H14" s="35">
        <f>if(Scorecards!H14="","",Scorecards!H14-IF(Scorecards!$B14&gt;0,FLOOR(Scorecards!$B14/18,1),0)-IF(AND(MOD(Scorecards!$B14,18)&gt;=Scorecards!H$3,Scorecards!$B14&gt;0),1,0)+IF(Scorecards!H$3-18&gt;Scorecards!$B14,1,0))</f>
        <v>6</v>
      </c>
      <c r="I14" s="35">
        <f>if(Scorecards!I14="","",Scorecards!I14-IF(Scorecards!$B14&gt;0,FLOOR(Scorecards!$B14/18,1),0)-IF(AND(MOD(Scorecards!$B14,18)&gt;=Scorecards!I$3,Scorecards!$B14&gt;0),1,0)+IF(Scorecards!I$3-18&gt;Scorecards!$B14,1,0))</f>
        <v>4</v>
      </c>
      <c r="J14" s="35">
        <f>if(Scorecards!J14="","",Scorecards!J14-IF(Scorecards!$B14&gt;0,FLOOR(Scorecards!$B14/18,1),0)-IF(AND(MOD(Scorecards!$B14,18)&gt;=Scorecards!J$3,Scorecards!$B14&gt;0),1,0)+IF(Scorecards!J$3-18&gt;Scorecards!$B14,1,0))</f>
        <v>5</v>
      </c>
      <c r="K14" s="35">
        <f>if(Scorecards!K14="","",Scorecards!K14-IF(Scorecards!$B14&gt;0,FLOOR(Scorecards!$B14/18,1),0)-IF(AND(MOD(Scorecards!$B14,18)&gt;=Scorecards!K$3,Scorecards!$B14&gt;0),1,0)+IF(Scorecards!K$3-18&gt;Scorecards!$B14,1,0))</f>
        <v>5</v>
      </c>
      <c r="L14" s="35">
        <f>if(Scorecards!L14="","",Scorecards!L14-IF(Scorecards!$B14&gt;0,FLOOR(Scorecards!$B14/18,1),0)-IF(AND(MOD(Scorecards!$B14,18)&gt;=Scorecards!L$3,Scorecards!$B14&gt;0),1,0)+IF(Scorecards!L$3-18&gt;Scorecards!$B14,1,0))</f>
        <v>4</v>
      </c>
      <c r="M14" s="35">
        <f>if(Scorecards!M14="","",Scorecards!M14-IF(Scorecards!$B14&gt;0,FLOOR(Scorecards!$B14/18,1),0)-IF(AND(MOD(Scorecards!$B14,18)&gt;=Scorecards!M$3,Scorecards!$B14&gt;0),1,0)+IF(Scorecards!M$3-18&gt;Scorecards!$B14,1,0))</f>
        <v>4</v>
      </c>
      <c r="N14" s="35">
        <f>if(Scorecards!N14="","",Scorecards!N14-IF(Scorecards!$B14&gt;0,FLOOR(Scorecards!$B14/18,1),0)-IF(AND(MOD(Scorecards!$B14,18)&gt;=Scorecards!N$3,Scorecards!$B14&gt;0),1,0)+IF(Scorecards!N$3-18&gt;Scorecards!$B14,1,0))</f>
        <v>5</v>
      </c>
      <c r="O14" s="35">
        <f>if(Scorecards!O14="","",Scorecards!O14-IF(Scorecards!$B14&gt;0,FLOOR(Scorecards!$B14/18,1),0)-IF(AND(MOD(Scorecards!$B14,18)&gt;=Scorecards!O$3,Scorecards!$B14&gt;0),1,0)+IF(Scorecards!O$3-18&gt;Scorecards!$B14,1,0))</f>
        <v>3</v>
      </c>
      <c r="P14" s="35">
        <f>if(Scorecards!P14="","",Scorecards!P14-IF(Scorecards!$B14&gt;0,FLOOR(Scorecards!$B14/18,1),0)-IF(AND(MOD(Scorecards!$B14,18)&gt;=Scorecards!P$3,Scorecards!$B14&gt;0),1,0)+IF(Scorecards!P$3-18&gt;Scorecards!$B14,1,0))</f>
        <v>4</v>
      </c>
      <c r="Q14" s="35">
        <f>if(Scorecards!Q14="","",Scorecards!Q14-IF(Scorecards!$B14&gt;0,FLOOR(Scorecards!$B14/18,1),0)-IF(AND(MOD(Scorecards!$B14,18)&gt;=Scorecards!Q$3,Scorecards!$B14&gt;0),1,0)+IF(Scorecards!Q$3-18&gt;Scorecards!$B14,1,0))</f>
        <v>4</v>
      </c>
      <c r="R14" s="35">
        <f>if(Scorecards!R14="","",Scorecards!R14-IF(Scorecards!$B14&gt;0,FLOOR(Scorecards!$B14/18,1),0)-IF(AND(MOD(Scorecards!$B14,18)&gt;=Scorecards!R$3,Scorecards!$B14&gt;0),1,0)+IF(Scorecards!R$3-18&gt;Scorecards!$B14,1,0))</f>
        <v>5</v>
      </c>
      <c r="S14" s="35">
        <f>if(Scorecards!S14="","",Scorecards!S14-IF(Scorecards!$B14&gt;0,FLOOR(Scorecards!$B14/18,1),0)-IF(AND(MOD(Scorecards!$B14,18)&gt;=Scorecards!S$3,Scorecards!$B14&gt;0),1,0)+IF(Scorecards!S$3-18&gt;Scorecards!$B14,1,0))</f>
        <v>5</v>
      </c>
      <c r="T14" s="35">
        <f>if(Scorecards!T14="","",Scorecards!T14-IF(Scorecards!$B14&gt;0,FLOOR(Scorecards!$B14/18,1),0)-IF(AND(MOD(Scorecards!$B14,18)&gt;=Scorecards!T$3,Scorecards!$B14&gt;0),1,0)+IF(Scorecards!T$3-18&gt;Scorecards!$B14,1,0))</f>
        <v>4</v>
      </c>
      <c r="U14" s="35">
        <f>if(Scorecards!U14="","",Scorecards!U14-IF(Scorecards!$B14&gt;0,FLOOR(Scorecards!$B14/18,1),0)-IF(AND(MOD(Scorecards!$B14,18)&gt;=Scorecards!U$3,Scorecards!$B14&gt;0),1,0)+IF(Scorecards!U$3-18&gt;Scorecards!$B14,1,0))</f>
        <v>6</v>
      </c>
      <c r="V14" s="51">
        <f t="shared" si="1"/>
        <v>45</v>
      </c>
      <c r="W14" s="51">
        <f t="shared" si="2"/>
        <v>40</v>
      </c>
      <c r="X14" s="36">
        <f t="shared" si="3"/>
        <v>85</v>
      </c>
      <c r="Y14" s="37">
        <f t="shared" si="4"/>
        <v>62</v>
      </c>
      <c r="Z14" s="38">
        <f t="array" ref="Z14">sum(if(D14-$D$4=-3,1,0),if(E14-$E$4=-3,1,0),if(F14-$F$4=-3,1,0),if(G14-$G$4=-3,1,0),if(H14-$H$4=-3,1,0),if(I14-$I$4=-3,1,0),if(J14-$J$4=-3,1,0),if(K14-$K$4=-3,1,0),if(L14-$L$4=-3,1,0),if(M14-$M$4=-3,1,0),if(N14-$N$4=-3,1,0),if(O14-$O$4=-3,1,0),if(P14-$P$4=-3,1,0),if(Q14-$Q$4=-3,1,0),if(R14-$R$4=-3,1,0),if(S14-$S$4=-3,1,0),if(T14-$T$4=-3,1,0),if(U14-$U$4=-3,1,0))</f>
        <v>0</v>
      </c>
      <c r="AA14" s="38">
        <f t="array" ref="AA14">sum(if(D14-$D$4=-2,1,0),if(E14-$E$4=-2,1,0),if(F14-$F$4=-2,1,0),if(G14-$G$4=-2,1,0),if(H14-$H$4=-2,1,0),if(I14-$I$4=-2,1,0),if(J14-$J$4=-2,1,0),if(K14-$K$4=-2,1,0),if(L14-$L$4=-2,1,0),if(M14-$M$4=-2,1,0),if(N14-$N$4=-2,1,0),if(O14-$O$4=-2,1,0),if(P14-$P$4=-2,1,0),if(Q14-$Q$4=-2,1,0),if(R14-$R$4=-2,1,0),if(S14-$S$4=-2,1,0),if(T14-$T$4=-2,1,0),if(U14-$U$4=-2,1,0))</f>
        <v>0</v>
      </c>
      <c r="AB14" s="38">
        <f t="array" ref="AB14">sum(if(D14-$D$4=-1,1,0),if(E14-$E$4=-1,1,0),if(F14-$F$4=-1,1,0),if(G14-$G$4=-1,1,0),if(H14-$H$4=-1,1,0),if(I14-$I$4=-1,1,0),if(J14-$J$4=-1,1,0),if(K14-$K$4=-1,1,0),if(L14-$L$4=-1,1,0),if(M14-$M$4=-1,1,0),if(N14-$N$4=-1,1,0),if(O14-$O$4=-1,1,0),if(P14-$P$4=-1,1,0),if(Q14-$Q$4=-1,1,0),if(R14-$R$4=-1,1,0),if(S14-$S$4=-1,1,0),if(T14-$T$4=-1,1,0),if(U14-$U$4=-1,1,0))</f>
        <v>2</v>
      </c>
      <c r="AC14" s="38">
        <f t="array" ref="AC14">sum(if(D14-$D$4=0,1,0),if(E14-$E$4=0,1,0),if(F14-$F$4=0,1,0),if(G14-$G$4=0,1,0),if(H14-$H$4=0,1,0),if(I14-$I$4=0,1,0),if(J14-$J$4=0,1,0),if(K14-$K$4=0,1,0),if(L14-$L$4=0,1,0),if(M14-$M$4=0,1,0),if(N14-$N$4=0,1,0),if(O14-$O$4=0,1,0),if(P14-$P$4=0,1,0),if(Q14-$Q$4=0,1,0),if(R14-$R$4=0,1,0),if(S14-$S$4=0,1,0),if(T14-$T$4=0,1,0),if(U14-$U$4=0,1,0))</f>
        <v>5</v>
      </c>
      <c r="AD14" s="38">
        <f t="array" ref="AD14">sum(if(D14-$D$4=1,1,0),if(E14-$E$4=1,1,0),if(F14-$F$4=1,1,0),if(G14-$G$4=1,1,0),if(H14-$H$4=1,1,0),if(I14-$I$4=1,1,0),if(J14-$J$4=1,1,0),if(K14-$K$4=1,1,0),if(L14-$L$4=1,1,0),if(M14-$M$4=1,1,0),if(N14-$N$4=1,1,0),if(O14-$O$4=1,1,0),if(P14-$P$4=1,1,0),if(Q14-$Q$4=1,1,0),if(R14-$R$4=1,1,0),if(S14-$S$4=1,1,0),if(T14-$T$4=1,1,0),if(U14-$U$4=1,1,0))</f>
        <v>7</v>
      </c>
      <c r="AE14" s="38">
        <f t="array" ref="AE14">sum(if(D14-$D$4=2,1,0),if(E14-$E$4=2,1,0),if(F14-$F$4=2,1,0),if(G14-$G$4=2,1,0),if(H14-$H$4=2,1,0),if(I14-$I$4=2,1,0),if(J14-$J$4=2,1,0),if(K14-$K$4=2,1,0),if(L14-$L$4=2,1,0),if(M14-$M$4=2,1,0),if(N14-$N$4=2,1,0),if(O14-$O$4=2,1,0),if(P14-$P$4=2,1,0),if(Q14-$Q$4=2,1,0),if(R14-$R$4=2,1,0),if(S14-$S$4=2,1,0),if(T14-$T$4=2,1,0),if(U14-$U$4=2,1,0))</f>
        <v>4</v>
      </c>
      <c r="AF14" s="38">
        <f t="array" ref="AF14">sum(if(D14-$D$4=3,1,0),if(E14-$E$4=3,1,0),if(F14-$F$4=3,1,0),if(G14-$G$4=3,1,0),if(H14-$H$4=3,1,0),if(I14-$I$4=3,1,0),if(J14-$J$4=3,1,0),if(K14-$K$4=3,1,0),if(L14-$L$4=3,1,0),if(M14-$M$4=3,1,0),if(N14-$N$4=3,1,0),if(O14-$O$4=3,1,0),if(P14-$P$4=3,1,0),if(Q14-$Q$4=3,1,0),if(R14-$R$4=3,1,0),if(S14-$S$4=3,1,0),if(T14-$T$4=3,1,0),if(U14-$U$4=3,1,0))</f>
        <v>0</v>
      </c>
      <c r="AG14" s="38">
        <f t="array" ref="AG14">sum(if(D14-$D$4&gt;3,1,0),if(E14-$E$4&gt;3,1,0),if(F14-$F$4&gt;3,1,0),if(G14-$G$4&gt;3,1,0),if(H14-$H$4&gt;3,1,0),if(I14-$I$4&gt;3,1,0),if(J14-$J$4&gt;3,1,0),if(K14-$K$4&gt;3,1,0),if(L14-$L$4&gt;3,1,0),if(M14-$M$4&gt;3,1,0),if(N14-$N$4&gt;3,1,0),if(O14-$O$4&gt;3,1,0),if(P14-$P$4&gt;3,1,0),if(Q14-$Q$4&gt;3,1,0),if(R14-$R$4&gt;3,1,0),if(S14-$S$4&gt;3,1,0),if(T14-$T$4&gt;3,1,0),if(U14-$U$4&gt;3,1,0))</f>
        <v>0</v>
      </c>
      <c r="AH14" s="38">
        <f t="shared" si="5"/>
        <v>18</v>
      </c>
    </row>
    <row r="15" ht="12.75" customHeight="1">
      <c r="A15" s="32" t="str">
        <f>SETUP!A15</f>
        <v>Russ W</v>
      </c>
      <c r="B15" s="33">
        <f t="array" ref="B15">if(A15="","",index(SETUP!C:C,match(A15,SETUP!A:A,0)))</f>
        <v>17</v>
      </c>
      <c r="C15" s="41"/>
      <c r="D15" s="35">
        <f>if(Scorecards!D15="","",Scorecards!D15-IF(Scorecards!$B15&gt;0,FLOOR(Scorecards!$B15/18,1),0)-IF(AND(MOD(Scorecards!$B15,18)&gt;=Scorecards!D$3,Scorecards!$B15&gt;0),1,0)+IF(Scorecards!D$3-18&gt;Scorecards!$B15,1,0))</f>
        <v>4</v>
      </c>
      <c r="E15" s="35">
        <f>if(Scorecards!E15="","",Scorecards!E15-IF(Scorecards!$B15&gt;0,FLOOR(Scorecards!$B15/18,1),0)-IF(AND(MOD(Scorecards!$B15,18)&gt;=Scorecards!E$3,Scorecards!$B15&gt;0),1,0)+IF(Scorecards!E$3-18&gt;Scorecards!$B15,1,0))</f>
        <v>4</v>
      </c>
      <c r="F15" s="35">
        <f>if(Scorecards!F15="","",Scorecards!F15-IF(Scorecards!$B15&gt;0,FLOOR(Scorecards!$B15/18,1),0)-IF(AND(MOD(Scorecards!$B15,18)&gt;=Scorecards!F$3,Scorecards!$B15&gt;0),1,0)+IF(Scorecards!F$3-18&gt;Scorecards!$B15,1,0))</f>
        <v>5</v>
      </c>
      <c r="G15" s="35">
        <f>if(Scorecards!G15="","",Scorecards!G15-IF(Scorecards!$B15&gt;0,FLOOR(Scorecards!$B15/18,1),0)-IF(AND(MOD(Scorecards!$B15,18)&gt;=Scorecards!G$3,Scorecards!$B15&gt;0),1,0)+IF(Scorecards!G$3-18&gt;Scorecards!$B15,1,0))</f>
        <v>7</v>
      </c>
      <c r="H15" s="35">
        <f>if(Scorecards!H15="","",Scorecards!H15-IF(Scorecards!$B15&gt;0,FLOOR(Scorecards!$B15/18,1),0)-IF(AND(MOD(Scorecards!$B15,18)&gt;=Scorecards!H$3,Scorecards!$B15&gt;0),1,0)+IF(Scorecards!H$3-18&gt;Scorecards!$B15,1,0))</f>
        <v>3</v>
      </c>
      <c r="I15" s="35">
        <f>if(Scorecards!I15="","",Scorecards!I15-IF(Scorecards!$B15&gt;0,FLOOR(Scorecards!$B15/18,1),0)-IF(AND(MOD(Scorecards!$B15,18)&gt;=Scorecards!I$3,Scorecards!$B15&gt;0),1,0)+IF(Scorecards!I$3-18&gt;Scorecards!$B15,1,0))</f>
        <v>2</v>
      </c>
      <c r="J15" s="35">
        <f>if(Scorecards!J15="","",Scorecards!J15-IF(Scorecards!$B15&gt;0,FLOOR(Scorecards!$B15/18,1),0)-IF(AND(MOD(Scorecards!$B15,18)&gt;=Scorecards!J$3,Scorecards!$B15&gt;0),1,0)+IF(Scorecards!J$3-18&gt;Scorecards!$B15,1,0))</f>
        <v>6</v>
      </c>
      <c r="K15" s="35">
        <f>if(Scorecards!K15="","",Scorecards!K15-IF(Scorecards!$B15&gt;0,FLOOR(Scorecards!$B15/18,1),0)-IF(AND(MOD(Scorecards!$B15,18)&gt;=Scorecards!K$3,Scorecards!$B15&gt;0),1,0)+IF(Scorecards!K$3-18&gt;Scorecards!$B15,1,0))</f>
        <v>3</v>
      </c>
      <c r="L15" s="35">
        <f>if(Scorecards!L15="","",Scorecards!L15-IF(Scorecards!$B15&gt;0,FLOOR(Scorecards!$B15/18,1),0)-IF(AND(MOD(Scorecards!$B15,18)&gt;=Scorecards!L$3,Scorecards!$B15&gt;0),1,0)+IF(Scorecards!L$3-18&gt;Scorecards!$B15,1,0))</f>
        <v>3</v>
      </c>
      <c r="M15" s="35">
        <f>if(Scorecards!M15="","",Scorecards!M15-IF(Scorecards!$B15&gt;0,FLOOR(Scorecards!$B15/18,1),0)-IF(AND(MOD(Scorecards!$B15,18)&gt;=Scorecards!M$3,Scorecards!$B15&gt;0),1,0)+IF(Scorecards!M$3-18&gt;Scorecards!$B15,1,0))</f>
        <v>3</v>
      </c>
      <c r="N15" s="35">
        <f>if(Scorecards!N15="","",Scorecards!N15-IF(Scorecards!$B15&gt;0,FLOOR(Scorecards!$B15/18,1),0)-IF(AND(MOD(Scorecards!$B15,18)&gt;=Scorecards!N$3,Scorecards!$B15&gt;0),1,0)+IF(Scorecards!N$3-18&gt;Scorecards!$B15,1,0))</f>
        <v>4</v>
      </c>
      <c r="O15" s="35">
        <f>if(Scorecards!O15="","",Scorecards!O15-IF(Scorecards!$B15&gt;0,FLOOR(Scorecards!$B15/18,1),0)-IF(AND(MOD(Scorecards!$B15,18)&gt;=Scorecards!O$3,Scorecards!$B15&gt;0),1,0)+IF(Scorecards!O$3-18&gt;Scorecards!$B15,1,0))</f>
        <v>4</v>
      </c>
      <c r="P15" s="35">
        <f>if(Scorecards!P15="","",Scorecards!P15-IF(Scorecards!$B15&gt;0,FLOOR(Scorecards!$B15/18,1),0)-IF(AND(MOD(Scorecards!$B15,18)&gt;=Scorecards!P$3,Scorecards!$B15&gt;0),1,0)+IF(Scorecards!P$3-18&gt;Scorecards!$B15,1,0))</f>
        <v>3</v>
      </c>
      <c r="Q15" s="35">
        <f>if(Scorecards!Q15="","",Scorecards!Q15-IF(Scorecards!$B15&gt;0,FLOOR(Scorecards!$B15/18,1),0)-IF(AND(MOD(Scorecards!$B15,18)&gt;=Scorecards!Q$3,Scorecards!$B15&gt;0),1,0)+IF(Scorecards!Q$3-18&gt;Scorecards!$B15,1,0))</f>
        <v>4</v>
      </c>
      <c r="R15" s="35">
        <f>if(Scorecards!R15="","",Scorecards!R15-IF(Scorecards!$B15&gt;0,FLOOR(Scorecards!$B15/18,1),0)-IF(AND(MOD(Scorecards!$B15,18)&gt;=Scorecards!R$3,Scorecards!$B15&gt;0),1,0)+IF(Scorecards!R$3-18&gt;Scorecards!$B15,1,0))</f>
        <v>3</v>
      </c>
      <c r="S15" s="35">
        <f>if(Scorecards!S15="","",Scorecards!S15-IF(Scorecards!$B15&gt;0,FLOOR(Scorecards!$B15/18,1),0)-IF(AND(MOD(Scorecards!$B15,18)&gt;=Scorecards!S$3,Scorecards!$B15&gt;0),1,0)+IF(Scorecards!S$3-18&gt;Scorecards!$B15,1,0))</f>
        <v>5</v>
      </c>
      <c r="T15" s="35">
        <f>if(Scorecards!T15="","",Scorecards!T15-IF(Scorecards!$B15&gt;0,FLOOR(Scorecards!$B15/18,1),0)-IF(AND(MOD(Scorecards!$B15,18)&gt;=Scorecards!T$3,Scorecards!$B15&gt;0),1,0)+IF(Scorecards!T$3-18&gt;Scorecards!$B15,1,0))</f>
        <v>4</v>
      </c>
      <c r="U15" s="35">
        <f>if(Scorecards!U15="","",Scorecards!U15-IF(Scorecards!$B15&gt;0,FLOOR(Scorecards!$B15/18,1),0)-IF(AND(MOD(Scorecards!$B15,18)&gt;=Scorecards!U$3,Scorecards!$B15&gt;0),1,0)+IF(Scorecards!U$3-18&gt;Scorecards!$B15,1,0))</f>
        <v>4</v>
      </c>
      <c r="V15" s="51">
        <f t="shared" si="1"/>
        <v>37</v>
      </c>
      <c r="W15" s="51">
        <f t="shared" si="2"/>
        <v>34</v>
      </c>
      <c r="X15" s="36">
        <f t="shared" si="3"/>
        <v>71</v>
      </c>
      <c r="Y15" s="37">
        <f t="shared" si="4"/>
        <v>54</v>
      </c>
      <c r="Z15" s="38">
        <f t="array" ref="Z15">sum(if(D15-$D$4=-3,1,0),if(E15-$E$4=-3,1,0),if(F15-$F$4=-3,1,0),if(G15-$G$4=-3,1,0),if(H15-$H$4=-3,1,0),if(I15-$I$4=-3,1,0),if(J15-$J$4=-3,1,0),if(K15-$K$4=-3,1,0),if(L15-$L$4=-3,1,0),if(M15-$M$4=-3,1,0),if(N15-$N$4=-3,1,0),if(O15-$O$4=-3,1,0),if(P15-$P$4=-3,1,0),if(Q15-$Q$4=-3,1,0),if(R15-$R$4=-3,1,0),if(S15-$S$4=-3,1,0),if(T15-$T$4=-3,1,0),if(U15-$U$4=-3,1,0))</f>
        <v>0</v>
      </c>
      <c r="AA15" s="38">
        <f t="array" ref="AA15">sum(if(D15-$D$4=-2,1,0),if(E15-$E$4=-2,1,0),if(F15-$F$4=-2,1,0),if(G15-$G$4=-2,1,0),if(H15-$H$4=-2,1,0),if(I15-$I$4=-2,1,0),if(J15-$J$4=-2,1,0),if(K15-$K$4=-2,1,0),if(L15-$L$4=-2,1,0),if(M15-$M$4=-2,1,0),if(N15-$N$4=-2,1,0),if(O15-$O$4=-2,1,0),if(P15-$P$4=-2,1,0),if(Q15-$Q$4=-2,1,0),if(R15-$R$4=-2,1,0),if(S15-$S$4=-2,1,0),if(T15-$T$4=-2,1,0),if(U15-$U$4=-2,1,0))</f>
        <v>0</v>
      </c>
      <c r="AB15" s="38">
        <f t="array" ref="AB15">sum(if(D15-$D$4=-1,1,0),if(E15-$E$4=-1,1,0),if(F15-$F$4=-1,1,0),if(G15-$G$4=-1,1,0),if(H15-$H$4=-1,1,0),if(I15-$I$4=-1,1,0),if(J15-$J$4=-1,1,0),if(K15-$K$4=-1,1,0),if(L15-$L$4=-1,1,0),if(M15-$M$4=-1,1,0),if(N15-$N$4=-1,1,0),if(O15-$O$4=-1,1,0),if(P15-$P$4=-1,1,0),if(Q15-$Q$4=-1,1,0),if(R15-$R$4=-1,1,0),if(S15-$S$4=-1,1,0),if(T15-$T$4=-1,1,0),if(U15-$U$4=-1,1,0))</f>
        <v>6</v>
      </c>
      <c r="AC15" s="38">
        <f t="array" ref="AC15">sum(if(D15-$D$4=0,1,0),if(E15-$E$4=0,1,0),if(F15-$F$4=0,1,0),if(G15-$G$4=0,1,0),if(H15-$H$4=0,1,0),if(I15-$I$4=0,1,0),if(J15-$J$4=0,1,0),if(K15-$K$4=0,1,0),if(L15-$L$4=0,1,0),if(M15-$M$4=0,1,0),if(N15-$N$4=0,1,0),if(O15-$O$4=0,1,0),if(P15-$P$4=0,1,0),if(Q15-$Q$4=0,1,0),if(R15-$R$4=0,1,0),if(S15-$S$4=0,1,0),if(T15-$T$4=0,1,0),if(U15-$U$4=0,1,0))</f>
        <v>8</v>
      </c>
      <c r="AD15" s="38">
        <f t="array" ref="AD15">sum(if(D15-$D$4=1,1,0),if(E15-$E$4=1,1,0),if(F15-$F$4=1,1,0),if(G15-$G$4=1,1,0),if(H15-$H$4=1,1,0),if(I15-$I$4=1,1,0),if(J15-$J$4=1,1,0),if(K15-$K$4=1,1,0),if(L15-$L$4=1,1,0),if(M15-$M$4=1,1,0),if(N15-$N$4=1,1,0),if(O15-$O$4=1,1,0),if(P15-$P$4=1,1,0),if(Q15-$Q$4=1,1,0),if(R15-$R$4=1,1,0),if(S15-$S$4=1,1,0),if(T15-$T$4=1,1,0),if(U15-$U$4=1,1,0))</f>
        <v>3</v>
      </c>
      <c r="AE15" s="38">
        <f t="array" ref="AE15">sum(if(D15-$D$4=2,1,0),if(E15-$E$4=2,1,0),if(F15-$F$4=2,1,0),if(G15-$G$4=2,1,0),if(H15-$H$4=2,1,0),if(I15-$I$4=2,1,0),if(J15-$J$4=2,1,0),if(K15-$K$4=2,1,0),if(L15-$L$4=2,1,0),if(M15-$M$4=2,1,0),if(N15-$N$4=2,1,0),if(O15-$O$4=2,1,0),if(P15-$P$4=2,1,0),if(Q15-$Q$4=2,1,0),if(R15-$R$4=2,1,0),if(S15-$S$4=2,1,0),if(T15-$T$4=2,1,0),if(U15-$U$4=2,1,0))</f>
        <v>1</v>
      </c>
      <c r="AF15" s="38">
        <f t="array" ref="AF15">sum(if(D15-$D$4=3,1,0),if(E15-$E$4=3,1,0),if(F15-$F$4=3,1,0),if(G15-$G$4=3,1,0),if(H15-$H$4=3,1,0),if(I15-$I$4=3,1,0),if(J15-$J$4=3,1,0),if(K15-$K$4=3,1,0),if(L15-$L$4=3,1,0),if(M15-$M$4=3,1,0),if(N15-$N$4=3,1,0),if(O15-$O$4=3,1,0),if(P15-$P$4=3,1,0),if(Q15-$Q$4=3,1,0),if(R15-$R$4=3,1,0),if(S15-$S$4=3,1,0),if(T15-$T$4=3,1,0),if(U15-$U$4=3,1,0))</f>
        <v>0</v>
      </c>
      <c r="AG15" s="38">
        <f t="array" ref="AG15">sum(if(D15-$D$4&gt;3,1,0),if(E15-$E$4&gt;3,1,0),if(F15-$F$4&gt;3,1,0),if(G15-$G$4&gt;3,1,0),if(H15-$H$4&gt;3,1,0),if(I15-$I$4&gt;3,1,0),if(J15-$J$4&gt;3,1,0),if(K15-$K$4&gt;3,1,0),if(L15-$L$4&gt;3,1,0),if(M15-$M$4&gt;3,1,0),if(N15-$N$4&gt;3,1,0),if(O15-$O$4&gt;3,1,0),if(P15-$P$4&gt;3,1,0),if(Q15-$Q$4&gt;3,1,0),if(R15-$R$4&gt;3,1,0),if(S15-$S$4&gt;3,1,0),if(T15-$T$4&gt;3,1,0),if(U15-$U$4&gt;3,1,0))</f>
        <v>0</v>
      </c>
      <c r="AH15" s="38">
        <f t="shared" si="5"/>
        <v>18</v>
      </c>
    </row>
    <row r="16" ht="12.75" customHeight="1">
      <c r="A16" s="32" t="str">
        <f>SETUP!A16</f>
        <v>Scott R</v>
      </c>
      <c r="B16" s="33">
        <f t="array" ref="B16">if(A16="","",index(SETUP!C:C,match(A16,SETUP!A:A,0)))</f>
        <v>10</v>
      </c>
      <c r="C16" s="41"/>
      <c r="D16" s="35">
        <f>if(Scorecards!D16="","",Scorecards!D16-IF(Scorecards!$B16&gt;0,FLOOR(Scorecards!$B16/18,1),0)-IF(AND(MOD(Scorecards!$B16,18)&gt;=Scorecards!D$3,Scorecards!$B16&gt;0),1,0)+IF(Scorecards!D$3-18&gt;Scorecards!$B16,1,0))</f>
        <v>5</v>
      </c>
      <c r="E16" s="35">
        <f>if(Scorecards!E16="","",Scorecards!E16-IF(Scorecards!$B16&gt;0,FLOOR(Scorecards!$B16/18,1),0)-IF(AND(MOD(Scorecards!$B16,18)&gt;=Scorecards!E$3,Scorecards!$B16&gt;0),1,0)+IF(Scorecards!E$3-18&gt;Scorecards!$B16,1,0))</f>
        <v>3</v>
      </c>
      <c r="F16" s="35">
        <f>if(Scorecards!F16="","",Scorecards!F16-IF(Scorecards!$B16&gt;0,FLOOR(Scorecards!$B16/18,1),0)-IF(AND(MOD(Scorecards!$B16,18)&gt;=Scorecards!F$3,Scorecards!$B16&gt;0),1,0)+IF(Scorecards!F$3-18&gt;Scorecards!$B16,1,0))</f>
        <v>5</v>
      </c>
      <c r="G16" s="35">
        <f>if(Scorecards!G16="","",Scorecards!G16-IF(Scorecards!$B16&gt;0,FLOOR(Scorecards!$B16/18,1),0)-IF(AND(MOD(Scorecards!$B16,18)&gt;=Scorecards!G$3,Scorecards!$B16&gt;0),1,0)+IF(Scorecards!G$3-18&gt;Scorecards!$B16,1,0))</f>
        <v>5</v>
      </c>
      <c r="H16" s="35">
        <f>if(Scorecards!H16="","",Scorecards!H16-IF(Scorecards!$B16&gt;0,FLOOR(Scorecards!$B16/18,1),0)-IF(AND(MOD(Scorecards!$B16,18)&gt;=Scorecards!H$3,Scorecards!$B16&gt;0),1,0)+IF(Scorecards!H$3-18&gt;Scorecards!$B16,1,0))</f>
        <v>5</v>
      </c>
      <c r="I16" s="35">
        <f>if(Scorecards!I16="","",Scorecards!I16-IF(Scorecards!$B16&gt;0,FLOOR(Scorecards!$B16/18,1),0)-IF(AND(MOD(Scorecards!$B16,18)&gt;=Scorecards!I$3,Scorecards!$B16&gt;0),1,0)+IF(Scorecards!I$3-18&gt;Scorecards!$B16,1,0))</f>
        <v>3</v>
      </c>
      <c r="J16" s="35">
        <f>if(Scorecards!J16="","",Scorecards!J16-IF(Scorecards!$B16&gt;0,FLOOR(Scorecards!$B16/18,1),0)-IF(AND(MOD(Scorecards!$B16,18)&gt;=Scorecards!J$3,Scorecards!$B16&gt;0),1,0)+IF(Scorecards!J$3-18&gt;Scorecards!$B16,1,0))</f>
        <v>5</v>
      </c>
      <c r="K16" s="35">
        <f>if(Scorecards!K16="","",Scorecards!K16-IF(Scorecards!$B16&gt;0,FLOOR(Scorecards!$B16/18,1),0)-IF(AND(MOD(Scorecards!$B16,18)&gt;=Scorecards!K$3,Scorecards!$B16&gt;0),1,0)+IF(Scorecards!K$3-18&gt;Scorecards!$B16,1,0))</f>
        <v>3</v>
      </c>
      <c r="L16" s="35">
        <f>if(Scorecards!L16="","",Scorecards!L16-IF(Scorecards!$B16&gt;0,FLOOR(Scorecards!$B16/18,1),0)-IF(AND(MOD(Scorecards!$B16,18)&gt;=Scorecards!L$3,Scorecards!$B16&gt;0),1,0)+IF(Scorecards!L$3-18&gt;Scorecards!$B16,1,0))</f>
        <v>4</v>
      </c>
      <c r="M16" s="35">
        <f>if(Scorecards!M16="","",Scorecards!M16-IF(Scorecards!$B16&gt;0,FLOOR(Scorecards!$B16/18,1),0)-IF(AND(MOD(Scorecards!$B16,18)&gt;=Scorecards!M$3,Scorecards!$B16&gt;0),1,0)+IF(Scorecards!M$3-18&gt;Scorecards!$B16,1,0))</f>
        <v>5</v>
      </c>
      <c r="N16" s="35">
        <f>if(Scorecards!N16="","",Scorecards!N16-IF(Scorecards!$B16&gt;0,FLOOR(Scorecards!$B16/18,1),0)-IF(AND(MOD(Scorecards!$B16,18)&gt;=Scorecards!N$3,Scorecards!$B16&gt;0),1,0)+IF(Scorecards!N$3-18&gt;Scorecards!$B16,1,0))</f>
        <v>4</v>
      </c>
      <c r="O16" s="35">
        <f>if(Scorecards!O16="","",Scorecards!O16-IF(Scorecards!$B16&gt;0,FLOOR(Scorecards!$B16/18,1),0)-IF(AND(MOD(Scorecards!$B16,18)&gt;=Scorecards!O$3,Scorecards!$B16&gt;0),1,0)+IF(Scorecards!O$3-18&gt;Scorecards!$B16,1,0))</f>
        <v>4</v>
      </c>
      <c r="P16" s="35">
        <f>if(Scorecards!P16="","",Scorecards!P16-IF(Scorecards!$B16&gt;0,FLOOR(Scorecards!$B16/18,1),0)-IF(AND(MOD(Scorecards!$B16,18)&gt;=Scorecards!P$3,Scorecards!$B16&gt;0),1,0)+IF(Scorecards!P$3-18&gt;Scorecards!$B16,1,0))</f>
        <v>5</v>
      </c>
      <c r="Q16" s="35">
        <f>if(Scorecards!Q16="","",Scorecards!Q16-IF(Scorecards!$B16&gt;0,FLOOR(Scorecards!$B16/18,1),0)-IF(AND(MOD(Scorecards!$B16,18)&gt;=Scorecards!Q$3,Scorecards!$B16&gt;0),1,0)+IF(Scorecards!Q$3-18&gt;Scorecards!$B16,1,0))</f>
        <v>3</v>
      </c>
      <c r="R16" s="35">
        <f>if(Scorecards!R16="","",Scorecards!R16-IF(Scorecards!$B16&gt;0,FLOOR(Scorecards!$B16/18,1),0)-IF(AND(MOD(Scorecards!$B16,18)&gt;=Scorecards!R$3,Scorecards!$B16&gt;0),1,0)+IF(Scorecards!R$3-18&gt;Scorecards!$B16,1,0))</f>
        <v>4</v>
      </c>
      <c r="S16" s="35">
        <f>if(Scorecards!S16="","",Scorecards!S16-IF(Scorecards!$B16&gt;0,FLOOR(Scorecards!$B16/18,1),0)-IF(AND(MOD(Scorecards!$B16,18)&gt;=Scorecards!S$3,Scorecards!$B16&gt;0),1,0)+IF(Scorecards!S$3-18&gt;Scorecards!$B16,1,0))</f>
        <v>5</v>
      </c>
      <c r="T16" s="35">
        <f>if(Scorecards!T16="","",Scorecards!T16-IF(Scorecards!$B16&gt;0,FLOOR(Scorecards!$B16/18,1),0)-IF(AND(MOD(Scorecards!$B16,18)&gt;=Scorecards!T$3,Scorecards!$B16&gt;0),1,0)+IF(Scorecards!T$3-18&gt;Scorecards!$B16,1,0))</f>
        <v>3</v>
      </c>
      <c r="U16" s="35">
        <f>if(Scorecards!U16="","",Scorecards!U16-IF(Scorecards!$B16&gt;0,FLOOR(Scorecards!$B16/18,1),0)-IF(AND(MOD(Scorecards!$B16,18)&gt;=Scorecards!U$3,Scorecards!$B16&gt;0),1,0)+IF(Scorecards!U$3-18&gt;Scorecards!$B16,1,0))</f>
        <v>5</v>
      </c>
      <c r="V16" s="51">
        <f t="shared" si="1"/>
        <v>38</v>
      </c>
      <c r="W16" s="51">
        <f t="shared" si="2"/>
        <v>38</v>
      </c>
      <c r="X16" s="36">
        <f t="shared" si="3"/>
        <v>76</v>
      </c>
      <c r="Y16" s="37">
        <f t="shared" si="4"/>
        <v>66</v>
      </c>
      <c r="Z16" s="38">
        <f t="array" ref="Z16">sum(if(D16-$D$4=-3,1,0),if(E16-$E$4=-3,1,0),if(F16-$F$4=-3,1,0),if(G16-$G$4=-3,1,0),if(H16-$H$4=-3,1,0),if(I16-$I$4=-3,1,0),if(J16-$J$4=-3,1,0),if(K16-$K$4=-3,1,0),if(L16-$L$4=-3,1,0),if(M16-$M$4=-3,1,0),if(N16-$N$4=-3,1,0),if(O16-$O$4=-3,1,0),if(P16-$P$4=-3,1,0),if(Q16-$Q$4=-3,1,0),if(R16-$R$4=-3,1,0),if(S16-$S$4=-3,1,0),if(T16-$T$4=-3,1,0),if(U16-$U$4=-3,1,0))</f>
        <v>0</v>
      </c>
      <c r="AA16" s="38">
        <f t="array" ref="AA16">sum(if(D16-$D$4=-2,1,0),if(E16-$E$4=-2,1,0),if(F16-$F$4=-2,1,0),if(G16-$G$4=-2,1,0),if(H16-$H$4=-2,1,0),if(I16-$I$4=-2,1,0),if(J16-$J$4=-2,1,0),if(K16-$K$4=-2,1,0),if(L16-$L$4=-2,1,0),if(M16-$M$4=-2,1,0),if(N16-$N$4=-2,1,0),if(O16-$O$4=-2,1,0),if(P16-$P$4=-2,1,0),if(Q16-$Q$4=-2,1,0),if(R16-$R$4=-2,1,0),if(S16-$S$4=-2,1,0),if(T16-$T$4=-2,1,0),if(U16-$U$4=-2,1,0))</f>
        <v>0</v>
      </c>
      <c r="AB16" s="38">
        <f t="array" ref="AB16">sum(if(D16-$D$4=-1,1,0),if(E16-$E$4=-1,1,0),if(F16-$F$4=-1,1,0),if(G16-$G$4=-1,1,0),if(H16-$H$4=-1,1,0),if(I16-$I$4=-1,1,0),if(J16-$J$4=-1,1,0),if(K16-$K$4=-1,1,0),if(L16-$L$4=-1,1,0),if(M16-$M$4=-1,1,0),if(N16-$N$4=-1,1,0),if(O16-$O$4=-1,1,0),if(P16-$P$4=-1,1,0),if(Q16-$Q$4=-1,1,0),if(R16-$R$4=-1,1,0),if(S16-$S$4=-1,1,0),if(T16-$T$4=-1,1,0),if(U16-$U$4=-1,1,0))</f>
        <v>4</v>
      </c>
      <c r="AC16" s="38">
        <f t="array" ref="AC16">sum(if(D16-$D$4=0,1,0),if(E16-$E$4=0,1,0),if(F16-$F$4=0,1,0),if(G16-$G$4=0,1,0),if(H16-$H$4=0,1,0),if(I16-$I$4=0,1,0),if(J16-$J$4=0,1,0),if(K16-$K$4=0,1,0),if(L16-$L$4=0,1,0),if(M16-$M$4=0,1,0),if(N16-$N$4=0,1,0),if(O16-$O$4=0,1,0),if(P16-$P$4=0,1,0),if(Q16-$Q$4=0,1,0),if(R16-$R$4=0,1,0),if(S16-$S$4=0,1,0),if(T16-$T$4=0,1,0),if(U16-$U$4=0,1,0))</f>
        <v>7</v>
      </c>
      <c r="AD16" s="38">
        <f t="array" ref="AD16">sum(if(D16-$D$4=1,1,0),if(E16-$E$4=1,1,0),if(F16-$F$4=1,1,0),if(G16-$G$4=1,1,0),if(H16-$H$4=1,1,0),if(I16-$I$4=1,1,0),if(J16-$J$4=1,1,0),if(K16-$K$4=1,1,0),if(L16-$L$4=1,1,0),if(M16-$M$4=1,1,0),if(N16-$N$4=1,1,0),if(O16-$O$4=1,1,0),if(P16-$P$4=1,1,0),if(Q16-$Q$4=1,1,0),if(R16-$R$4=1,1,0),if(S16-$S$4=1,1,0),if(T16-$T$4=1,1,0),if(U16-$U$4=1,1,0))</f>
        <v>6</v>
      </c>
      <c r="AE16" s="38">
        <f t="array" ref="AE16">sum(if(D16-$D$4=2,1,0),if(E16-$E$4=2,1,0),if(F16-$F$4=2,1,0),if(G16-$G$4=2,1,0),if(H16-$H$4=2,1,0),if(I16-$I$4=2,1,0),if(J16-$J$4=2,1,0),if(K16-$K$4=2,1,0),if(L16-$L$4=2,1,0),if(M16-$M$4=2,1,0),if(N16-$N$4=2,1,0),if(O16-$O$4=2,1,0),if(P16-$P$4=2,1,0),if(Q16-$Q$4=2,1,0),if(R16-$R$4=2,1,0),if(S16-$S$4=2,1,0),if(T16-$T$4=2,1,0),if(U16-$U$4=2,1,0))</f>
        <v>1</v>
      </c>
      <c r="AF16" s="38">
        <f t="array" ref="AF16">sum(if(D16-$D$4=3,1,0),if(E16-$E$4=3,1,0),if(F16-$F$4=3,1,0),if(G16-$G$4=3,1,0),if(H16-$H$4=3,1,0),if(I16-$I$4=3,1,0),if(J16-$J$4=3,1,0),if(K16-$K$4=3,1,0),if(L16-$L$4=3,1,0),if(M16-$M$4=3,1,0),if(N16-$N$4=3,1,0),if(O16-$O$4=3,1,0),if(P16-$P$4=3,1,0),if(Q16-$Q$4=3,1,0),if(R16-$R$4=3,1,0),if(S16-$S$4=3,1,0),if(T16-$T$4=3,1,0),if(U16-$U$4=3,1,0))</f>
        <v>0</v>
      </c>
      <c r="AG16" s="38">
        <f t="array" ref="AG16">sum(if(D16-$D$4&gt;3,1,0),if(E16-$E$4&gt;3,1,0),if(F16-$F$4&gt;3,1,0),if(G16-$G$4&gt;3,1,0),if(H16-$H$4&gt;3,1,0),if(I16-$I$4&gt;3,1,0),if(J16-$J$4&gt;3,1,0),if(K16-$K$4&gt;3,1,0),if(L16-$L$4&gt;3,1,0),if(M16-$M$4&gt;3,1,0),if(N16-$N$4&gt;3,1,0),if(O16-$O$4&gt;3,1,0),if(P16-$P$4&gt;3,1,0),if(Q16-$Q$4&gt;3,1,0),if(R16-$R$4&gt;3,1,0),if(S16-$S$4&gt;3,1,0),if(T16-$T$4&gt;3,1,0),if(U16-$U$4&gt;3,1,0))</f>
        <v>0</v>
      </c>
      <c r="AH16" s="38">
        <f t="shared" si="5"/>
        <v>18</v>
      </c>
    </row>
    <row r="17" ht="12.75" customHeight="1">
      <c r="A17" s="10"/>
      <c r="B17" s="11"/>
      <c r="C17" s="41" t="s">
        <v>19</v>
      </c>
      <c r="D17" s="42" t="str">
        <f t="array" ref="D17">IF(SUM(IF(IF('Betting SETUP'!$D$5:$D$16="Y", D5:D16, 10)=MIN(IF('Betting SETUP'!$D$5:$D$16="Y", D5:D16, 10)), 1, 0)) &gt; 1, "", INDEX('Betting SETUP'!$A$5:$A$16,MATCH(MIN(IF('Betting SETUP'!$D$5:$D$16="Y",D5:D16,10)),IF('Betting SETUP'!$D$5:$D$16="Y",D5:D16,10),0)))</f>
        <v/>
      </c>
      <c r="E17" s="42" t="str">
        <f t="array" ref="E17">IF(SUM(IF(IF('Betting SETUP'!$D$5:$D$16="Y", E5:E16, 10)=MIN(IF('Betting SETUP'!$D$5:$D$16="Y", E5:E16, 10)), 1, 0)) &gt; 1, "", INDEX('Betting SETUP'!$A$5:$A$16,MATCH(MIN(IF('Betting SETUP'!$D$5:$D$16="Y",E5:E16,10)),IF('Betting SETUP'!$D$5:$D$16="Y",E5:E16,10),0)))</f>
        <v/>
      </c>
      <c r="F17" s="42" t="str">
        <f t="array" ref="F17">IF(SUM(IF(IF('Betting SETUP'!$D$5:$D$16="Y", F5:F16, 10)=MIN(IF('Betting SETUP'!$D$5:$D$16="Y", F5:F16, 10)), 1, 0)) &gt; 1, "", INDEX('Betting SETUP'!$A$5:$A$16,MATCH(MIN(IF('Betting SETUP'!$D$5:$D$16="Y",F5:F16,10)),IF('Betting SETUP'!$D$5:$D$16="Y",F5:F16,10),0)))</f>
        <v/>
      </c>
      <c r="G17" s="42" t="str">
        <f t="array" ref="G17">IF(SUM(IF(IF('Betting SETUP'!$D$5:$D$16="Y", G5:G16, 10)=MIN(IF('Betting SETUP'!$D$5:$D$16="Y", G5:G16, 10)), 1, 0)) &gt; 1, "", INDEX('Betting SETUP'!$A$5:$A$16,MATCH(MIN(IF('Betting SETUP'!$D$5:$D$16="Y",G5:G16,10)),IF('Betting SETUP'!$D$5:$D$16="Y",G5:G16,10),0)))</f>
        <v>Jeff B</v>
      </c>
      <c r="H17" s="42" t="str">
        <f t="array" ref="H17">IF(SUM(IF(IF('Betting SETUP'!$D$5:$D$16="Y", H5:H16, 10)=MIN(IF('Betting SETUP'!$D$5:$D$16="Y", H5:H16, 10)), 1, 0)) &gt; 1, "", INDEX('Betting SETUP'!$A$5:$A$16,MATCH(MIN(IF('Betting SETUP'!$D$5:$D$16="Y",H5:H16,10)),IF('Betting SETUP'!$D$5:$D$16="Y",H5:H16,10),0)))</f>
        <v/>
      </c>
      <c r="I17" s="42" t="str">
        <f t="array" ref="I17">IF(SUM(IF(IF('Betting SETUP'!$D$5:$D$16="Y", I5:I16, 10)=MIN(IF('Betting SETUP'!$D$5:$D$16="Y", I5:I16, 10)), 1, 0)) &gt; 1, "", INDEX('Betting SETUP'!$A$5:$A$16,MATCH(MIN(IF('Betting SETUP'!$D$5:$D$16="Y",I5:I16,10)),IF('Betting SETUP'!$D$5:$D$16="Y",I5:I16,10),0)))</f>
        <v/>
      </c>
      <c r="J17" s="42" t="str">
        <f t="array" ref="J17">IF(SUM(IF(IF('Betting SETUP'!$D$5:$D$16="Y", J5:J16, 10)=MIN(IF('Betting SETUP'!$D$5:$D$16="Y", J5:J16, 10)), 1, 0)) &gt; 1, "", INDEX('Betting SETUP'!$A$5:$A$16,MATCH(MIN(IF('Betting SETUP'!$D$5:$D$16="Y",J5:J16,10)),IF('Betting SETUP'!$D$5:$D$16="Y",J5:J16,10),0)))</f>
        <v>John C</v>
      </c>
      <c r="K17" s="42" t="str">
        <f t="array" ref="K17">IF(SUM(IF(IF('Betting SETUP'!$D$5:$D$16="Y", K5:K16, 10)=MIN(IF('Betting SETUP'!$D$5:$D$16="Y", K5:K16, 10)), 1, 0)) &gt; 1, "", INDEX('Betting SETUP'!$A$5:$A$16,MATCH(MIN(IF('Betting SETUP'!$D$5:$D$16="Y",K5:K16,10)),IF('Betting SETUP'!$D$5:$D$16="Y",K5:K16,10),0)))</f>
        <v/>
      </c>
      <c r="L17" s="42" t="str">
        <f t="array" ref="L17">IF(SUM(IF(IF('Betting SETUP'!$D$5:$D$16="Y", L5:L16, 10)=MIN(IF('Betting SETUP'!$D$5:$D$16="Y", L5:L16, 10)), 1, 0)) &gt; 1, "", INDEX('Betting SETUP'!$A$5:$A$16,MATCH(MIN(IF('Betting SETUP'!$D$5:$D$16="Y",L5:L16,10)),IF('Betting SETUP'!$D$5:$D$16="Y",L5:L16,10),0)))</f>
        <v>John C</v>
      </c>
      <c r="M17" s="42" t="str">
        <f t="array" ref="M17">IF(SUM(IF(IF('Betting SETUP'!$D$5:$D$16="Y", M5:M16, 10)=MIN(IF('Betting SETUP'!$D$5:$D$16="Y", M5:M16, 10)), 1, 0)) &gt; 1, "", INDEX('Betting SETUP'!$A$5:$A$16,MATCH(MIN(IF('Betting SETUP'!$D$5:$D$16="Y",M5:M16,10)),IF('Betting SETUP'!$D$5:$D$16="Y",M5:M16,10),0)))</f>
        <v/>
      </c>
      <c r="N17" s="42" t="str">
        <f t="array" ref="N17">IF(SUM(IF(IF('Betting SETUP'!$D$5:$D$16="Y", N5:N16, 10)=MIN(IF('Betting SETUP'!$D$5:$D$16="Y", N5:N16, 10)), 1, 0)) &gt; 1, "", INDEX('Betting SETUP'!$A$5:$A$16,MATCH(MIN(IF('Betting SETUP'!$D$5:$D$16="Y",N5:N16,10)),IF('Betting SETUP'!$D$5:$D$16="Y",N5:N16,10),0)))</f>
        <v>Joe S</v>
      </c>
      <c r="O17" s="42" t="str">
        <f t="array" ref="O17">IF(SUM(IF(IF('Betting SETUP'!$D$5:$D$16="Y", O5:O16, 10)=MIN(IF('Betting SETUP'!$D$5:$D$16="Y", O5:O16, 10)), 1, 0)) &gt; 1, "", INDEX('Betting SETUP'!$A$5:$A$16,MATCH(MIN(IF('Betting SETUP'!$D$5:$D$16="Y",O5:O16,10)),IF('Betting SETUP'!$D$5:$D$16="Y",O5:O16,10),0)))</f>
        <v/>
      </c>
      <c r="P17" s="42" t="str">
        <f t="array" ref="P17">IF(SUM(IF(IF('Betting SETUP'!$D$5:$D$16="Y", P5:P16, 10)=MIN(IF('Betting SETUP'!$D$5:$D$16="Y", P5:P16, 10)), 1, 0)) &gt; 1, "", INDEX('Betting SETUP'!$A$5:$A$16,MATCH(MIN(IF('Betting SETUP'!$D$5:$D$16="Y",P5:P16,10)),IF('Betting SETUP'!$D$5:$D$16="Y",P5:P16,10),0)))</f>
        <v/>
      </c>
      <c r="Q17" s="42" t="str">
        <f t="array" ref="Q17">IF(SUM(IF(IF('Betting SETUP'!$D$5:$D$16="Y", Q5:Q16, 10)=MIN(IF('Betting SETUP'!$D$5:$D$16="Y", Q5:Q16, 10)), 1, 0)) &gt; 1, "", INDEX('Betting SETUP'!$A$5:$A$16,MATCH(MIN(IF('Betting SETUP'!$D$5:$D$16="Y",Q5:Q16,10)),IF('Betting SETUP'!$D$5:$D$16="Y",Q5:Q16,10),0)))</f>
        <v/>
      </c>
      <c r="R17" s="42" t="str">
        <f t="array" ref="R17">IF(SUM(IF(IF('Betting SETUP'!$D$5:$D$16="Y", R5:R16, 10)=MIN(IF('Betting SETUP'!$D$5:$D$16="Y", R5:R16, 10)), 1, 0)) &gt; 1, "", INDEX('Betting SETUP'!$A$5:$A$16,MATCH(MIN(IF('Betting SETUP'!$D$5:$D$16="Y",R5:R16,10)),IF('Betting SETUP'!$D$5:$D$16="Y",R5:R16,10),0)))</f>
        <v/>
      </c>
      <c r="S17" s="42" t="str">
        <f t="array" ref="S17">IF(SUM(IF(IF('Betting SETUP'!$D$5:$D$16="Y", S5:S16, 10)=MIN(IF('Betting SETUP'!$D$5:$D$16="Y", S5:S16, 10)), 1, 0)) &gt; 1, "", INDEX('Betting SETUP'!$A$5:$A$16,MATCH(MIN(IF('Betting SETUP'!$D$5:$D$16="Y",S5:S16,10)),IF('Betting SETUP'!$D$5:$D$16="Y",S5:S16,10),0)))</f>
        <v>Aaron J</v>
      </c>
      <c r="T17" s="42" t="str">
        <f t="array" ref="T17">IF(SUM(IF(IF('Betting SETUP'!$D$5:$D$16="Y", T5:T16, 10)=MIN(IF('Betting SETUP'!$D$5:$D$16="Y", T5:T16, 10)), 1, 0)) &gt; 1, "", INDEX('Betting SETUP'!$A$5:$A$16,MATCH(MIN(IF('Betting SETUP'!$D$5:$D$16="Y",T5:T16,10)),IF('Betting SETUP'!$D$5:$D$16="Y",T5:T16,10),0)))</f>
        <v/>
      </c>
      <c r="U17" s="42" t="str">
        <f t="array" ref="U17">IF(SUM(IF(IF('Betting SETUP'!$D$5:$D$16="Y", U5:U16, 10)=MIN(IF('Betting SETUP'!$D$5:$D$16="Y", U5:U16, 10)), 1, 0)) &gt; 1, "", INDEX('Betting SETUP'!$A$5:$A$16,MATCH(MIN(IF('Betting SETUP'!$D$5:$D$16="Y",U5:U16,10)),IF('Betting SETUP'!$D$5:$D$16="Y",U5:U16,10),0)))</f>
        <v/>
      </c>
      <c r="V17" s="14"/>
      <c r="W17" s="15"/>
      <c r="X17" s="15">
        <f>18-COUNTBLANK(D17:U17)</f>
        <v>5</v>
      </c>
      <c r="Y17" s="43"/>
      <c r="Z17" s="44"/>
      <c r="AA17" s="44"/>
      <c r="AB17" s="44"/>
      <c r="AC17" s="44"/>
      <c r="AD17" s="44"/>
      <c r="AE17" s="44"/>
      <c r="AF17" s="44"/>
      <c r="AG17" s="44"/>
      <c r="AH17" s="44"/>
    </row>
    <row r="18" ht="12.75" customHeight="1">
      <c r="A18" s="10"/>
      <c r="B18" s="11"/>
      <c r="C18" s="41" t="s">
        <v>20</v>
      </c>
      <c r="D18" s="42"/>
      <c r="E18" s="45"/>
      <c r="F18" s="45"/>
      <c r="G18" s="45"/>
      <c r="H18" s="45"/>
      <c r="I18" s="42"/>
      <c r="J18" s="45"/>
      <c r="K18" s="45"/>
      <c r="L18" s="45"/>
      <c r="M18" s="42"/>
      <c r="N18" s="45"/>
      <c r="O18" s="45"/>
      <c r="P18" s="42"/>
      <c r="Q18" s="45"/>
      <c r="R18" s="45"/>
      <c r="S18" s="45"/>
      <c r="T18" s="45"/>
      <c r="U18" s="45"/>
      <c r="V18" s="46"/>
      <c r="W18" s="46"/>
      <c r="X18" s="42">
        <f>COUNTA(D18:U18)</f>
        <v>0</v>
      </c>
      <c r="Y18" s="43"/>
      <c r="Z18" s="44"/>
      <c r="AA18" s="44"/>
      <c r="AB18" s="44"/>
      <c r="AC18" s="44"/>
      <c r="AD18" s="44"/>
      <c r="AE18" s="44"/>
      <c r="AF18" s="44"/>
      <c r="AG18" s="44"/>
      <c r="AH18" s="44"/>
    </row>
    <row r="19" ht="12.75" customHeight="1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12.75" customHeight="1">
      <c r="A20" s="10"/>
      <c r="B20" s="11"/>
      <c r="C20" s="12" t="str">
        <f>SETUP!D1</f>
        <v>THE PREMIER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 s="15"/>
      <c r="X20" s="16">
        <f>SETUP!D2</f>
        <v>71</v>
      </c>
      <c r="Y20" s="17">
        <f>SETUP!D3</f>
        <v>132</v>
      </c>
      <c r="Z20" s="18"/>
      <c r="AA20" s="18"/>
      <c r="AB20" s="18"/>
      <c r="AC20" s="18"/>
      <c r="AD20" s="18"/>
      <c r="AE20" s="18"/>
      <c r="AF20" s="18"/>
      <c r="AG20" s="18"/>
      <c r="AH20" s="18"/>
    </row>
    <row r="21" ht="12.75" customHeight="1">
      <c r="A21" s="10"/>
      <c r="B21" s="11"/>
      <c r="C21" s="17" t="s">
        <v>5</v>
      </c>
      <c r="D21" s="19">
        <v>1.0</v>
      </c>
      <c r="E21" s="19">
        <v>2.0</v>
      </c>
      <c r="F21" s="19">
        <v>3.0</v>
      </c>
      <c r="G21" s="19">
        <v>4.0</v>
      </c>
      <c r="H21" s="19">
        <v>5.0</v>
      </c>
      <c r="I21" s="19">
        <v>6.0</v>
      </c>
      <c r="J21" s="19">
        <v>7.0</v>
      </c>
      <c r="K21" s="19">
        <v>8.0</v>
      </c>
      <c r="L21" s="19">
        <v>9.0</v>
      </c>
      <c r="M21" s="19">
        <v>10.0</v>
      </c>
      <c r="N21" s="19">
        <v>11.0</v>
      </c>
      <c r="O21" s="19">
        <v>12.0</v>
      </c>
      <c r="P21" s="19">
        <v>13.0</v>
      </c>
      <c r="Q21" s="19">
        <v>14.0</v>
      </c>
      <c r="R21" s="19">
        <v>15.0</v>
      </c>
      <c r="S21" s="19">
        <v>16.0</v>
      </c>
      <c r="T21" s="19">
        <v>17.0</v>
      </c>
      <c r="U21" s="19">
        <v>18.0</v>
      </c>
      <c r="V21" s="19" t="s">
        <v>6</v>
      </c>
      <c r="W21" s="19" t="s">
        <v>7</v>
      </c>
      <c r="X21" s="19" t="s">
        <v>8</v>
      </c>
      <c r="Y21" s="19" t="s">
        <v>9</v>
      </c>
      <c r="Z21" s="20"/>
      <c r="AA21" s="20"/>
      <c r="AB21" s="20"/>
      <c r="AC21" s="20"/>
      <c r="AD21" s="20"/>
      <c r="AE21" s="20"/>
      <c r="AF21" s="20"/>
      <c r="AG21" s="20"/>
      <c r="AH21" s="20"/>
    </row>
    <row r="22" ht="12.75" customHeight="1">
      <c r="A22" s="21"/>
      <c r="B22" s="22"/>
      <c r="C22" s="23" t="s">
        <v>10</v>
      </c>
      <c r="D22" s="19">
        <f>Scorecards!D22</f>
        <v>5</v>
      </c>
      <c r="E22" s="19">
        <f>Scorecards!E22</f>
        <v>11</v>
      </c>
      <c r="F22" s="19">
        <f>Scorecards!F22</f>
        <v>1</v>
      </c>
      <c r="G22" s="19">
        <f>Scorecards!G22</f>
        <v>13</v>
      </c>
      <c r="H22" s="19">
        <f>Scorecards!H22</f>
        <v>17</v>
      </c>
      <c r="I22" s="19">
        <f>Scorecards!I22</f>
        <v>15</v>
      </c>
      <c r="J22" s="19">
        <f>Scorecards!J22</f>
        <v>3</v>
      </c>
      <c r="K22" s="19">
        <f>Scorecards!K22</f>
        <v>7</v>
      </c>
      <c r="L22" s="19">
        <f>Scorecards!L22</f>
        <v>9</v>
      </c>
      <c r="M22" s="19">
        <f>Scorecards!M22</f>
        <v>8</v>
      </c>
      <c r="N22" s="19">
        <f>Scorecards!N22</f>
        <v>16</v>
      </c>
      <c r="O22" s="19">
        <f>Scorecards!O22</f>
        <v>10</v>
      </c>
      <c r="P22" s="19">
        <f>Scorecards!P22</f>
        <v>4</v>
      </c>
      <c r="Q22" s="19">
        <f>Scorecards!Q22</f>
        <v>2</v>
      </c>
      <c r="R22" s="19">
        <f>Scorecards!R22</f>
        <v>18</v>
      </c>
      <c r="S22" s="19">
        <f>Scorecards!S22</f>
        <v>12</v>
      </c>
      <c r="T22" s="19">
        <f>Scorecards!T22</f>
        <v>14</v>
      </c>
      <c r="U22" s="19">
        <f>Scorecards!U22</f>
        <v>6</v>
      </c>
      <c r="V22" s="26"/>
      <c r="W22" s="26"/>
      <c r="X22" s="26"/>
      <c r="Y22" s="26"/>
      <c r="Z22" s="27"/>
      <c r="AA22" s="27"/>
      <c r="AB22" s="27"/>
      <c r="AC22" s="27"/>
      <c r="AD22" s="27"/>
      <c r="AE22" s="27"/>
      <c r="AF22" s="27"/>
      <c r="AG22" s="27"/>
      <c r="AH22" s="27"/>
    </row>
    <row r="23" ht="12.75" customHeight="1">
      <c r="A23" s="28" t="s">
        <v>24</v>
      </c>
      <c r="B23" s="29" t="s">
        <v>10</v>
      </c>
      <c r="C23" s="17" t="s">
        <v>11</v>
      </c>
      <c r="D23" s="49">
        <f>Scorecards!D23</f>
        <v>4</v>
      </c>
      <c r="E23" s="49">
        <f>Scorecards!E23</f>
        <v>5</v>
      </c>
      <c r="F23" s="49">
        <f>Scorecards!F23</f>
        <v>4</v>
      </c>
      <c r="G23" s="49">
        <f>Scorecards!G23</f>
        <v>3</v>
      </c>
      <c r="H23" s="49">
        <f>Scorecards!H23</f>
        <v>4</v>
      </c>
      <c r="I23" s="49">
        <f>Scorecards!I23</f>
        <v>5</v>
      </c>
      <c r="J23" s="49">
        <f>Scorecards!J23</f>
        <v>4</v>
      </c>
      <c r="K23" s="49">
        <f>Scorecards!K23</f>
        <v>3</v>
      </c>
      <c r="L23" s="49">
        <f>Scorecards!L23</f>
        <v>4</v>
      </c>
      <c r="M23" s="49">
        <f>Scorecards!M23</f>
        <v>4</v>
      </c>
      <c r="N23" s="49">
        <f>Scorecards!N23</f>
        <v>3</v>
      </c>
      <c r="O23" s="49">
        <f>Scorecards!O23</f>
        <v>5</v>
      </c>
      <c r="P23" s="49">
        <f>Scorecards!P23</f>
        <v>4</v>
      </c>
      <c r="Q23" s="49">
        <f>Scorecards!Q23</f>
        <v>4</v>
      </c>
      <c r="R23" s="49">
        <f>Scorecards!R23</f>
        <v>4</v>
      </c>
      <c r="S23" s="49">
        <f>Scorecards!S23</f>
        <v>5</v>
      </c>
      <c r="T23" s="49">
        <f>Scorecards!T23</f>
        <v>3</v>
      </c>
      <c r="U23" s="49">
        <f>Scorecards!U23</f>
        <v>4</v>
      </c>
      <c r="V23" s="30">
        <f t="shared" ref="V23:V35" si="6">SUM(D23:L23)</f>
        <v>36</v>
      </c>
      <c r="W23" s="30">
        <f t="shared" ref="W23:W35" si="7">SUM(M23:U23)</f>
        <v>36</v>
      </c>
      <c r="X23" s="30">
        <f>V23+W23</f>
        <v>72</v>
      </c>
      <c r="Y23" s="30"/>
      <c r="Z23" s="31" t="s">
        <v>12</v>
      </c>
      <c r="AA23" s="31" t="s">
        <v>13</v>
      </c>
      <c r="AB23" s="31" t="s">
        <v>14</v>
      </c>
      <c r="AC23" s="31" t="s">
        <v>11</v>
      </c>
      <c r="AD23" s="31" t="s">
        <v>15</v>
      </c>
      <c r="AE23" s="31" t="s">
        <v>16</v>
      </c>
      <c r="AF23" s="31" t="s">
        <v>17</v>
      </c>
      <c r="AG23" s="31" t="s">
        <v>18</v>
      </c>
      <c r="AH23" s="27"/>
    </row>
    <row r="24" ht="12.75" customHeight="1">
      <c r="A24" s="32" t="str">
        <f>SETUP!A5</f>
        <v>Aaron J</v>
      </c>
      <c r="B24" s="33">
        <f t="array" ref="B24">if(A24="","",index(SETUP!C:C,match(A24,SETUP!A:A,0)))</f>
        <v>9</v>
      </c>
      <c r="C24" s="17"/>
      <c r="D24" s="35">
        <f>if(Scorecards!D24="","",Scorecards!D24-IF(Scorecards!$B24&gt;0,FLOOR(Scorecards!$B24/18,1),0)-IF(AND(MOD(Scorecards!$B24,18)&gt;=Scorecards!D$22,Scorecards!$B24&gt;0),1,0)+IF(Scorecards!D$22-18&gt;Scorecards!$B24,1,0))</f>
        <v>4</v>
      </c>
      <c r="E24" s="35">
        <f>if(Scorecards!E24="","",Scorecards!E24-IF(Scorecards!$B24&gt;0,FLOOR(Scorecards!$B24/18,1),0)-IF(AND(MOD(Scorecards!$B24,18)&gt;=Scorecards!E$22,Scorecards!$B24&gt;0),1,0)+IF(Scorecards!E$22-18&gt;Scorecards!$B24,1,0))</f>
        <v>4</v>
      </c>
      <c r="F24" s="35">
        <f>if(Scorecards!F24="","",Scorecards!F24-IF(Scorecards!$B24&gt;0,FLOOR(Scorecards!$B24/18,1),0)-IF(AND(MOD(Scorecards!$B24,18)&gt;=Scorecards!F$22,Scorecards!$B24&gt;0),1,0)+IF(Scorecards!F$22-18&gt;Scorecards!$B24,1,0))</f>
        <v>3</v>
      </c>
      <c r="G24" s="35">
        <f>if(Scorecards!G24="","",Scorecards!G24-IF(Scorecards!$B24&gt;0,FLOOR(Scorecards!$B24/18,1),0)-IF(AND(MOD(Scorecards!$B24,18)&gt;=Scorecards!G$22,Scorecards!$B24&gt;0),1,0)+IF(Scorecards!G$22-18&gt;Scorecards!$B24,1,0))</f>
        <v>4</v>
      </c>
      <c r="H24" s="35">
        <f>if(Scorecards!H24="","",Scorecards!H24-IF(Scorecards!$B24&gt;0,FLOOR(Scorecards!$B24/18,1),0)-IF(AND(MOD(Scorecards!$B24,18)&gt;=Scorecards!H$22,Scorecards!$B24&gt;0),1,0)+IF(Scorecards!H$22-18&gt;Scorecards!$B24,1,0))</f>
        <v>4</v>
      </c>
      <c r="I24" s="35">
        <f>if(Scorecards!I24="","",Scorecards!I24-IF(Scorecards!$B24&gt;0,FLOOR(Scorecards!$B24/18,1),0)-IF(AND(MOD(Scorecards!$B24,18)&gt;=Scorecards!I$22,Scorecards!$B24&gt;0),1,0)+IF(Scorecards!I$22-18&gt;Scorecards!$B24,1,0))</f>
        <v>5</v>
      </c>
      <c r="J24" s="35">
        <f>if(Scorecards!J24="","",Scorecards!J24-IF(Scorecards!$B24&gt;0,FLOOR(Scorecards!$B24/18,1),0)-IF(AND(MOD(Scorecards!$B24,18)&gt;=Scorecards!J$22,Scorecards!$B24&gt;0),1,0)+IF(Scorecards!J$22-18&gt;Scorecards!$B24,1,0))</f>
        <v>5</v>
      </c>
      <c r="K24" s="35">
        <f>if(Scorecards!K24="","",Scorecards!K24-IF(Scorecards!$B24&gt;0,FLOOR(Scorecards!$B24/18,1),0)-IF(AND(MOD(Scorecards!$B24,18)&gt;=Scorecards!K$22,Scorecards!$B24&gt;0),1,0)+IF(Scorecards!K$22-18&gt;Scorecards!$B24,1,0))</f>
        <v>3</v>
      </c>
      <c r="L24" s="35">
        <f>if(Scorecards!L24="","",Scorecards!L24-IF(Scorecards!$B24&gt;0,FLOOR(Scorecards!$B24/18,1),0)-IF(AND(MOD(Scorecards!$B24,18)&gt;=Scorecards!L$22,Scorecards!$B24&gt;0),1,0)+IF(Scorecards!L$22-18&gt;Scorecards!$B24,1,0))</f>
        <v>5</v>
      </c>
      <c r="M24" s="35">
        <f>if(Scorecards!M24="","",Scorecards!M24-IF(Scorecards!$B24&gt;0,FLOOR(Scorecards!$B24/18,1),0)-IF(AND(MOD(Scorecards!$B24,18)&gt;=Scorecards!M$22,Scorecards!$B24&gt;0),1,0)+IF(Scorecards!M$22-18&gt;Scorecards!$B24,1,0))</f>
        <v>4</v>
      </c>
      <c r="N24" s="35">
        <f>if(Scorecards!N24="","",Scorecards!N24-IF(Scorecards!$B24&gt;0,FLOOR(Scorecards!$B24/18,1),0)-IF(AND(MOD(Scorecards!$B24,18)&gt;=Scorecards!N$22,Scorecards!$B24&gt;0),1,0)+IF(Scorecards!N$22-18&gt;Scorecards!$B24,1,0))</f>
        <v>4</v>
      </c>
      <c r="O24" s="35">
        <f>if(Scorecards!O24="","",Scorecards!O24-IF(Scorecards!$B24&gt;0,FLOOR(Scorecards!$B24/18,1),0)-IF(AND(MOD(Scorecards!$B24,18)&gt;=Scorecards!O$22,Scorecards!$B24&gt;0),1,0)+IF(Scorecards!O$22-18&gt;Scorecards!$B24,1,0))</f>
        <v>5</v>
      </c>
      <c r="P24" s="35">
        <f>if(Scorecards!P24="","",Scorecards!P24-IF(Scorecards!$B24&gt;0,FLOOR(Scorecards!$B24/18,1),0)-IF(AND(MOD(Scorecards!$B24,18)&gt;=Scorecards!P$22,Scorecards!$B24&gt;0),1,0)+IF(Scorecards!P$22-18&gt;Scorecards!$B24,1,0))</f>
        <v>3</v>
      </c>
      <c r="Q24" s="35">
        <f>if(Scorecards!Q24="","",Scorecards!Q24-IF(Scorecards!$B24&gt;0,FLOOR(Scorecards!$B24/18,1),0)-IF(AND(MOD(Scorecards!$B24,18)&gt;=Scorecards!Q$22,Scorecards!$B24&gt;0),1,0)+IF(Scorecards!Q$22-18&gt;Scorecards!$B24,1,0))</f>
        <v>3</v>
      </c>
      <c r="R24" s="35">
        <f>if(Scorecards!R24="","",Scorecards!R24-IF(Scorecards!$B24&gt;0,FLOOR(Scorecards!$B24/18,1),0)-IF(AND(MOD(Scorecards!$B24,18)&gt;=Scorecards!R$22,Scorecards!$B24&gt;0),1,0)+IF(Scorecards!R$22-18&gt;Scorecards!$B24,1,0))</f>
        <v>4</v>
      </c>
      <c r="S24" s="35">
        <f>if(Scorecards!S24="","",Scorecards!S24-IF(Scorecards!$B24&gt;0,FLOOR(Scorecards!$B24/18,1),0)-IF(AND(MOD(Scorecards!$B24,18)&gt;=Scorecards!S$22,Scorecards!$B24&gt;0),1,0)+IF(Scorecards!S$22-18&gt;Scorecards!$B24,1,0))</f>
        <v>7</v>
      </c>
      <c r="T24" s="35">
        <f>if(Scorecards!T24="","",Scorecards!T24-IF(Scorecards!$B24&gt;0,FLOOR(Scorecards!$B24/18,1),0)-IF(AND(MOD(Scorecards!$B24,18)&gt;=Scorecards!T$22,Scorecards!$B24&gt;0),1,0)+IF(Scorecards!T$22-18&gt;Scorecards!$B24,1,0))</f>
        <v>4</v>
      </c>
      <c r="U24" s="35">
        <f>if(Scorecards!U24="","",Scorecards!U24-IF(Scorecards!$B24&gt;0,FLOOR(Scorecards!$B24/18,1),0)-IF(AND(MOD(Scorecards!$B24,18)&gt;=Scorecards!U$22,Scorecards!$B24&gt;0),1,0)+IF(Scorecards!U$22-18&gt;Scorecards!$B24,1,0))</f>
        <v>6</v>
      </c>
      <c r="V24" s="36">
        <f t="shared" si="6"/>
        <v>37</v>
      </c>
      <c r="W24" s="36">
        <f t="shared" si="7"/>
        <v>40</v>
      </c>
      <c r="X24" s="36">
        <f t="shared" ref="X24:X35" si="8">IF(W24&gt;0,V24+W24,"")</f>
        <v>77</v>
      </c>
      <c r="Y24" s="37">
        <f t="shared" ref="Y24:Y35" si="9">IF(W24=0,"",X24-B24)</f>
        <v>68</v>
      </c>
      <c r="Z24" s="38">
        <f t="array" ref="Z24">sum(if(D24-$D$23=-3,1,0),if(E24-$E$23=-3,1,0),if(F24-$F$23=-3,1,0),if(G24-$G$23=-3,1,0),if(H24-$H$23=-3,1,0),if(I24-$I$23=-3,1,0),if(J24-$J$23=-3,1,0),if(K24-$K$23=-3,1,0),if(L24-$L$23=-3,1,0),if(M24-$M$23=-3,1,0),if(N24-$N$23=-3,1,0),if(O24-$O$23=-3,1,0),if(P24-$P$23=-3,1,0),if(Q24-$Q$23=-3,1,0),if(R24-$R$23=-3,1,0),if(S24-$S$23=-3,1,0),if(T24-$T$23=-3,1,0),if(U24-$U$23=-3,1,0))</f>
        <v>0</v>
      </c>
      <c r="AA24" s="38">
        <f t="array" ref="AA24">sum(if(D24-$D$23=-2,1,0),if(E24-$E$23=-2,1,0),if(F24-$F$23=-2,1,0),if(G24-$G$23=-2,1,0),if(H24-$H$23=-2,1,0),if(I24-$I$23=-2,1,0),if(J24-$J$23=-2,1,0),if(K24-$K$23=-2,1,0),if(L24-$L$23=-2,1,0),if(M24-$M$23=-2,1,0),if(N24-$N$23=-2,1,0),if(O24-$O$23=-2,1,0),if(P24-$P$23=-2,1,0),if(Q24-$Q$23=-2,1,0),if(R24-$R$23=-2,1,0),if(S24-$S$23=-2,1,0),if(T24-$T$23=-2,1,0),if(U24-$U$23=-2,1,0))</f>
        <v>0</v>
      </c>
      <c r="AB24" s="38">
        <f t="array" ref="AB24">sum(if(D24-$D$23=-1,1,0),if(E24-$E$23=-1,1,0),if(F24-$F$23=-1,1,0),if(G24-$G$23=-1,1,0),if(H24-$H$23=-1,1,0),if(I24-$I$23=-1,1,0),if(J24-$J$23=-1,1,0),if(K24-$K$23=-1,1,0),if(L24-$L$23=-1,1,0),if(M24-$M$23=-1,1,0),if(N24-$N$23=-1,1,0),if(O24-$O$23=-1,1,0),if(P24-$P$23=-1,1,0),if(Q24-$Q$23=-1,1,0),if(R24-$R$23=-1,1,0),if(S24-$S$23=-1,1,0),if(T24-$T$23=-1,1,0),if(U24-$U$23=-1,1,0))</f>
        <v>4</v>
      </c>
      <c r="AC24" s="38">
        <f t="array" ref="AC24">sum(if(D24-$D$23=0,1,0),if(E24-$E$23=0,1,0),if(F24-$F$23=0,1,0),if(G24-$G$23=0,1,0),if(H24-$H$23=0,1,0),if(I24-$I$23=0,1,0),if(J24-$J$23=0,1,0),if(K24-$K$23=0,1,0),if(L24-$L$23=0,1,0),if(M24-$M$23=0,1,0),if(N24-$N$23=0,1,0),if(O24-$O$23=0,1,0),if(P24-$P$23=0,1,0),if(Q24-$Q$23=0,1,0),if(R24-$R$23=0,1,0),if(S24-$S$23=0,1,0),if(T24-$T$23=0,1,0),if(U24-$U$23=0,1,0))</f>
        <v>7</v>
      </c>
      <c r="AD24" s="38">
        <f t="array" ref="AD24">sum(if(D24-$D$23=1,1,0),if(E24-$E$23=1,1,0),if(F24-$F$23=1,1,0),if(G24-$G$23=1,1,0),if(H24-$H$23=1,1,0),if(I24-$I$23=1,1,0),if(J24-$J$23=1,1,0),if(K24-$K$23=1,1,0),if(L24-$L$23=1,1,0),if(M24-$M$23=1,1,0),if(N24-$N$23=1,1,0),if(O24-$O$23=1,1,0),if(P24-$P$23=1,1,0),if(Q24-$Q$23=1,1,0),if(R24-$R$23=1,1,0),if(S24-$S$23=1,1,0),if(T24-$T$23=1,1,0),if(U24-$U$23=1,1,0))</f>
        <v>5</v>
      </c>
      <c r="AE24" s="38">
        <f t="array" ref="AE24">sum(if(D24-$D$23=2,1,0),if(E24-$E$23=2,1,0),if(F24-$F$23=2,1,0),if(G24-$G$23=2,1,0),if(H24-$H$23=2,1,0),if(I24-$I$23=2,1,0),if(J24-$J$23=2,1,0),if(K24-$K$23=2,1,0),if(L24-$L$23=2,1,0),if(M24-$M$23=2,1,0),if(N24-$N$23=2,1,0),if(O24-$O$23=2,1,0),if(P24-$P$23=2,1,0),if(Q24-$Q$23=2,1,0),if(R24-$R$23=2,1,0),if(S24-$S$23=2,1,0),if(T24-$T$23=2,1,0),if(U24-$U$23=2,1,0))</f>
        <v>2</v>
      </c>
      <c r="AF24" s="38">
        <f t="array" ref="AF24">sum(if(D24-$D$23=3,1,0),if(E24-$E$23=3,1,0),if(F24-$F$23=3,1,0),if(G24-$G$23=3,1,0),if(H24-$H$23=3,1,0),if(I24-$I$23=3,1,0),if(J24-$J$23=3,1,0),if(K24-$K$23=3,1,0),if(L24-$L$23=3,1,0),if(M24-$M$23=3,1,0),if(N24-$N$23=3,1,0),if(O24-$O$23=3,1,0),if(P24-$P$23=3,1,0),if(Q24-$Q$23=3,1,0),if(R24-$R$23=3,1,0),if(S24-$S$23=3,1,0),if(T24-$T$23=3,1,0),if(U24-$U$23=3,1,0))</f>
        <v>0</v>
      </c>
      <c r="AG24" s="38">
        <f t="array" ref="AG24">sum(if(D24-$D$23&gt;3,1,0),if(E24-$E$23&gt;3,1,0),if(F24-$F$23&gt;3,1,0),if(G24-$G$23&gt;3,1,0),if(H24-$H$23&gt;3,1,0),if(I24-$I$23&gt;3,1,0),if(J24-$J$23&gt;3,1,0),if(K24-$K$23&gt;3,1,0),if(L24-$L$23&gt;3,1,0),if(M24-$M$23&gt;3,1,0),if(N24-$N$23&gt;3,1,0),if(O24-$O$23&gt;3,1,0),if(P24-$P$23&gt;3,1,0),if(Q24-$Q$23&gt;3,1,0),if(R24-$R$23&gt;3,1,0),if(S24-$S$23&gt;3,1,0),if(T24-$T$23&gt;3,1,0),if(U24-$U$23&gt;3,1,0))</f>
        <v>0</v>
      </c>
      <c r="AH24" s="38">
        <f t="shared" ref="AH24:AH35" si="10">sum(Z24:AG24)</f>
        <v>18</v>
      </c>
    </row>
    <row r="25" ht="12.75" customHeight="1">
      <c r="A25" s="32" t="str">
        <f>SETUP!A6</f>
        <v>Andy V</v>
      </c>
      <c r="B25" s="33">
        <f t="array" ref="B25">if(A25="","",index(SETUP!C:C,match(A25,SETUP!A:A,0)))</f>
        <v>22</v>
      </c>
      <c r="C25" s="17"/>
      <c r="D25" s="35">
        <f>if(Scorecards!D25="","",Scorecards!D25-IF(Scorecards!$B25&gt;0,FLOOR(Scorecards!$B25/18,1),0)-IF(AND(MOD(Scorecards!$B25,18)&gt;=Scorecards!D$22,Scorecards!$B25&gt;0),1,0)+IF(Scorecards!D$22-18&gt;Scorecards!$B25,1,0))</f>
        <v>4</v>
      </c>
      <c r="E25" s="35">
        <f>if(Scorecards!E25="","",Scorecards!E25-IF(Scorecards!$B25&gt;0,FLOOR(Scorecards!$B25/18,1),0)-IF(AND(MOD(Scorecards!$B25,18)&gt;=Scorecards!E$22,Scorecards!$B25&gt;0),1,0)+IF(Scorecards!E$22-18&gt;Scorecards!$B25,1,0))</f>
        <v>6</v>
      </c>
      <c r="F25" s="35">
        <f>if(Scorecards!F25="","",Scorecards!F25-IF(Scorecards!$B25&gt;0,FLOOR(Scorecards!$B25/18,1),0)-IF(AND(MOD(Scorecards!$B25,18)&gt;=Scorecards!F$22,Scorecards!$B25&gt;0),1,0)+IF(Scorecards!F$22-18&gt;Scorecards!$B25,1,0))</f>
        <v>3</v>
      </c>
      <c r="G25" s="35">
        <f>if(Scorecards!G25="","",Scorecards!G25-IF(Scorecards!$B25&gt;0,FLOOR(Scorecards!$B25/18,1),0)-IF(AND(MOD(Scorecards!$B25,18)&gt;=Scorecards!G$22,Scorecards!$B25&gt;0),1,0)+IF(Scorecards!G$22-18&gt;Scorecards!$B25,1,0))</f>
        <v>2</v>
      </c>
      <c r="H25" s="35">
        <f>if(Scorecards!H25="","",Scorecards!H25-IF(Scorecards!$B25&gt;0,FLOOR(Scorecards!$B25/18,1),0)-IF(AND(MOD(Scorecards!$B25,18)&gt;=Scorecards!H$22,Scorecards!$B25&gt;0),1,0)+IF(Scorecards!H$22-18&gt;Scorecards!$B25,1,0))</f>
        <v>3</v>
      </c>
      <c r="I25" s="35">
        <f>if(Scorecards!I25="","",Scorecards!I25-IF(Scorecards!$B25&gt;0,FLOOR(Scorecards!$B25/18,1),0)-IF(AND(MOD(Scorecards!$B25,18)&gt;=Scorecards!I$22,Scorecards!$B25&gt;0),1,0)+IF(Scorecards!I$22-18&gt;Scorecards!$B25,1,0))</f>
        <v>6</v>
      </c>
      <c r="J25" s="35">
        <f>if(Scorecards!J25="","",Scorecards!J25-IF(Scorecards!$B25&gt;0,FLOOR(Scorecards!$B25/18,1),0)-IF(AND(MOD(Scorecards!$B25,18)&gt;=Scorecards!J$22,Scorecards!$B25&gt;0),1,0)+IF(Scorecards!J$22-18&gt;Scorecards!$B25,1,0))</f>
        <v>5</v>
      </c>
      <c r="K25" s="35">
        <f>if(Scorecards!K25="","",Scorecards!K25-IF(Scorecards!$B25&gt;0,FLOOR(Scorecards!$B25/18,1),0)-IF(AND(MOD(Scorecards!$B25,18)&gt;=Scorecards!K$22,Scorecards!$B25&gt;0),1,0)+IF(Scorecards!K$22-18&gt;Scorecards!$B25,1,0))</f>
        <v>6</v>
      </c>
      <c r="L25" s="35">
        <f>if(Scorecards!L25="","",Scorecards!L25-IF(Scorecards!$B25&gt;0,FLOOR(Scorecards!$B25/18,1),0)-IF(AND(MOD(Scorecards!$B25,18)&gt;=Scorecards!L$22,Scorecards!$B25&gt;0),1,0)+IF(Scorecards!L$22-18&gt;Scorecards!$B25,1,0))</f>
        <v>4</v>
      </c>
      <c r="M25" s="35">
        <f>if(Scorecards!M25="","",Scorecards!M25-IF(Scorecards!$B25&gt;0,FLOOR(Scorecards!$B25/18,1),0)-IF(AND(MOD(Scorecards!$B25,18)&gt;=Scorecards!M$22,Scorecards!$B25&gt;0),1,0)+IF(Scorecards!M$22-18&gt;Scorecards!$B25,1,0))</f>
        <v>3</v>
      </c>
      <c r="N25" s="35">
        <f>if(Scorecards!N25="","",Scorecards!N25-IF(Scorecards!$B25&gt;0,FLOOR(Scorecards!$B25/18,1),0)-IF(AND(MOD(Scorecards!$B25,18)&gt;=Scorecards!N$22,Scorecards!$B25&gt;0),1,0)+IF(Scorecards!N$22-18&gt;Scorecards!$B25,1,0))</f>
        <v>3</v>
      </c>
      <c r="O25" s="35">
        <f>if(Scorecards!O25="","",Scorecards!O25-IF(Scorecards!$B25&gt;0,FLOOR(Scorecards!$B25/18,1),0)-IF(AND(MOD(Scorecards!$B25,18)&gt;=Scorecards!O$22,Scorecards!$B25&gt;0),1,0)+IF(Scorecards!O$22-18&gt;Scorecards!$B25,1,0))</f>
        <v>5</v>
      </c>
      <c r="P25" s="35">
        <f>if(Scorecards!P25="","",Scorecards!P25-IF(Scorecards!$B25&gt;0,FLOOR(Scorecards!$B25/18,1),0)-IF(AND(MOD(Scorecards!$B25,18)&gt;=Scorecards!P$22,Scorecards!$B25&gt;0),1,0)+IF(Scorecards!P$22-18&gt;Scorecards!$B25,1,0))</f>
        <v>3</v>
      </c>
      <c r="Q25" s="35">
        <f>if(Scorecards!Q25="","",Scorecards!Q25-IF(Scorecards!$B25&gt;0,FLOOR(Scorecards!$B25/18,1),0)-IF(AND(MOD(Scorecards!$B25,18)&gt;=Scorecards!Q$22,Scorecards!$B25&gt;0),1,0)+IF(Scorecards!Q$22-18&gt;Scorecards!$B25,1,0))</f>
        <v>4</v>
      </c>
      <c r="R25" s="35">
        <f>if(Scorecards!R25="","",Scorecards!R25-IF(Scorecards!$B25&gt;0,FLOOR(Scorecards!$B25/18,1),0)-IF(AND(MOD(Scorecards!$B25,18)&gt;=Scorecards!R$22,Scorecards!$B25&gt;0),1,0)+IF(Scorecards!R$22-18&gt;Scorecards!$B25,1,0))</f>
        <v>4</v>
      </c>
      <c r="S25" s="35">
        <f>if(Scorecards!S25="","",Scorecards!S25-IF(Scorecards!$B25&gt;0,FLOOR(Scorecards!$B25/18,1),0)-IF(AND(MOD(Scorecards!$B25,18)&gt;=Scorecards!S$22,Scorecards!$B25&gt;0),1,0)+IF(Scorecards!S$22-18&gt;Scorecards!$B25,1,0))</f>
        <v>5</v>
      </c>
      <c r="T25" s="35">
        <f>if(Scorecards!T25="","",Scorecards!T25-IF(Scorecards!$B25&gt;0,FLOOR(Scorecards!$B25/18,1),0)-IF(AND(MOD(Scorecards!$B25,18)&gt;=Scorecards!T$22,Scorecards!$B25&gt;0),1,0)+IF(Scorecards!T$22-18&gt;Scorecards!$B25,1,0))</f>
        <v>3</v>
      </c>
      <c r="U25" s="35">
        <f>if(Scorecards!U25="","",Scorecards!U25-IF(Scorecards!$B25&gt;0,FLOOR(Scorecards!$B25/18,1),0)-IF(AND(MOD(Scorecards!$B25,18)&gt;=Scorecards!U$22,Scorecards!$B25&gt;0),1,0)+IF(Scorecards!U$22-18&gt;Scorecards!$B25,1,0))</f>
        <v>5</v>
      </c>
      <c r="V25" s="36">
        <f t="shared" si="6"/>
        <v>39</v>
      </c>
      <c r="W25" s="36">
        <f t="shared" si="7"/>
        <v>35</v>
      </c>
      <c r="X25" s="36">
        <f t="shared" si="8"/>
        <v>74</v>
      </c>
      <c r="Y25" s="37">
        <f t="shared" si="9"/>
        <v>52</v>
      </c>
      <c r="Z25" s="38">
        <f t="array" ref="Z25">sum(if(D25-$D$23=-3,1,0),if(E25-$E$23=-3,1,0),if(F25-$F$23=-3,1,0),if(G25-$G$23=-3,1,0),if(H25-$H$23=-3,1,0),if(I25-$I$23=-3,1,0),if(J25-$J$23=-3,1,0),if(K25-$K$23=-3,1,0),if(L25-$L$23=-3,1,0),if(M25-$M$23=-3,1,0),if(N25-$N$23=-3,1,0),if(O25-$O$23=-3,1,0),if(P25-$P$23=-3,1,0),if(Q25-$Q$23=-3,1,0),if(R25-$R$23=-3,1,0),if(S25-$S$23=-3,1,0),if(T25-$T$23=-3,1,0),if(U25-$U$23=-3,1,0))</f>
        <v>0</v>
      </c>
      <c r="AA25" s="38">
        <f t="array" ref="AA25">sum(if(D25-$D$23=-2,1,0),if(E25-$E$23=-2,1,0),if(F25-$F$23=-2,1,0),if(G25-$G$23=-2,1,0),if(H25-$H$23=-2,1,0),if(I25-$I$23=-2,1,0),if(J25-$J$23=-2,1,0),if(K25-$K$23=-2,1,0),if(L25-$L$23=-2,1,0),if(M25-$M$23=-2,1,0),if(N25-$N$23=-2,1,0),if(O25-$O$23=-2,1,0),if(P25-$P$23=-2,1,0),if(Q25-$Q$23=-2,1,0),if(R25-$R$23=-2,1,0),if(S25-$S$23=-2,1,0),if(T25-$T$23=-2,1,0),if(U25-$U$23=-2,1,0))</f>
        <v>0</v>
      </c>
      <c r="AB25" s="38">
        <f t="array" ref="AB25">sum(if(D25-$D$23=-1,1,0),if(E25-$E$23=-1,1,0),if(F25-$F$23=-1,1,0),if(G25-$G$23=-1,1,0),if(H25-$H$23=-1,1,0),if(I25-$I$23=-1,1,0),if(J25-$J$23=-1,1,0),if(K25-$K$23=-1,1,0),if(L25-$L$23=-1,1,0),if(M25-$M$23=-1,1,0),if(N25-$N$23=-1,1,0),if(O25-$O$23=-1,1,0),if(P25-$P$23=-1,1,0),if(Q25-$Q$23=-1,1,0),if(R25-$R$23=-1,1,0),if(S25-$S$23=-1,1,0),if(T25-$T$23=-1,1,0),if(U25-$U$23=-1,1,0))</f>
        <v>5</v>
      </c>
      <c r="AC25" s="38">
        <f t="array" ref="AC25">sum(if(D25-$D$23=0,1,0),if(E25-$E$23=0,1,0),if(F25-$F$23=0,1,0),if(G25-$G$23=0,1,0),if(H25-$H$23=0,1,0),if(I25-$I$23=0,1,0),if(J25-$J$23=0,1,0),if(K25-$K$23=0,1,0),if(L25-$L$23=0,1,0),if(M25-$M$23=0,1,0),if(N25-$N$23=0,1,0),if(O25-$O$23=0,1,0),if(P25-$P$23=0,1,0),if(Q25-$Q$23=0,1,0),if(R25-$R$23=0,1,0),if(S25-$S$23=0,1,0),if(T25-$T$23=0,1,0),if(U25-$U$23=0,1,0))</f>
        <v>8</v>
      </c>
      <c r="AD25" s="38">
        <f t="array" ref="AD25">sum(if(D25-$D$23=1,1,0),if(E25-$E$23=1,1,0),if(F25-$F$23=1,1,0),if(G25-$G$23=1,1,0),if(H25-$H$23=1,1,0),if(I25-$I$23=1,1,0),if(J25-$J$23=1,1,0),if(K25-$K$23=1,1,0),if(L25-$L$23=1,1,0),if(M25-$M$23=1,1,0),if(N25-$N$23=1,1,0),if(O25-$O$23=1,1,0),if(P25-$P$23=1,1,0),if(Q25-$Q$23=1,1,0),if(R25-$R$23=1,1,0),if(S25-$S$23=1,1,0),if(T25-$T$23=1,1,0),if(U25-$U$23=1,1,0))</f>
        <v>4</v>
      </c>
      <c r="AE25" s="38">
        <f t="array" ref="AE25">sum(if(D25-$D$23=2,1,0),if(E25-$E$23=2,1,0),if(F25-$F$23=2,1,0),if(G25-$G$23=2,1,0),if(H25-$H$23=2,1,0),if(I25-$I$23=2,1,0),if(J25-$J$23=2,1,0),if(K25-$K$23=2,1,0),if(L25-$L$23=2,1,0),if(M25-$M$23=2,1,0),if(N25-$N$23=2,1,0),if(O25-$O$23=2,1,0),if(P25-$P$23=2,1,0),if(Q25-$Q$23=2,1,0),if(R25-$R$23=2,1,0),if(S25-$S$23=2,1,0),if(T25-$T$23=2,1,0),if(U25-$U$23=2,1,0))</f>
        <v>0</v>
      </c>
      <c r="AF25" s="38">
        <f t="array" ref="AF25">sum(if(D25-$D$23=3,1,0),if(E25-$E$23=3,1,0),if(F25-$F$23=3,1,0),if(G25-$G$23=3,1,0),if(H25-$H$23=3,1,0),if(I25-$I$23=3,1,0),if(J25-$J$23=3,1,0),if(K25-$K$23=3,1,0),if(L25-$L$23=3,1,0),if(M25-$M$23=3,1,0),if(N25-$N$23=3,1,0),if(O25-$O$23=3,1,0),if(P25-$P$23=3,1,0),if(Q25-$Q$23=3,1,0),if(R25-$R$23=3,1,0),if(S25-$S$23=3,1,0),if(T25-$T$23=3,1,0),if(U25-$U$23=3,1,0))</f>
        <v>1</v>
      </c>
      <c r="AG25" s="38">
        <f t="array" ref="AG25">sum(if(D25-$D$23&gt;3,1,0),if(E25-$E$23&gt;3,1,0),if(F25-$F$23&gt;3,1,0),if(G25-$G$23&gt;3,1,0),if(H25-$H$23&gt;3,1,0),if(I25-$I$23&gt;3,1,0),if(J25-$J$23&gt;3,1,0),if(K25-$K$23&gt;3,1,0),if(L25-$L$23&gt;3,1,0),if(M25-$M$23&gt;3,1,0),if(N25-$N$23&gt;3,1,0),if(O25-$O$23&gt;3,1,0),if(P25-$P$23&gt;3,1,0),if(Q25-$Q$23&gt;3,1,0),if(R25-$R$23&gt;3,1,0),if(S25-$S$23&gt;3,1,0),if(T25-$T$23&gt;3,1,0),if(U25-$U$23&gt;3,1,0))</f>
        <v>0</v>
      </c>
      <c r="AH25" s="38">
        <f t="shared" si="10"/>
        <v>18</v>
      </c>
    </row>
    <row r="26" ht="12.75" customHeight="1">
      <c r="A26" s="32" t="str">
        <f>SETUP!A7</f>
        <v>Bob B</v>
      </c>
      <c r="B26" s="33">
        <f t="array" ref="B26">if(A26="","",index(SETUP!C:C,match(A26,SETUP!A:A,0)))</f>
        <v>20</v>
      </c>
      <c r="C26" s="17"/>
      <c r="D26" s="35">
        <f>if(Scorecards!D26="","",Scorecards!D26-IF(Scorecards!$B26&gt;0,FLOOR(Scorecards!$B26/18,1),0)-IF(AND(MOD(Scorecards!$B26,18)&gt;=Scorecards!D$22,Scorecards!$B26&gt;0),1,0)+IF(Scorecards!D$22-18&gt;Scorecards!$B26,1,0))</f>
        <v>5</v>
      </c>
      <c r="E26" s="35">
        <f>if(Scorecards!E26="","",Scorecards!E26-IF(Scorecards!$B26&gt;0,FLOOR(Scorecards!$B26/18,1),0)-IF(AND(MOD(Scorecards!$B26,18)&gt;=Scorecards!E$22,Scorecards!$B26&gt;0),1,0)+IF(Scorecards!E$22-18&gt;Scorecards!$B26,1,0))</f>
        <v>4</v>
      </c>
      <c r="F26" s="35">
        <f>if(Scorecards!F26="","",Scorecards!F26-IF(Scorecards!$B26&gt;0,FLOOR(Scorecards!$B26/18,1),0)-IF(AND(MOD(Scorecards!$B26,18)&gt;=Scorecards!F$22,Scorecards!$B26&gt;0),1,0)+IF(Scorecards!F$22-18&gt;Scorecards!$B26,1,0))</f>
        <v>3</v>
      </c>
      <c r="G26" s="35">
        <f>if(Scorecards!G26="","",Scorecards!G26-IF(Scorecards!$B26&gt;0,FLOOR(Scorecards!$B26/18,1),0)-IF(AND(MOD(Scorecards!$B26,18)&gt;=Scorecards!G$22,Scorecards!$B26&gt;0),1,0)+IF(Scorecards!G$22-18&gt;Scorecards!$B26,1,0))</f>
        <v>2</v>
      </c>
      <c r="H26" s="35">
        <f>if(Scorecards!H26="","",Scorecards!H26-IF(Scorecards!$B26&gt;0,FLOOR(Scorecards!$B26/18,1),0)-IF(AND(MOD(Scorecards!$B26,18)&gt;=Scorecards!H$22,Scorecards!$B26&gt;0),1,0)+IF(Scorecards!H$22-18&gt;Scorecards!$B26,1,0))</f>
        <v>6</v>
      </c>
      <c r="I26" s="35">
        <f>if(Scorecards!I26="","",Scorecards!I26-IF(Scorecards!$B26&gt;0,FLOOR(Scorecards!$B26/18,1),0)-IF(AND(MOD(Scorecards!$B26,18)&gt;=Scorecards!I$22,Scorecards!$B26&gt;0),1,0)+IF(Scorecards!I$22-18&gt;Scorecards!$B26,1,0))</f>
        <v>4</v>
      </c>
      <c r="J26" s="35">
        <f>if(Scorecards!J26="","",Scorecards!J26-IF(Scorecards!$B26&gt;0,FLOOR(Scorecards!$B26/18,1),0)-IF(AND(MOD(Scorecards!$B26,18)&gt;=Scorecards!J$22,Scorecards!$B26&gt;0),1,0)+IF(Scorecards!J$22-18&gt;Scorecards!$B26,1,0))</f>
        <v>3</v>
      </c>
      <c r="K26" s="35">
        <f>if(Scorecards!K26="","",Scorecards!K26-IF(Scorecards!$B26&gt;0,FLOOR(Scorecards!$B26/18,1),0)-IF(AND(MOD(Scorecards!$B26,18)&gt;=Scorecards!K$22,Scorecards!$B26&gt;0),1,0)+IF(Scorecards!K$22-18&gt;Scorecards!$B26,1,0))</f>
        <v>2</v>
      </c>
      <c r="L26" s="35">
        <f>if(Scorecards!L26="","",Scorecards!L26-IF(Scorecards!$B26&gt;0,FLOOR(Scorecards!$B26/18,1),0)-IF(AND(MOD(Scorecards!$B26,18)&gt;=Scorecards!L$22,Scorecards!$B26&gt;0),1,0)+IF(Scorecards!L$22-18&gt;Scorecards!$B26,1,0))</f>
        <v>4</v>
      </c>
      <c r="M26" s="35">
        <f>if(Scorecards!M26="","",Scorecards!M26-IF(Scorecards!$B26&gt;0,FLOOR(Scorecards!$B26/18,1),0)-IF(AND(MOD(Scorecards!$B26,18)&gt;=Scorecards!M$22,Scorecards!$B26&gt;0),1,0)+IF(Scorecards!M$22-18&gt;Scorecards!$B26,1,0))</f>
        <v>5</v>
      </c>
      <c r="N26" s="35">
        <f>if(Scorecards!N26="","",Scorecards!N26-IF(Scorecards!$B26&gt;0,FLOOR(Scorecards!$B26/18,1),0)-IF(AND(MOD(Scorecards!$B26,18)&gt;=Scorecards!N$22,Scorecards!$B26&gt;0),1,0)+IF(Scorecards!N$22-18&gt;Scorecards!$B26,1,0))</f>
        <v>3</v>
      </c>
      <c r="O26" s="35">
        <f>if(Scorecards!O26="","",Scorecards!O26-IF(Scorecards!$B26&gt;0,FLOOR(Scorecards!$B26/18,1),0)-IF(AND(MOD(Scorecards!$B26,18)&gt;=Scorecards!O$22,Scorecards!$B26&gt;0),1,0)+IF(Scorecards!O$22-18&gt;Scorecards!$B26,1,0))</f>
        <v>5</v>
      </c>
      <c r="P26" s="35">
        <f>if(Scorecards!P26="","",Scorecards!P26-IF(Scorecards!$B26&gt;0,FLOOR(Scorecards!$B26/18,1),0)-IF(AND(MOD(Scorecards!$B26,18)&gt;=Scorecards!P$22,Scorecards!$B26&gt;0),1,0)+IF(Scorecards!P$22-18&gt;Scorecards!$B26,1,0))</f>
        <v>4</v>
      </c>
      <c r="Q26" s="35">
        <f>if(Scorecards!Q26="","",Scorecards!Q26-IF(Scorecards!$B26&gt;0,FLOOR(Scorecards!$B26/18,1),0)-IF(AND(MOD(Scorecards!$B26,18)&gt;=Scorecards!Q$22,Scorecards!$B26&gt;0),1,0)+IF(Scorecards!Q$22-18&gt;Scorecards!$B26,1,0))</f>
        <v>4</v>
      </c>
      <c r="R26" s="35">
        <f>if(Scorecards!R26="","",Scorecards!R26-IF(Scorecards!$B26&gt;0,FLOOR(Scorecards!$B26/18,1),0)-IF(AND(MOD(Scorecards!$B26,18)&gt;=Scorecards!R$22,Scorecards!$B26&gt;0),1,0)+IF(Scorecards!R$22-18&gt;Scorecards!$B26,1,0))</f>
        <v>4</v>
      </c>
      <c r="S26" s="35">
        <f>if(Scorecards!S26="","",Scorecards!S26-IF(Scorecards!$B26&gt;0,FLOOR(Scorecards!$B26/18,1),0)-IF(AND(MOD(Scorecards!$B26,18)&gt;=Scorecards!S$22,Scorecards!$B26&gt;0),1,0)+IF(Scorecards!S$22-18&gt;Scorecards!$B26,1,0))</f>
        <v>4</v>
      </c>
      <c r="T26" s="35">
        <f>if(Scorecards!T26="","",Scorecards!T26-IF(Scorecards!$B26&gt;0,FLOOR(Scorecards!$B26/18,1),0)-IF(AND(MOD(Scorecards!$B26,18)&gt;=Scorecards!T$22,Scorecards!$B26&gt;0),1,0)+IF(Scorecards!T$22-18&gt;Scorecards!$B26,1,0))</f>
        <v>2</v>
      </c>
      <c r="U26" s="35">
        <f>if(Scorecards!U26="","",Scorecards!U26-IF(Scorecards!$B26&gt;0,FLOOR(Scorecards!$B26/18,1),0)-IF(AND(MOD(Scorecards!$B26,18)&gt;=Scorecards!U$22,Scorecards!$B26&gt;0),1,0)+IF(Scorecards!U$22-18&gt;Scorecards!$B26,1,0))</f>
        <v>5</v>
      </c>
      <c r="V26" s="36">
        <f t="shared" si="6"/>
        <v>33</v>
      </c>
      <c r="W26" s="36">
        <f t="shared" si="7"/>
        <v>36</v>
      </c>
      <c r="X26" s="36">
        <f t="shared" si="8"/>
        <v>69</v>
      </c>
      <c r="Y26" s="37">
        <f t="shared" si="9"/>
        <v>49</v>
      </c>
      <c r="Z26" s="38">
        <f t="array" ref="Z26">sum(if(D26-$D$23=-3,1,0),if(E26-$E$23=-3,1,0),if(F26-$F$23=-3,1,0),if(G26-$G$23=-3,1,0),if(H26-$H$23=-3,1,0),if(I26-$I$23=-3,1,0),if(J26-$J$23=-3,1,0),if(K26-$K$23=-3,1,0),if(L26-$L$23=-3,1,0),if(M26-$M$23=-3,1,0),if(N26-$N$23=-3,1,0),if(O26-$O$23=-3,1,0),if(P26-$P$23=-3,1,0),if(Q26-$Q$23=-3,1,0),if(R26-$R$23=-3,1,0),if(S26-$S$23=-3,1,0),if(T26-$T$23=-3,1,0),if(U26-$U$23=-3,1,0))</f>
        <v>0</v>
      </c>
      <c r="AA26" s="38">
        <f t="array" ref="AA26">sum(if(D26-$D$23=-2,1,0),if(E26-$E$23=-2,1,0),if(F26-$F$23=-2,1,0),if(G26-$G$23=-2,1,0),if(H26-$H$23=-2,1,0),if(I26-$I$23=-2,1,0),if(J26-$J$23=-2,1,0),if(K26-$K$23=-2,1,0),if(L26-$L$23=-2,1,0),if(M26-$M$23=-2,1,0),if(N26-$N$23=-2,1,0),if(O26-$O$23=-2,1,0),if(P26-$P$23=-2,1,0),if(Q26-$Q$23=-2,1,0),if(R26-$R$23=-2,1,0),if(S26-$S$23=-2,1,0),if(T26-$T$23=-2,1,0),if(U26-$U$23=-2,1,0))</f>
        <v>0</v>
      </c>
      <c r="AB26" s="38">
        <f t="array" ref="AB26">sum(if(D26-$D$23=-1,1,0),if(E26-$E$23=-1,1,0),if(F26-$F$23=-1,1,0),if(G26-$G$23=-1,1,0),if(H26-$H$23=-1,1,0),if(I26-$I$23=-1,1,0),if(J26-$J$23=-1,1,0),if(K26-$K$23=-1,1,0),if(L26-$L$23=-1,1,0),if(M26-$M$23=-1,1,0),if(N26-$N$23=-1,1,0),if(O26-$O$23=-1,1,0),if(P26-$P$23=-1,1,0),if(Q26-$Q$23=-1,1,0),if(R26-$R$23=-1,1,0),if(S26-$S$23=-1,1,0),if(T26-$T$23=-1,1,0),if(U26-$U$23=-1,1,0))</f>
        <v>8</v>
      </c>
      <c r="AC26" s="38">
        <f t="array" ref="AC26">sum(if(D26-$D$23=0,1,0),if(E26-$E$23=0,1,0),if(F26-$F$23=0,1,0),if(G26-$G$23=0,1,0),if(H26-$H$23=0,1,0),if(I26-$I$23=0,1,0),if(J26-$J$23=0,1,0),if(K26-$K$23=0,1,0),if(L26-$L$23=0,1,0),if(M26-$M$23=0,1,0),if(N26-$N$23=0,1,0),if(O26-$O$23=0,1,0),if(P26-$P$23=0,1,0),if(Q26-$Q$23=0,1,0),if(R26-$R$23=0,1,0),if(S26-$S$23=0,1,0),if(T26-$T$23=0,1,0),if(U26-$U$23=0,1,0))</f>
        <v>6</v>
      </c>
      <c r="AD26" s="38">
        <f t="array" ref="AD26">sum(if(D26-$D$23=1,1,0),if(E26-$E$23=1,1,0),if(F26-$F$23=1,1,0),if(G26-$G$23=1,1,0),if(H26-$H$23=1,1,0),if(I26-$I$23=1,1,0),if(J26-$J$23=1,1,0),if(K26-$K$23=1,1,0),if(L26-$L$23=1,1,0),if(M26-$M$23=1,1,0),if(N26-$N$23=1,1,0),if(O26-$O$23=1,1,0),if(P26-$P$23=1,1,0),if(Q26-$Q$23=1,1,0),if(R26-$R$23=1,1,0),if(S26-$S$23=1,1,0),if(T26-$T$23=1,1,0),if(U26-$U$23=1,1,0))</f>
        <v>3</v>
      </c>
      <c r="AE26" s="38">
        <f t="array" ref="AE26">sum(if(D26-$D$23=2,1,0),if(E26-$E$23=2,1,0),if(F26-$F$23=2,1,0),if(G26-$G$23=2,1,0),if(H26-$H$23=2,1,0),if(I26-$I$23=2,1,0),if(J26-$J$23=2,1,0),if(K26-$K$23=2,1,0),if(L26-$L$23=2,1,0),if(M26-$M$23=2,1,0),if(N26-$N$23=2,1,0),if(O26-$O$23=2,1,0),if(P26-$P$23=2,1,0),if(Q26-$Q$23=2,1,0),if(R26-$R$23=2,1,0),if(S26-$S$23=2,1,0),if(T26-$T$23=2,1,0),if(U26-$U$23=2,1,0))</f>
        <v>1</v>
      </c>
      <c r="AF26" s="38">
        <f t="array" ref="AF26">sum(if(D26-$D$23=3,1,0),if(E26-$E$23=3,1,0),if(F26-$F$23=3,1,0),if(G26-$G$23=3,1,0),if(H26-$H$23=3,1,0),if(I26-$I$23=3,1,0),if(J26-$J$23=3,1,0),if(K26-$K$23=3,1,0),if(L26-$L$23=3,1,0),if(M26-$M$23=3,1,0),if(N26-$N$23=3,1,0),if(O26-$O$23=3,1,0),if(P26-$P$23=3,1,0),if(Q26-$Q$23=3,1,0),if(R26-$R$23=3,1,0),if(S26-$S$23=3,1,0),if(T26-$T$23=3,1,0),if(U26-$U$23=3,1,0))</f>
        <v>0</v>
      </c>
      <c r="AG26" s="38">
        <f t="array" ref="AG26">sum(if(D26-$D$23&gt;3,1,0),if(E26-$E$23&gt;3,1,0),if(F26-$F$23&gt;3,1,0),if(G26-$G$23&gt;3,1,0),if(H26-$H$23&gt;3,1,0),if(I26-$I$23&gt;3,1,0),if(J26-$J$23&gt;3,1,0),if(K26-$K$23&gt;3,1,0),if(L26-$L$23&gt;3,1,0),if(M26-$M$23&gt;3,1,0),if(N26-$N$23&gt;3,1,0),if(O26-$O$23&gt;3,1,0),if(P26-$P$23&gt;3,1,0),if(Q26-$Q$23&gt;3,1,0),if(R26-$R$23&gt;3,1,0),if(S26-$S$23&gt;3,1,0),if(T26-$T$23&gt;3,1,0),if(U26-$U$23&gt;3,1,0))</f>
        <v>0</v>
      </c>
      <c r="AH26" s="38">
        <f t="shared" si="10"/>
        <v>18</v>
      </c>
    </row>
    <row r="27" ht="12.75" customHeight="1">
      <c r="A27" s="32" t="str">
        <f>SETUP!A8</f>
        <v>Brian K</v>
      </c>
      <c r="B27" s="33">
        <f t="array" ref="B27">if(A27="","",index(SETUP!C:C,match(A27,SETUP!A:A,0)))</f>
        <v>13</v>
      </c>
      <c r="C27" s="17"/>
      <c r="D27" s="35">
        <f>if(Scorecards!D27="","",Scorecards!D27-IF(Scorecards!$B27&gt;0,FLOOR(Scorecards!$B27/18,1),0)-IF(AND(MOD(Scorecards!$B27,18)&gt;=Scorecards!D$22,Scorecards!$B27&gt;0),1,0)+IF(Scorecards!D$22-18&gt;Scorecards!$B27,1,0))</f>
        <v>3</v>
      </c>
      <c r="E27" s="35">
        <f>if(Scorecards!E27="","",Scorecards!E27-IF(Scorecards!$B27&gt;0,FLOOR(Scorecards!$B27/18,1),0)-IF(AND(MOD(Scorecards!$B27,18)&gt;=Scorecards!E$22,Scorecards!$B27&gt;0),1,0)+IF(Scorecards!E$22-18&gt;Scorecards!$B27,1,0))</f>
        <v>5</v>
      </c>
      <c r="F27" s="35">
        <f>if(Scorecards!F27="","",Scorecards!F27-IF(Scorecards!$B27&gt;0,FLOOR(Scorecards!$B27/18,1),0)-IF(AND(MOD(Scorecards!$B27,18)&gt;=Scorecards!F$22,Scorecards!$B27&gt;0),1,0)+IF(Scorecards!F$22-18&gt;Scorecards!$B27,1,0))</f>
        <v>5</v>
      </c>
      <c r="G27" s="35">
        <f>if(Scorecards!G27="","",Scorecards!G27-IF(Scorecards!$B27&gt;0,FLOOR(Scorecards!$B27/18,1),0)-IF(AND(MOD(Scorecards!$B27,18)&gt;=Scorecards!G$22,Scorecards!$B27&gt;0),1,0)+IF(Scorecards!G$22-18&gt;Scorecards!$B27,1,0))</f>
        <v>3</v>
      </c>
      <c r="H27" s="35">
        <f>if(Scorecards!H27="","",Scorecards!H27-IF(Scorecards!$B27&gt;0,FLOOR(Scorecards!$B27/18,1),0)-IF(AND(MOD(Scorecards!$B27,18)&gt;=Scorecards!H$22,Scorecards!$B27&gt;0),1,0)+IF(Scorecards!H$22-18&gt;Scorecards!$B27,1,0))</f>
        <v>4</v>
      </c>
      <c r="I27" s="35">
        <f>if(Scorecards!I27="","",Scorecards!I27-IF(Scorecards!$B27&gt;0,FLOOR(Scorecards!$B27/18,1),0)-IF(AND(MOD(Scorecards!$B27,18)&gt;=Scorecards!I$22,Scorecards!$B27&gt;0),1,0)+IF(Scorecards!I$22-18&gt;Scorecards!$B27,1,0))</f>
        <v>6</v>
      </c>
      <c r="J27" s="35">
        <f>if(Scorecards!J27="","",Scorecards!J27-IF(Scorecards!$B27&gt;0,FLOOR(Scorecards!$B27/18,1),0)-IF(AND(MOD(Scorecards!$B27,18)&gt;=Scorecards!J$22,Scorecards!$B27&gt;0),1,0)+IF(Scorecards!J$22-18&gt;Scorecards!$B27,1,0))</f>
        <v>4</v>
      </c>
      <c r="K27" s="35">
        <f>if(Scorecards!K27="","",Scorecards!K27-IF(Scorecards!$B27&gt;0,FLOOR(Scorecards!$B27/18,1),0)-IF(AND(MOD(Scorecards!$B27,18)&gt;=Scorecards!K$22,Scorecards!$B27&gt;0),1,0)+IF(Scorecards!K$22-18&gt;Scorecards!$B27,1,0))</f>
        <v>3</v>
      </c>
      <c r="L27" s="35">
        <f>if(Scorecards!L27="","",Scorecards!L27-IF(Scorecards!$B27&gt;0,FLOOR(Scorecards!$B27/18,1),0)-IF(AND(MOD(Scorecards!$B27,18)&gt;=Scorecards!L$22,Scorecards!$B27&gt;0),1,0)+IF(Scorecards!L$22-18&gt;Scorecards!$B27,1,0))</f>
        <v>4</v>
      </c>
      <c r="M27" s="35">
        <f>if(Scorecards!M27="","",Scorecards!M27-IF(Scorecards!$B27&gt;0,FLOOR(Scorecards!$B27/18,1),0)-IF(AND(MOD(Scorecards!$B27,18)&gt;=Scorecards!M$22,Scorecards!$B27&gt;0),1,0)+IF(Scorecards!M$22-18&gt;Scorecards!$B27,1,0))</f>
        <v>4</v>
      </c>
      <c r="N27" s="35">
        <f>if(Scorecards!N27="","",Scorecards!N27-IF(Scorecards!$B27&gt;0,FLOOR(Scorecards!$B27/18,1),0)-IF(AND(MOD(Scorecards!$B27,18)&gt;=Scorecards!N$22,Scorecards!$B27&gt;0),1,0)+IF(Scorecards!N$22-18&gt;Scorecards!$B27,1,0))</f>
        <v>3</v>
      </c>
      <c r="O27" s="35">
        <f>if(Scorecards!O27="","",Scorecards!O27-IF(Scorecards!$B27&gt;0,FLOOR(Scorecards!$B27/18,1),0)-IF(AND(MOD(Scorecards!$B27,18)&gt;=Scorecards!O$22,Scorecards!$B27&gt;0),1,0)+IF(Scorecards!O$22-18&gt;Scorecards!$B27,1,0))</f>
        <v>5</v>
      </c>
      <c r="P27" s="35">
        <f>if(Scorecards!P27="","",Scorecards!P27-IF(Scorecards!$B27&gt;0,FLOOR(Scorecards!$B27/18,1),0)-IF(AND(MOD(Scorecards!$B27,18)&gt;=Scorecards!P$22,Scorecards!$B27&gt;0),1,0)+IF(Scorecards!P$22-18&gt;Scorecards!$B27,1,0))</f>
        <v>4</v>
      </c>
      <c r="Q27" s="35">
        <f>if(Scorecards!Q27="","",Scorecards!Q27-IF(Scorecards!$B27&gt;0,FLOOR(Scorecards!$B27/18,1),0)-IF(AND(MOD(Scorecards!$B27,18)&gt;=Scorecards!Q$22,Scorecards!$B27&gt;0),1,0)+IF(Scorecards!Q$22-18&gt;Scorecards!$B27,1,0))</f>
        <v>4</v>
      </c>
      <c r="R27" s="35">
        <f>if(Scorecards!R27="","",Scorecards!R27-IF(Scorecards!$B27&gt;0,FLOOR(Scorecards!$B27/18,1),0)-IF(AND(MOD(Scorecards!$B27,18)&gt;=Scorecards!R$22,Scorecards!$B27&gt;0),1,0)+IF(Scorecards!R$22-18&gt;Scorecards!$B27,1,0))</f>
        <v>4</v>
      </c>
      <c r="S27" s="35">
        <f>if(Scorecards!S27="","",Scorecards!S27-IF(Scorecards!$B27&gt;0,FLOOR(Scorecards!$B27/18,1),0)-IF(AND(MOD(Scorecards!$B27,18)&gt;=Scorecards!S$22,Scorecards!$B27&gt;0),1,0)+IF(Scorecards!S$22-18&gt;Scorecards!$B27,1,0))</f>
        <v>5</v>
      </c>
      <c r="T27" s="35">
        <f>if(Scorecards!T27="","",Scorecards!T27-IF(Scorecards!$B27&gt;0,FLOOR(Scorecards!$B27/18,1),0)-IF(AND(MOD(Scorecards!$B27,18)&gt;=Scorecards!T$22,Scorecards!$B27&gt;0),1,0)+IF(Scorecards!T$22-18&gt;Scorecards!$B27,1,0))</f>
        <v>4</v>
      </c>
      <c r="U27" s="35">
        <f>if(Scorecards!U27="","",Scorecards!U27-IF(Scorecards!$B27&gt;0,FLOOR(Scorecards!$B27/18,1),0)-IF(AND(MOD(Scorecards!$B27,18)&gt;=Scorecards!U$22,Scorecards!$B27&gt;0),1,0)+IF(Scorecards!U$22-18&gt;Scorecards!$B27,1,0))</f>
        <v>5</v>
      </c>
      <c r="V27" s="36">
        <f t="shared" si="6"/>
        <v>37</v>
      </c>
      <c r="W27" s="36">
        <f t="shared" si="7"/>
        <v>38</v>
      </c>
      <c r="X27" s="36">
        <f t="shared" si="8"/>
        <v>75</v>
      </c>
      <c r="Y27" s="37">
        <f t="shared" si="9"/>
        <v>62</v>
      </c>
      <c r="Z27" s="38">
        <f t="array" ref="Z27">sum(if(D27-$D$23=-3,1,0),if(E27-$E$23=-3,1,0),if(F27-$F$23=-3,1,0),if(G27-$G$23=-3,1,0),if(H27-$H$23=-3,1,0),if(I27-$I$23=-3,1,0),if(J27-$J$23=-3,1,0),if(K27-$K$23=-3,1,0),if(L27-$L$23=-3,1,0),if(M27-$M$23=-3,1,0),if(N27-$N$23=-3,1,0),if(O27-$O$23=-3,1,0),if(P27-$P$23=-3,1,0),if(Q27-$Q$23=-3,1,0),if(R27-$R$23=-3,1,0),if(S27-$S$23=-3,1,0),if(T27-$T$23=-3,1,0),if(U27-$U$23=-3,1,0))</f>
        <v>0</v>
      </c>
      <c r="AA27" s="38">
        <f t="array" ref="AA27">sum(if(D27-$D$23=-2,1,0),if(E27-$E$23=-2,1,0),if(F27-$F$23=-2,1,0),if(G27-$G$23=-2,1,0),if(H27-$H$23=-2,1,0),if(I27-$I$23=-2,1,0),if(J27-$J$23=-2,1,0),if(K27-$K$23=-2,1,0),if(L27-$L$23=-2,1,0),if(M27-$M$23=-2,1,0),if(N27-$N$23=-2,1,0),if(O27-$O$23=-2,1,0),if(P27-$P$23=-2,1,0),if(Q27-$Q$23=-2,1,0),if(R27-$R$23=-2,1,0),if(S27-$S$23=-2,1,0),if(T27-$T$23=-2,1,0),if(U27-$U$23=-2,1,0))</f>
        <v>0</v>
      </c>
      <c r="AB27" s="38">
        <f t="array" ref="AB27">sum(if(D27-$D$23=-1,1,0),if(E27-$E$23=-1,1,0),if(F27-$F$23=-1,1,0),if(G27-$G$23=-1,1,0),if(H27-$H$23=-1,1,0),if(I27-$I$23=-1,1,0),if(J27-$J$23=-1,1,0),if(K27-$K$23=-1,1,0),if(L27-$L$23=-1,1,0),if(M27-$M$23=-1,1,0),if(N27-$N$23=-1,1,0),if(O27-$O$23=-1,1,0),if(P27-$P$23=-1,1,0),if(Q27-$Q$23=-1,1,0),if(R27-$R$23=-1,1,0),if(S27-$S$23=-1,1,0),if(T27-$T$23=-1,1,0),if(U27-$U$23=-1,1,0))</f>
        <v>1</v>
      </c>
      <c r="AC27" s="38">
        <f t="array" ref="AC27">sum(if(D27-$D$23=0,1,0),if(E27-$E$23=0,1,0),if(F27-$F$23=0,1,0),if(G27-$G$23=0,1,0),if(H27-$H$23=0,1,0),if(I27-$I$23=0,1,0),if(J27-$J$23=0,1,0),if(K27-$K$23=0,1,0),if(L27-$L$23=0,1,0),if(M27-$M$23=0,1,0),if(N27-$N$23=0,1,0),if(O27-$O$23=0,1,0),if(P27-$P$23=0,1,0),if(Q27-$Q$23=0,1,0),if(R27-$R$23=0,1,0),if(S27-$S$23=0,1,0),if(T27-$T$23=0,1,0),if(U27-$U$23=0,1,0))</f>
        <v>13</v>
      </c>
      <c r="AD27" s="38">
        <f t="array" ref="AD27">sum(if(D27-$D$23=1,1,0),if(E27-$E$23=1,1,0),if(F27-$F$23=1,1,0),if(G27-$G$23=1,1,0),if(H27-$H$23=1,1,0),if(I27-$I$23=1,1,0),if(J27-$J$23=1,1,0),if(K27-$K$23=1,1,0),if(L27-$L$23=1,1,0),if(M27-$M$23=1,1,0),if(N27-$N$23=1,1,0),if(O27-$O$23=1,1,0),if(P27-$P$23=1,1,0),if(Q27-$Q$23=1,1,0),if(R27-$R$23=1,1,0),if(S27-$S$23=1,1,0),if(T27-$T$23=1,1,0),if(U27-$U$23=1,1,0))</f>
        <v>4</v>
      </c>
      <c r="AE27" s="38">
        <f t="array" ref="AE27">sum(if(D27-$D$23=2,1,0),if(E27-$E$23=2,1,0),if(F27-$F$23=2,1,0),if(G27-$G$23=2,1,0),if(H27-$H$23=2,1,0),if(I27-$I$23=2,1,0),if(J27-$J$23=2,1,0),if(K27-$K$23=2,1,0),if(L27-$L$23=2,1,0),if(M27-$M$23=2,1,0),if(N27-$N$23=2,1,0),if(O27-$O$23=2,1,0),if(P27-$P$23=2,1,0),if(Q27-$Q$23=2,1,0),if(R27-$R$23=2,1,0),if(S27-$S$23=2,1,0),if(T27-$T$23=2,1,0),if(U27-$U$23=2,1,0))</f>
        <v>0</v>
      </c>
      <c r="AF27" s="38">
        <f t="array" ref="AF27">sum(if(D27-$D$23=3,1,0),if(E27-$E$23=3,1,0),if(F27-$F$23=3,1,0),if(G27-$G$23=3,1,0),if(H27-$H$23=3,1,0),if(I27-$I$23=3,1,0),if(J27-$J$23=3,1,0),if(K27-$K$23=3,1,0),if(L27-$L$23=3,1,0),if(M27-$M$23=3,1,0),if(N27-$N$23=3,1,0),if(O27-$O$23=3,1,0),if(P27-$P$23=3,1,0),if(Q27-$Q$23=3,1,0),if(R27-$R$23=3,1,0),if(S27-$S$23=3,1,0),if(T27-$T$23=3,1,0),if(U27-$U$23=3,1,0))</f>
        <v>0</v>
      </c>
      <c r="AG27" s="38">
        <f t="array" ref="AG27">sum(if(D27-$D$23&gt;3,1,0),if(E27-$E$23&gt;3,1,0),if(F27-$F$23&gt;3,1,0),if(G27-$G$23&gt;3,1,0),if(H27-$H$23&gt;3,1,0),if(I27-$I$23&gt;3,1,0),if(J27-$J$23&gt;3,1,0),if(K27-$K$23&gt;3,1,0),if(L27-$L$23&gt;3,1,0),if(M27-$M$23&gt;3,1,0),if(N27-$N$23&gt;3,1,0),if(O27-$O$23&gt;3,1,0),if(P27-$P$23&gt;3,1,0),if(Q27-$Q$23&gt;3,1,0),if(R27-$R$23&gt;3,1,0),if(S27-$S$23&gt;3,1,0),if(T27-$T$23&gt;3,1,0),if(U27-$U$23&gt;3,1,0))</f>
        <v>0</v>
      </c>
      <c r="AH27" s="38">
        <f t="shared" si="10"/>
        <v>18</v>
      </c>
    </row>
    <row r="28" ht="12.75" customHeight="1">
      <c r="A28" s="32" t="str">
        <f>SETUP!A9</f>
        <v>Dave K</v>
      </c>
      <c r="B28" s="33">
        <f t="array" ref="B28">if(A28="","",index(SETUP!C:C,match(A28,SETUP!A:A,0)))</f>
        <v>20</v>
      </c>
      <c r="C28" s="17"/>
      <c r="D28" s="35">
        <f>if(Scorecards!D28="","",Scorecards!D28-IF(Scorecards!$B28&gt;0,FLOOR(Scorecards!$B28/18,1),0)-IF(AND(MOD(Scorecards!$B28,18)&gt;=Scorecards!D$22,Scorecards!$B28&gt;0),1,0)+IF(Scorecards!D$22-18&gt;Scorecards!$B28,1,0))</f>
        <v>6</v>
      </c>
      <c r="E28" s="35">
        <f>if(Scorecards!E28="","",Scorecards!E28-IF(Scorecards!$B28&gt;0,FLOOR(Scorecards!$B28/18,1),0)-IF(AND(MOD(Scorecards!$B28,18)&gt;=Scorecards!E$22,Scorecards!$B28&gt;0),1,0)+IF(Scorecards!E$22-18&gt;Scorecards!$B28,1,0))</f>
        <v>7</v>
      </c>
      <c r="F28" s="35">
        <f>if(Scorecards!F28="","",Scorecards!F28-IF(Scorecards!$B28&gt;0,FLOOR(Scorecards!$B28/18,1),0)-IF(AND(MOD(Scorecards!$B28,18)&gt;=Scorecards!F$22,Scorecards!$B28&gt;0),1,0)+IF(Scorecards!F$22-18&gt;Scorecards!$B28,1,0))</f>
        <v>4</v>
      </c>
      <c r="G28" s="35">
        <f>if(Scorecards!G28="","",Scorecards!G28-IF(Scorecards!$B28&gt;0,FLOOR(Scorecards!$B28/18,1),0)-IF(AND(MOD(Scorecards!$B28,18)&gt;=Scorecards!G$22,Scorecards!$B28&gt;0),1,0)+IF(Scorecards!G$22-18&gt;Scorecards!$B28,1,0))</f>
        <v>2</v>
      </c>
      <c r="H28" s="35">
        <f>if(Scorecards!H28="","",Scorecards!H28-IF(Scorecards!$B28&gt;0,FLOOR(Scorecards!$B28/18,1),0)-IF(AND(MOD(Scorecards!$B28,18)&gt;=Scorecards!H$22,Scorecards!$B28&gt;0),1,0)+IF(Scorecards!H$22-18&gt;Scorecards!$B28,1,0))</f>
        <v>3</v>
      </c>
      <c r="I28" s="35">
        <f>if(Scorecards!I28="","",Scorecards!I28-IF(Scorecards!$B28&gt;0,FLOOR(Scorecards!$B28/18,1),0)-IF(AND(MOD(Scorecards!$B28,18)&gt;=Scorecards!I$22,Scorecards!$B28&gt;0),1,0)+IF(Scorecards!I$22-18&gt;Scorecards!$B28,1,0))</f>
        <v>4</v>
      </c>
      <c r="J28" s="35">
        <f>if(Scorecards!J28="","",Scorecards!J28-IF(Scorecards!$B28&gt;0,FLOOR(Scorecards!$B28/18,1),0)-IF(AND(MOD(Scorecards!$B28,18)&gt;=Scorecards!J$22,Scorecards!$B28&gt;0),1,0)+IF(Scorecards!J$22-18&gt;Scorecards!$B28,1,0))</f>
        <v>6</v>
      </c>
      <c r="K28" s="35">
        <f>if(Scorecards!K28="","",Scorecards!K28-IF(Scorecards!$B28&gt;0,FLOOR(Scorecards!$B28/18,1),0)-IF(AND(MOD(Scorecards!$B28,18)&gt;=Scorecards!K$22,Scorecards!$B28&gt;0),1,0)+IF(Scorecards!K$22-18&gt;Scorecards!$B28,1,0))</f>
        <v>2</v>
      </c>
      <c r="L28" s="35">
        <f>if(Scorecards!L28="","",Scorecards!L28-IF(Scorecards!$B28&gt;0,FLOOR(Scorecards!$B28/18,1),0)-IF(AND(MOD(Scorecards!$B28,18)&gt;=Scorecards!L$22,Scorecards!$B28&gt;0),1,0)+IF(Scorecards!L$22-18&gt;Scorecards!$B28,1,0))</f>
        <v>3</v>
      </c>
      <c r="M28" s="35">
        <f>if(Scorecards!M28="","",Scorecards!M28-IF(Scorecards!$B28&gt;0,FLOOR(Scorecards!$B28/18,1),0)-IF(AND(MOD(Scorecards!$B28,18)&gt;=Scorecards!M$22,Scorecards!$B28&gt;0),1,0)+IF(Scorecards!M$22-18&gt;Scorecards!$B28,1,0))</f>
        <v>4</v>
      </c>
      <c r="N28" s="35">
        <f>if(Scorecards!N28="","",Scorecards!N28-IF(Scorecards!$B28&gt;0,FLOOR(Scorecards!$B28/18,1),0)-IF(AND(MOD(Scorecards!$B28,18)&gt;=Scorecards!N$22,Scorecards!$B28&gt;0),1,0)+IF(Scorecards!N$22-18&gt;Scorecards!$B28,1,0))</f>
        <v>2</v>
      </c>
      <c r="O28" s="35">
        <f>if(Scorecards!O28="","",Scorecards!O28-IF(Scorecards!$B28&gt;0,FLOOR(Scorecards!$B28/18,1),0)-IF(AND(MOD(Scorecards!$B28,18)&gt;=Scorecards!O$22,Scorecards!$B28&gt;0),1,0)+IF(Scorecards!O$22-18&gt;Scorecards!$B28,1,0))</f>
        <v>6</v>
      </c>
      <c r="P28" s="35">
        <f>if(Scorecards!P28="","",Scorecards!P28-IF(Scorecards!$B28&gt;0,FLOOR(Scorecards!$B28/18,1),0)-IF(AND(MOD(Scorecards!$B28,18)&gt;=Scorecards!P$22,Scorecards!$B28&gt;0),1,0)+IF(Scorecards!P$22-18&gt;Scorecards!$B28,1,0))</f>
        <v>5</v>
      </c>
      <c r="Q28" s="35">
        <f>if(Scorecards!Q28="","",Scorecards!Q28-IF(Scorecards!$B28&gt;0,FLOOR(Scorecards!$B28/18,1),0)-IF(AND(MOD(Scorecards!$B28,18)&gt;=Scorecards!Q$22,Scorecards!$B28&gt;0),1,0)+IF(Scorecards!Q$22-18&gt;Scorecards!$B28,1,0))</f>
        <v>4</v>
      </c>
      <c r="R28" s="35">
        <f>if(Scorecards!R28="","",Scorecards!R28-IF(Scorecards!$B28&gt;0,FLOOR(Scorecards!$B28/18,1),0)-IF(AND(MOD(Scorecards!$B28,18)&gt;=Scorecards!R$22,Scorecards!$B28&gt;0),1,0)+IF(Scorecards!R$22-18&gt;Scorecards!$B28,1,0))</f>
        <v>3</v>
      </c>
      <c r="S28" s="35">
        <f>if(Scorecards!S28="","",Scorecards!S28-IF(Scorecards!$B28&gt;0,FLOOR(Scorecards!$B28/18,1),0)-IF(AND(MOD(Scorecards!$B28,18)&gt;=Scorecards!S$22,Scorecards!$B28&gt;0),1,0)+IF(Scorecards!S$22-18&gt;Scorecards!$B28,1,0))</f>
        <v>5</v>
      </c>
      <c r="T28" s="35">
        <f>if(Scorecards!T28="","",Scorecards!T28-IF(Scorecards!$B28&gt;0,FLOOR(Scorecards!$B28/18,1),0)-IF(AND(MOD(Scorecards!$B28,18)&gt;=Scorecards!T$22,Scorecards!$B28&gt;0),1,0)+IF(Scorecards!T$22-18&gt;Scorecards!$B28,1,0))</f>
        <v>6</v>
      </c>
      <c r="U28" s="35">
        <f>if(Scorecards!U28="","",Scorecards!U28-IF(Scorecards!$B28&gt;0,FLOOR(Scorecards!$B28/18,1),0)-IF(AND(MOD(Scorecards!$B28,18)&gt;=Scorecards!U$22,Scorecards!$B28&gt;0),1,0)+IF(Scorecards!U$22-18&gt;Scorecards!$B28,1,0))</f>
        <v>7</v>
      </c>
      <c r="V28" s="36">
        <f t="shared" si="6"/>
        <v>37</v>
      </c>
      <c r="W28" s="36">
        <f t="shared" si="7"/>
        <v>42</v>
      </c>
      <c r="X28" s="36">
        <f t="shared" si="8"/>
        <v>79</v>
      </c>
      <c r="Y28" s="37">
        <f t="shared" si="9"/>
        <v>59</v>
      </c>
      <c r="Z28" s="38">
        <f t="array" ref="Z28">sum(if(D28-$D$23=-3,1,0),if(E28-$E$23=-3,1,0),if(F28-$F$23=-3,1,0),if(G28-$G$23=-3,1,0),if(H28-$H$23=-3,1,0),if(I28-$I$23=-3,1,0),if(J28-$J$23=-3,1,0),if(K28-$K$23=-3,1,0),if(L28-$L$23=-3,1,0),if(M28-$M$23=-3,1,0),if(N28-$N$23=-3,1,0),if(O28-$O$23=-3,1,0),if(P28-$P$23=-3,1,0),if(Q28-$Q$23=-3,1,0),if(R28-$R$23=-3,1,0),if(S28-$S$23=-3,1,0),if(T28-$T$23=-3,1,0),if(U28-$U$23=-3,1,0))</f>
        <v>0</v>
      </c>
      <c r="AA28" s="38">
        <f t="array" ref="AA28">sum(if(D28-$D$23=-2,1,0),if(E28-$E$23=-2,1,0),if(F28-$F$23=-2,1,0),if(G28-$G$23=-2,1,0),if(H28-$H$23=-2,1,0),if(I28-$I$23=-2,1,0),if(J28-$J$23=-2,1,0),if(K28-$K$23=-2,1,0),if(L28-$L$23=-2,1,0),if(M28-$M$23=-2,1,0),if(N28-$N$23=-2,1,0),if(O28-$O$23=-2,1,0),if(P28-$P$23=-2,1,0),if(Q28-$Q$23=-2,1,0),if(R28-$R$23=-2,1,0),if(S28-$S$23=-2,1,0),if(T28-$T$23=-2,1,0),if(U28-$U$23=-2,1,0))</f>
        <v>0</v>
      </c>
      <c r="AB28" s="38">
        <f t="array" ref="AB28">sum(if(D28-$D$23=-1,1,0),if(E28-$E$23=-1,1,0),if(F28-$F$23=-1,1,0),if(G28-$G$23=-1,1,0),if(H28-$H$23=-1,1,0),if(I28-$I$23=-1,1,0),if(J28-$J$23=-1,1,0),if(K28-$K$23=-1,1,0),if(L28-$L$23=-1,1,0),if(M28-$M$23=-1,1,0),if(N28-$N$23=-1,1,0),if(O28-$O$23=-1,1,0),if(P28-$P$23=-1,1,0),if(Q28-$Q$23=-1,1,0),if(R28-$R$23=-1,1,0),if(S28-$S$23=-1,1,0),if(T28-$T$23=-1,1,0),if(U28-$U$23=-1,1,0))</f>
        <v>7</v>
      </c>
      <c r="AC28" s="38">
        <f t="array" ref="AC28">sum(if(D28-$D$23=0,1,0),if(E28-$E$23=0,1,0),if(F28-$F$23=0,1,0),if(G28-$G$23=0,1,0),if(H28-$H$23=0,1,0),if(I28-$I$23=0,1,0),if(J28-$J$23=0,1,0),if(K28-$K$23=0,1,0),if(L28-$L$23=0,1,0),if(M28-$M$23=0,1,0),if(N28-$N$23=0,1,0),if(O28-$O$23=0,1,0),if(P28-$P$23=0,1,0),if(Q28-$Q$23=0,1,0),if(R28-$R$23=0,1,0),if(S28-$S$23=0,1,0),if(T28-$T$23=0,1,0),if(U28-$U$23=0,1,0))</f>
        <v>4</v>
      </c>
      <c r="AD28" s="38">
        <f t="array" ref="AD28">sum(if(D28-$D$23=1,1,0),if(E28-$E$23=1,1,0),if(F28-$F$23=1,1,0),if(G28-$G$23=1,1,0),if(H28-$H$23=1,1,0),if(I28-$I$23=1,1,0),if(J28-$J$23=1,1,0),if(K28-$K$23=1,1,0),if(L28-$L$23=1,1,0),if(M28-$M$23=1,1,0),if(N28-$N$23=1,1,0),if(O28-$O$23=1,1,0),if(P28-$P$23=1,1,0),if(Q28-$Q$23=1,1,0),if(R28-$R$23=1,1,0),if(S28-$S$23=1,1,0),if(T28-$T$23=1,1,0),if(U28-$U$23=1,1,0))</f>
        <v>2</v>
      </c>
      <c r="AE28" s="38">
        <f t="array" ref="AE28">sum(if(D28-$D$23=2,1,0),if(E28-$E$23=2,1,0),if(F28-$F$23=2,1,0),if(G28-$G$23=2,1,0),if(H28-$H$23=2,1,0),if(I28-$I$23=2,1,0),if(J28-$J$23=2,1,0),if(K28-$K$23=2,1,0),if(L28-$L$23=2,1,0),if(M28-$M$23=2,1,0),if(N28-$N$23=2,1,0),if(O28-$O$23=2,1,0),if(P28-$P$23=2,1,0),if(Q28-$Q$23=2,1,0),if(R28-$R$23=2,1,0),if(S28-$S$23=2,1,0),if(T28-$T$23=2,1,0),if(U28-$U$23=2,1,0))</f>
        <v>3</v>
      </c>
      <c r="AF28" s="38">
        <f t="array" ref="AF28">sum(if(D28-$D$23=3,1,0),if(E28-$E$23=3,1,0),if(F28-$F$23=3,1,0),if(G28-$G$23=3,1,0),if(H28-$H$23=3,1,0),if(I28-$I$23=3,1,0),if(J28-$J$23=3,1,0),if(K28-$K$23=3,1,0),if(L28-$L$23=3,1,0),if(M28-$M$23=3,1,0),if(N28-$N$23=3,1,0),if(O28-$O$23=3,1,0),if(P28-$P$23=3,1,0),if(Q28-$Q$23=3,1,0),if(R28-$R$23=3,1,0),if(S28-$S$23=3,1,0),if(T28-$T$23=3,1,0),if(U28-$U$23=3,1,0))</f>
        <v>2</v>
      </c>
      <c r="AG28" s="38">
        <f t="array" ref="AG28">sum(if(D28-$D$23&gt;3,1,0),if(E28-$E$23&gt;3,1,0),if(F28-$F$23&gt;3,1,0),if(G28-$G$23&gt;3,1,0),if(H28-$H$23&gt;3,1,0),if(I28-$I$23&gt;3,1,0),if(J28-$J$23&gt;3,1,0),if(K28-$K$23&gt;3,1,0),if(L28-$L$23&gt;3,1,0),if(M28-$M$23&gt;3,1,0),if(N28-$N$23&gt;3,1,0),if(O28-$O$23&gt;3,1,0),if(P28-$P$23&gt;3,1,0),if(Q28-$Q$23&gt;3,1,0),if(R28-$R$23&gt;3,1,0),if(S28-$S$23&gt;3,1,0),if(T28-$T$23&gt;3,1,0),if(U28-$U$23&gt;3,1,0))</f>
        <v>0</v>
      </c>
      <c r="AH28" s="38">
        <f t="shared" si="10"/>
        <v>18</v>
      </c>
    </row>
    <row r="29" ht="12.75" customHeight="1">
      <c r="A29" s="32" t="str">
        <f>SETUP!A10</f>
        <v>Eric O</v>
      </c>
      <c r="B29" s="33">
        <f t="array" ref="B29">if(A29="","",index(SETUP!C:C,match(A29,SETUP!A:A,0)))</f>
        <v>19</v>
      </c>
      <c r="C29" s="17"/>
      <c r="D29" s="35">
        <f>if(Scorecards!D29="","",Scorecards!D29-IF(Scorecards!$B29&gt;0,FLOOR(Scorecards!$B29/18,1),0)-IF(AND(MOD(Scorecards!$B29,18)&gt;=Scorecards!D$22,Scorecards!$B29&gt;0),1,0)+IF(Scorecards!D$22-18&gt;Scorecards!$B29,1,0))</f>
        <v>6</v>
      </c>
      <c r="E29" s="35">
        <f>if(Scorecards!E29="","",Scorecards!E29-IF(Scorecards!$B29&gt;0,FLOOR(Scorecards!$B29/18,1),0)-IF(AND(MOD(Scorecards!$B29,18)&gt;=Scorecards!E$22,Scorecards!$B29&gt;0),1,0)+IF(Scorecards!E$22-18&gt;Scorecards!$B29,1,0))</f>
        <v>4</v>
      </c>
      <c r="F29" s="35">
        <f>if(Scorecards!F29="","",Scorecards!F29-IF(Scorecards!$B29&gt;0,FLOOR(Scorecards!$B29/18,1),0)-IF(AND(MOD(Scorecards!$B29,18)&gt;=Scorecards!F$22,Scorecards!$B29&gt;0),1,0)+IF(Scorecards!F$22-18&gt;Scorecards!$B29,1,0))</f>
        <v>4</v>
      </c>
      <c r="G29" s="35">
        <f>if(Scorecards!G29="","",Scorecards!G29-IF(Scorecards!$B29&gt;0,FLOOR(Scorecards!$B29/18,1),0)-IF(AND(MOD(Scorecards!$B29,18)&gt;=Scorecards!G$22,Scorecards!$B29&gt;0),1,0)+IF(Scorecards!G$22-18&gt;Scorecards!$B29,1,0))</f>
        <v>2</v>
      </c>
      <c r="H29" s="35">
        <f>if(Scorecards!H29="","",Scorecards!H29-IF(Scorecards!$B29&gt;0,FLOOR(Scorecards!$B29/18,1),0)-IF(AND(MOD(Scorecards!$B29,18)&gt;=Scorecards!H$22,Scorecards!$B29&gt;0),1,0)+IF(Scorecards!H$22-18&gt;Scorecards!$B29,1,0))</f>
        <v>4</v>
      </c>
      <c r="I29" s="35">
        <f>if(Scorecards!I29="","",Scorecards!I29-IF(Scorecards!$B29&gt;0,FLOOR(Scorecards!$B29/18,1),0)-IF(AND(MOD(Scorecards!$B29,18)&gt;=Scorecards!I$22,Scorecards!$B29&gt;0),1,0)+IF(Scorecards!I$22-18&gt;Scorecards!$B29,1,0))</f>
        <v>5</v>
      </c>
      <c r="J29" s="35">
        <f>if(Scorecards!J29="","",Scorecards!J29-IF(Scorecards!$B29&gt;0,FLOOR(Scorecards!$B29/18,1),0)-IF(AND(MOD(Scorecards!$B29,18)&gt;=Scorecards!J$22,Scorecards!$B29&gt;0),1,0)+IF(Scorecards!J$22-18&gt;Scorecards!$B29,1,0))</f>
        <v>4</v>
      </c>
      <c r="K29" s="35">
        <f>if(Scorecards!K29="","",Scorecards!K29-IF(Scorecards!$B29&gt;0,FLOOR(Scorecards!$B29/18,1),0)-IF(AND(MOD(Scorecards!$B29,18)&gt;=Scorecards!K$22,Scorecards!$B29&gt;0),1,0)+IF(Scorecards!K$22-18&gt;Scorecards!$B29,1,0))</f>
        <v>3</v>
      </c>
      <c r="L29" s="35">
        <f>if(Scorecards!L29="","",Scorecards!L29-IF(Scorecards!$B29&gt;0,FLOOR(Scorecards!$B29/18,1),0)-IF(AND(MOD(Scorecards!$B29,18)&gt;=Scorecards!L$22,Scorecards!$B29&gt;0),1,0)+IF(Scorecards!L$22-18&gt;Scorecards!$B29,1,0))</f>
        <v>6</v>
      </c>
      <c r="M29" s="35">
        <f>if(Scorecards!M29="","",Scorecards!M29-IF(Scorecards!$B29&gt;0,FLOOR(Scorecards!$B29/18,1),0)-IF(AND(MOD(Scorecards!$B29,18)&gt;=Scorecards!M$22,Scorecards!$B29&gt;0),1,0)+IF(Scorecards!M$22-18&gt;Scorecards!$B29,1,0))</f>
        <v>5</v>
      </c>
      <c r="N29" s="35">
        <f>if(Scorecards!N29="","",Scorecards!N29-IF(Scorecards!$B29&gt;0,FLOOR(Scorecards!$B29/18,1),0)-IF(AND(MOD(Scorecards!$B29,18)&gt;=Scorecards!N$22,Scorecards!$B29&gt;0),1,0)+IF(Scorecards!N$22-18&gt;Scorecards!$B29,1,0))</f>
        <v>7</v>
      </c>
      <c r="O29" s="35">
        <f>if(Scorecards!O29="","",Scorecards!O29-IF(Scorecards!$B29&gt;0,FLOOR(Scorecards!$B29/18,1),0)-IF(AND(MOD(Scorecards!$B29,18)&gt;=Scorecards!O$22,Scorecards!$B29&gt;0),1,0)+IF(Scorecards!O$22-18&gt;Scorecards!$B29,1,0))</f>
        <v>4</v>
      </c>
      <c r="P29" s="35">
        <f>if(Scorecards!P29="","",Scorecards!P29-IF(Scorecards!$B29&gt;0,FLOOR(Scorecards!$B29/18,1),0)-IF(AND(MOD(Scorecards!$B29,18)&gt;=Scorecards!P$22,Scorecards!$B29&gt;0),1,0)+IF(Scorecards!P$22-18&gt;Scorecards!$B29,1,0))</f>
        <v>6</v>
      </c>
      <c r="Q29" s="35">
        <f>if(Scorecards!Q29="","",Scorecards!Q29-IF(Scorecards!$B29&gt;0,FLOOR(Scorecards!$B29/18,1),0)-IF(AND(MOD(Scorecards!$B29,18)&gt;=Scorecards!Q$22,Scorecards!$B29&gt;0),1,0)+IF(Scorecards!Q$22-18&gt;Scorecards!$B29,1,0))</f>
        <v>4</v>
      </c>
      <c r="R29" s="35">
        <f>if(Scorecards!R29="","",Scorecards!R29-IF(Scorecards!$B29&gt;0,FLOOR(Scorecards!$B29/18,1),0)-IF(AND(MOD(Scorecards!$B29,18)&gt;=Scorecards!R$22,Scorecards!$B29&gt;0),1,0)+IF(Scorecards!R$22-18&gt;Scorecards!$B29,1,0))</f>
        <v>4</v>
      </c>
      <c r="S29" s="35">
        <f>if(Scorecards!S29="","",Scorecards!S29-IF(Scorecards!$B29&gt;0,FLOOR(Scorecards!$B29/18,1),0)-IF(AND(MOD(Scorecards!$B29,18)&gt;=Scorecards!S$22,Scorecards!$B29&gt;0),1,0)+IF(Scorecards!S$22-18&gt;Scorecards!$B29,1,0))</f>
        <v>4</v>
      </c>
      <c r="T29" s="35">
        <f>if(Scorecards!T29="","",Scorecards!T29-IF(Scorecards!$B29&gt;0,FLOOR(Scorecards!$B29/18,1),0)-IF(AND(MOD(Scorecards!$B29,18)&gt;=Scorecards!T$22,Scorecards!$B29&gt;0),1,0)+IF(Scorecards!T$22-18&gt;Scorecards!$B29,1,0))</f>
        <v>4</v>
      </c>
      <c r="U29" s="35">
        <f>if(Scorecards!U29="","",Scorecards!U29-IF(Scorecards!$B29&gt;0,FLOOR(Scorecards!$B29/18,1),0)-IF(AND(MOD(Scorecards!$B29,18)&gt;=Scorecards!U$22,Scorecards!$B29&gt;0),1,0)+IF(Scorecards!U$22-18&gt;Scorecards!$B29,1,0))</f>
        <v>4</v>
      </c>
      <c r="V29" s="36">
        <f t="shared" si="6"/>
        <v>38</v>
      </c>
      <c r="W29" s="36">
        <f t="shared" si="7"/>
        <v>42</v>
      </c>
      <c r="X29" s="36">
        <f t="shared" si="8"/>
        <v>80</v>
      </c>
      <c r="Y29" s="37">
        <f t="shared" si="9"/>
        <v>61</v>
      </c>
      <c r="Z29" s="38">
        <f t="array" ref="Z29">sum(if(D29-$D$23=-3,1,0),if(E29-$E$23=-3,1,0),if(F29-$F$23=-3,1,0),if(G29-$G$23=-3,1,0),if(H29-$H$23=-3,1,0),if(I29-$I$23=-3,1,0),if(J29-$J$23=-3,1,0),if(K29-$K$23=-3,1,0),if(L29-$L$23=-3,1,0),if(M29-$M$23=-3,1,0),if(N29-$N$23=-3,1,0),if(O29-$O$23=-3,1,0),if(P29-$P$23=-3,1,0),if(Q29-$Q$23=-3,1,0),if(R29-$R$23=-3,1,0),if(S29-$S$23=-3,1,0),if(T29-$T$23=-3,1,0),if(U29-$U$23=-3,1,0))</f>
        <v>0</v>
      </c>
      <c r="AA29" s="38">
        <f t="array" ref="AA29">sum(if(D29-$D$23=-2,1,0),if(E29-$E$23=-2,1,0),if(F29-$F$23=-2,1,0),if(G29-$G$23=-2,1,0),if(H29-$H$23=-2,1,0),if(I29-$I$23=-2,1,0),if(J29-$J$23=-2,1,0),if(K29-$K$23=-2,1,0),if(L29-$L$23=-2,1,0),if(M29-$M$23=-2,1,0),if(N29-$N$23=-2,1,0),if(O29-$O$23=-2,1,0),if(P29-$P$23=-2,1,0),if(Q29-$Q$23=-2,1,0),if(R29-$R$23=-2,1,0),if(S29-$S$23=-2,1,0),if(T29-$T$23=-2,1,0),if(U29-$U$23=-2,1,0))</f>
        <v>0</v>
      </c>
      <c r="AB29" s="38">
        <f t="array" ref="AB29">sum(if(D29-$D$23=-1,1,0),if(E29-$E$23=-1,1,0),if(F29-$F$23=-1,1,0),if(G29-$G$23=-1,1,0),if(H29-$H$23=-1,1,0),if(I29-$I$23=-1,1,0),if(J29-$J$23=-1,1,0),if(K29-$K$23=-1,1,0),if(L29-$L$23=-1,1,0),if(M29-$M$23=-1,1,0),if(N29-$N$23=-1,1,0),if(O29-$O$23=-1,1,0),if(P29-$P$23=-1,1,0),if(Q29-$Q$23=-1,1,0),if(R29-$R$23=-1,1,0),if(S29-$S$23=-1,1,0),if(T29-$T$23=-1,1,0),if(U29-$U$23=-1,1,0))</f>
        <v>4</v>
      </c>
      <c r="AC29" s="38">
        <f t="array" ref="AC29">sum(if(D29-$D$23=0,1,0),if(E29-$E$23=0,1,0),if(F29-$F$23=0,1,0),if(G29-$G$23=0,1,0),if(H29-$H$23=0,1,0),if(I29-$I$23=0,1,0),if(J29-$J$23=0,1,0),if(K29-$K$23=0,1,0),if(L29-$L$23=0,1,0),if(M29-$M$23=0,1,0),if(N29-$N$23=0,1,0),if(O29-$O$23=0,1,0),if(P29-$P$23=0,1,0),if(Q29-$Q$23=0,1,0),if(R29-$R$23=0,1,0),if(S29-$S$23=0,1,0),if(T29-$T$23=0,1,0),if(U29-$U$23=0,1,0))</f>
        <v>8</v>
      </c>
      <c r="AD29" s="38">
        <f t="array" ref="AD29">sum(if(D29-$D$23=1,1,0),if(E29-$E$23=1,1,0),if(F29-$F$23=1,1,0),if(G29-$G$23=1,1,0),if(H29-$H$23=1,1,0),if(I29-$I$23=1,1,0),if(J29-$J$23=1,1,0),if(K29-$K$23=1,1,0),if(L29-$L$23=1,1,0),if(M29-$M$23=1,1,0),if(N29-$N$23=1,1,0),if(O29-$O$23=1,1,0),if(P29-$P$23=1,1,0),if(Q29-$Q$23=1,1,0),if(R29-$R$23=1,1,0),if(S29-$S$23=1,1,0),if(T29-$T$23=1,1,0),if(U29-$U$23=1,1,0))</f>
        <v>2</v>
      </c>
      <c r="AE29" s="38">
        <f t="array" ref="AE29">sum(if(D29-$D$23=2,1,0),if(E29-$E$23=2,1,0),if(F29-$F$23=2,1,0),if(G29-$G$23=2,1,0),if(H29-$H$23=2,1,0),if(I29-$I$23=2,1,0),if(J29-$J$23=2,1,0),if(K29-$K$23=2,1,0),if(L29-$L$23=2,1,0),if(M29-$M$23=2,1,0),if(N29-$N$23=2,1,0),if(O29-$O$23=2,1,0),if(P29-$P$23=2,1,0),if(Q29-$Q$23=2,1,0),if(R29-$R$23=2,1,0),if(S29-$S$23=2,1,0),if(T29-$T$23=2,1,0),if(U29-$U$23=2,1,0))</f>
        <v>3</v>
      </c>
      <c r="AF29" s="38">
        <f t="array" ref="AF29">sum(if(D29-$D$23=3,1,0),if(E29-$E$23=3,1,0),if(F29-$F$23=3,1,0),if(G29-$G$23=3,1,0),if(H29-$H$23=3,1,0),if(I29-$I$23=3,1,0),if(J29-$J$23=3,1,0),if(K29-$K$23=3,1,0),if(L29-$L$23=3,1,0),if(M29-$M$23=3,1,0),if(N29-$N$23=3,1,0),if(O29-$O$23=3,1,0),if(P29-$P$23=3,1,0),if(Q29-$Q$23=3,1,0),if(R29-$R$23=3,1,0),if(S29-$S$23=3,1,0),if(T29-$T$23=3,1,0),if(U29-$U$23=3,1,0))</f>
        <v>0</v>
      </c>
      <c r="AG29" s="38">
        <f t="array" ref="AG29">sum(if(D29-$D$23&gt;3,1,0),if(E29-$E$23&gt;3,1,0),if(F29-$F$23&gt;3,1,0),if(G29-$G$23&gt;3,1,0),if(H29-$H$23&gt;3,1,0),if(I29-$I$23&gt;3,1,0),if(J29-$J$23&gt;3,1,0),if(K29-$K$23&gt;3,1,0),if(L29-$L$23&gt;3,1,0),if(M29-$M$23&gt;3,1,0),if(N29-$N$23&gt;3,1,0),if(O29-$O$23&gt;3,1,0),if(P29-$P$23&gt;3,1,0),if(Q29-$Q$23&gt;3,1,0),if(R29-$R$23&gt;3,1,0),if(S29-$S$23&gt;3,1,0),if(T29-$T$23&gt;3,1,0),if(U29-$U$23&gt;3,1,0))</f>
        <v>1</v>
      </c>
      <c r="AH29" s="38">
        <f t="shared" si="10"/>
        <v>18</v>
      </c>
    </row>
    <row r="30" ht="12.75" customHeight="1">
      <c r="A30" s="32" t="str">
        <f>SETUP!A11</f>
        <v>Jeff B</v>
      </c>
      <c r="B30" s="33">
        <f t="array" ref="B30">if(A30="","",index(SETUP!C:C,match(A30,SETUP!A:A,0)))</f>
        <v>22</v>
      </c>
      <c r="C30" s="17"/>
      <c r="D30" s="35">
        <f>if(Scorecards!D30="","",Scorecards!D30-IF(Scorecards!$B30&gt;0,FLOOR(Scorecards!$B30/18,1),0)-IF(AND(MOD(Scorecards!$B30,18)&gt;=Scorecards!D$22,Scorecards!$B30&gt;0),1,0)+IF(Scorecards!D$22-18&gt;Scorecards!$B30,1,0))</f>
        <v>5</v>
      </c>
      <c r="E30" s="35">
        <f>if(Scorecards!E30="","",Scorecards!E30-IF(Scorecards!$B30&gt;0,FLOOR(Scorecards!$B30/18,1),0)-IF(AND(MOD(Scorecards!$B30,18)&gt;=Scorecards!E$22,Scorecards!$B30&gt;0),1,0)+IF(Scorecards!E$22-18&gt;Scorecards!$B30,1,0))</f>
        <v>7</v>
      </c>
      <c r="F30" s="35">
        <f>if(Scorecards!F30="","",Scorecards!F30-IF(Scorecards!$B30&gt;0,FLOOR(Scorecards!$B30/18,1),0)-IF(AND(MOD(Scorecards!$B30,18)&gt;=Scorecards!F$22,Scorecards!$B30&gt;0),1,0)+IF(Scorecards!F$22-18&gt;Scorecards!$B30,1,0))</f>
        <v>3</v>
      </c>
      <c r="G30" s="35">
        <f>if(Scorecards!G30="","",Scorecards!G30-IF(Scorecards!$B30&gt;0,FLOOR(Scorecards!$B30/18,1),0)-IF(AND(MOD(Scorecards!$B30,18)&gt;=Scorecards!G$22,Scorecards!$B30&gt;0),1,0)+IF(Scorecards!G$22-18&gt;Scorecards!$B30,1,0))</f>
        <v>3</v>
      </c>
      <c r="H30" s="35">
        <f>if(Scorecards!H30="","",Scorecards!H30-IF(Scorecards!$B30&gt;0,FLOOR(Scorecards!$B30/18,1),0)-IF(AND(MOD(Scorecards!$B30,18)&gt;=Scorecards!H$22,Scorecards!$B30&gt;0),1,0)+IF(Scorecards!H$22-18&gt;Scorecards!$B30,1,0))</f>
        <v>5</v>
      </c>
      <c r="I30" s="35">
        <f>if(Scorecards!I30="","",Scorecards!I30-IF(Scorecards!$B30&gt;0,FLOOR(Scorecards!$B30/18,1),0)-IF(AND(MOD(Scorecards!$B30,18)&gt;=Scorecards!I$22,Scorecards!$B30&gt;0),1,0)+IF(Scorecards!I$22-18&gt;Scorecards!$B30,1,0))</f>
        <v>5</v>
      </c>
      <c r="J30" s="35">
        <f>if(Scorecards!J30="","",Scorecards!J30-IF(Scorecards!$B30&gt;0,FLOOR(Scorecards!$B30/18,1),0)-IF(AND(MOD(Scorecards!$B30,18)&gt;=Scorecards!J$22,Scorecards!$B30&gt;0),1,0)+IF(Scorecards!J$22-18&gt;Scorecards!$B30,1,0))</f>
        <v>5</v>
      </c>
      <c r="K30" s="35">
        <f>if(Scorecards!K30="","",Scorecards!K30-IF(Scorecards!$B30&gt;0,FLOOR(Scorecards!$B30/18,1),0)-IF(AND(MOD(Scorecards!$B30,18)&gt;=Scorecards!K$22,Scorecards!$B30&gt;0),1,0)+IF(Scorecards!K$22-18&gt;Scorecards!$B30,1,0))</f>
        <v>3</v>
      </c>
      <c r="L30" s="35">
        <f>if(Scorecards!L30="","",Scorecards!L30-IF(Scorecards!$B30&gt;0,FLOOR(Scorecards!$B30/18,1),0)-IF(AND(MOD(Scorecards!$B30,18)&gt;=Scorecards!L$22,Scorecards!$B30&gt;0),1,0)+IF(Scorecards!L$22-18&gt;Scorecards!$B30,1,0))</f>
        <v>4</v>
      </c>
      <c r="M30" s="35">
        <f>if(Scorecards!M30="","",Scorecards!M30-IF(Scorecards!$B30&gt;0,FLOOR(Scorecards!$B30/18,1),0)-IF(AND(MOD(Scorecards!$B30,18)&gt;=Scorecards!M$22,Scorecards!$B30&gt;0),1,0)+IF(Scorecards!M$22-18&gt;Scorecards!$B30,1,0))</f>
        <v>4</v>
      </c>
      <c r="N30" s="35">
        <f>if(Scorecards!N30="","",Scorecards!N30-IF(Scorecards!$B30&gt;0,FLOOR(Scorecards!$B30/18,1),0)-IF(AND(MOD(Scorecards!$B30,18)&gt;=Scorecards!N$22,Scorecards!$B30&gt;0),1,0)+IF(Scorecards!N$22-18&gt;Scorecards!$B30,1,0))</f>
        <v>3</v>
      </c>
      <c r="O30" s="35">
        <f>if(Scorecards!O30="","",Scorecards!O30-IF(Scorecards!$B30&gt;0,FLOOR(Scorecards!$B30/18,1),0)-IF(AND(MOD(Scorecards!$B30,18)&gt;=Scorecards!O$22,Scorecards!$B30&gt;0),1,0)+IF(Scorecards!O$22-18&gt;Scorecards!$B30,1,0))</f>
        <v>6</v>
      </c>
      <c r="P30" s="35">
        <f>if(Scorecards!P30="","",Scorecards!P30-IF(Scorecards!$B30&gt;0,FLOOR(Scorecards!$B30/18,1),0)-IF(AND(MOD(Scorecards!$B30,18)&gt;=Scorecards!P$22,Scorecards!$B30&gt;0),1,0)+IF(Scorecards!P$22-18&gt;Scorecards!$B30,1,0))</f>
        <v>4</v>
      </c>
      <c r="Q30" s="35">
        <f>if(Scorecards!Q30="","",Scorecards!Q30-IF(Scorecards!$B30&gt;0,FLOOR(Scorecards!$B30/18,1),0)-IF(AND(MOD(Scorecards!$B30,18)&gt;=Scorecards!Q$22,Scorecards!$B30&gt;0),1,0)+IF(Scorecards!Q$22-18&gt;Scorecards!$B30,1,0))</f>
        <v>4</v>
      </c>
      <c r="R30" s="35">
        <f>if(Scorecards!R30="","",Scorecards!R30-IF(Scorecards!$B30&gt;0,FLOOR(Scorecards!$B30/18,1),0)-IF(AND(MOD(Scorecards!$B30,18)&gt;=Scorecards!R$22,Scorecards!$B30&gt;0),1,0)+IF(Scorecards!R$22-18&gt;Scorecards!$B30,1,0))</f>
        <v>5</v>
      </c>
      <c r="S30" s="35">
        <f>if(Scorecards!S30="","",Scorecards!S30-IF(Scorecards!$B30&gt;0,FLOOR(Scorecards!$B30/18,1),0)-IF(AND(MOD(Scorecards!$B30,18)&gt;=Scorecards!S$22,Scorecards!$B30&gt;0),1,0)+IF(Scorecards!S$22-18&gt;Scorecards!$B30,1,0))</f>
        <v>5</v>
      </c>
      <c r="T30" s="35">
        <f>if(Scorecards!T30="","",Scorecards!T30-IF(Scorecards!$B30&gt;0,FLOOR(Scorecards!$B30/18,1),0)-IF(AND(MOD(Scorecards!$B30,18)&gt;=Scorecards!T$22,Scorecards!$B30&gt;0),1,0)+IF(Scorecards!T$22-18&gt;Scorecards!$B30,1,0))</f>
        <v>3</v>
      </c>
      <c r="U30" s="35">
        <f>if(Scorecards!U30="","",Scorecards!U30-IF(Scorecards!$B30&gt;0,FLOOR(Scorecards!$B30/18,1),0)-IF(AND(MOD(Scorecards!$B30,18)&gt;=Scorecards!U$22,Scorecards!$B30&gt;0),1,0)+IF(Scorecards!U$22-18&gt;Scorecards!$B30,1,0))</f>
        <v>3</v>
      </c>
      <c r="V30" s="36">
        <f t="shared" si="6"/>
        <v>40</v>
      </c>
      <c r="W30" s="36">
        <f t="shared" si="7"/>
        <v>37</v>
      </c>
      <c r="X30" s="36">
        <f t="shared" si="8"/>
        <v>77</v>
      </c>
      <c r="Y30" s="37">
        <f t="shared" si="9"/>
        <v>55</v>
      </c>
      <c r="Z30" s="38">
        <f t="array" ref="Z30">sum(if(D30-$D$23=-3,1,0),if(E30-$E$23=-3,1,0),if(F30-$F$23=-3,1,0),if(G30-$G$23=-3,1,0),if(H30-$H$23=-3,1,0),if(I30-$I$23=-3,1,0),if(J30-$J$23=-3,1,0),if(K30-$K$23=-3,1,0),if(L30-$L$23=-3,1,0),if(M30-$M$23=-3,1,0),if(N30-$N$23=-3,1,0),if(O30-$O$23=-3,1,0),if(P30-$P$23=-3,1,0),if(Q30-$Q$23=-3,1,0),if(R30-$R$23=-3,1,0),if(S30-$S$23=-3,1,0),if(T30-$T$23=-3,1,0),if(U30-$U$23=-3,1,0))</f>
        <v>0</v>
      </c>
      <c r="AA30" s="38">
        <f t="array" ref="AA30">sum(if(D30-$D$23=-2,1,0),if(E30-$E$23=-2,1,0),if(F30-$F$23=-2,1,0),if(G30-$G$23=-2,1,0),if(H30-$H$23=-2,1,0),if(I30-$I$23=-2,1,0),if(J30-$J$23=-2,1,0),if(K30-$K$23=-2,1,0),if(L30-$L$23=-2,1,0),if(M30-$M$23=-2,1,0),if(N30-$N$23=-2,1,0),if(O30-$O$23=-2,1,0),if(P30-$P$23=-2,1,0),if(Q30-$Q$23=-2,1,0),if(R30-$R$23=-2,1,0),if(S30-$S$23=-2,1,0),if(T30-$T$23=-2,1,0),if(U30-$U$23=-2,1,0))</f>
        <v>0</v>
      </c>
      <c r="AB30" s="38">
        <f t="array" ref="AB30">sum(if(D30-$D$23=-1,1,0),if(E30-$E$23=-1,1,0),if(F30-$F$23=-1,1,0),if(G30-$G$23=-1,1,0),if(H30-$H$23=-1,1,0),if(I30-$I$23=-1,1,0),if(J30-$J$23=-1,1,0),if(K30-$K$23=-1,1,0),if(L30-$L$23=-1,1,0),if(M30-$M$23=-1,1,0),if(N30-$N$23=-1,1,0),if(O30-$O$23=-1,1,0),if(P30-$P$23=-1,1,0),if(Q30-$Q$23=-1,1,0),if(R30-$R$23=-1,1,0),if(S30-$S$23=-1,1,0),if(T30-$T$23=-1,1,0),if(U30-$U$23=-1,1,0))</f>
        <v>2</v>
      </c>
      <c r="AC30" s="38">
        <f t="array" ref="AC30">sum(if(D30-$D$23=0,1,0),if(E30-$E$23=0,1,0),if(F30-$F$23=0,1,0),if(G30-$G$23=0,1,0),if(H30-$H$23=0,1,0),if(I30-$I$23=0,1,0),if(J30-$J$23=0,1,0),if(K30-$K$23=0,1,0),if(L30-$L$23=0,1,0),if(M30-$M$23=0,1,0),if(N30-$N$23=0,1,0),if(O30-$O$23=0,1,0),if(P30-$P$23=0,1,0),if(Q30-$Q$23=0,1,0),if(R30-$R$23=0,1,0),if(S30-$S$23=0,1,0),if(T30-$T$23=0,1,0),if(U30-$U$23=0,1,0))</f>
        <v>10</v>
      </c>
      <c r="AD30" s="38">
        <f t="array" ref="AD30">sum(if(D30-$D$23=1,1,0),if(E30-$E$23=1,1,0),if(F30-$F$23=1,1,0),if(G30-$G$23=1,1,0),if(H30-$H$23=1,1,0),if(I30-$I$23=1,1,0),if(J30-$J$23=1,1,0),if(K30-$K$23=1,1,0),if(L30-$L$23=1,1,0),if(M30-$M$23=1,1,0),if(N30-$N$23=1,1,0),if(O30-$O$23=1,1,0),if(P30-$P$23=1,1,0),if(Q30-$Q$23=1,1,0),if(R30-$R$23=1,1,0),if(S30-$S$23=1,1,0),if(T30-$T$23=1,1,0),if(U30-$U$23=1,1,0))</f>
        <v>5</v>
      </c>
      <c r="AE30" s="38">
        <f t="array" ref="AE30">sum(if(D30-$D$23=2,1,0),if(E30-$E$23=2,1,0),if(F30-$F$23=2,1,0),if(G30-$G$23=2,1,0),if(H30-$H$23=2,1,0),if(I30-$I$23=2,1,0),if(J30-$J$23=2,1,0),if(K30-$K$23=2,1,0),if(L30-$L$23=2,1,0),if(M30-$M$23=2,1,0),if(N30-$N$23=2,1,0),if(O30-$O$23=2,1,0),if(P30-$P$23=2,1,0),if(Q30-$Q$23=2,1,0),if(R30-$R$23=2,1,0),if(S30-$S$23=2,1,0),if(T30-$T$23=2,1,0),if(U30-$U$23=2,1,0))</f>
        <v>1</v>
      </c>
      <c r="AF30" s="38">
        <f t="array" ref="AF30">sum(if(D30-$D$23=3,1,0),if(E30-$E$23=3,1,0),if(F30-$F$23=3,1,0),if(G30-$G$23=3,1,0),if(H30-$H$23=3,1,0),if(I30-$I$23=3,1,0),if(J30-$J$23=3,1,0),if(K30-$K$23=3,1,0),if(L30-$L$23=3,1,0),if(M30-$M$23=3,1,0),if(N30-$N$23=3,1,0),if(O30-$O$23=3,1,0),if(P30-$P$23=3,1,0),if(Q30-$Q$23=3,1,0),if(R30-$R$23=3,1,0),if(S30-$S$23=3,1,0),if(T30-$T$23=3,1,0),if(U30-$U$23=3,1,0))</f>
        <v>0</v>
      </c>
      <c r="AG30" s="38">
        <f t="array" ref="AG30">sum(if(D30-$D$23&gt;3,1,0),if(E30-$E$23&gt;3,1,0),if(F30-$F$23&gt;3,1,0),if(G30-$G$23&gt;3,1,0),if(H30-$H$23&gt;3,1,0),if(I30-$I$23&gt;3,1,0),if(J30-$J$23&gt;3,1,0),if(K30-$K$23&gt;3,1,0),if(L30-$L$23&gt;3,1,0),if(M30-$M$23&gt;3,1,0),if(N30-$N$23&gt;3,1,0),if(O30-$O$23&gt;3,1,0),if(P30-$P$23&gt;3,1,0),if(Q30-$Q$23&gt;3,1,0),if(R30-$R$23&gt;3,1,0),if(S30-$S$23&gt;3,1,0),if(T30-$T$23&gt;3,1,0),if(U30-$U$23&gt;3,1,0))</f>
        <v>0</v>
      </c>
      <c r="AH30" s="38">
        <f t="shared" si="10"/>
        <v>18</v>
      </c>
    </row>
    <row r="31" ht="12.75" customHeight="1">
      <c r="A31" s="32" t="str">
        <f>SETUP!A12</f>
        <v>Joe S</v>
      </c>
      <c r="B31" s="33">
        <f t="array" ref="B31">if(A31="","",index(SETUP!C:C,match(A31,SETUP!A:A,0)))</f>
        <v>15</v>
      </c>
      <c r="C31" s="17"/>
      <c r="D31" s="35">
        <f>if(Scorecards!D31="","",Scorecards!D31-IF(Scorecards!$B31&gt;0,FLOOR(Scorecards!$B31/18,1),0)-IF(AND(MOD(Scorecards!$B31,18)&gt;=Scorecards!D$22,Scorecards!$B31&gt;0),1,0)+IF(Scorecards!D$22-18&gt;Scorecards!$B31,1,0))</f>
        <v>5</v>
      </c>
      <c r="E31" s="35">
        <f>if(Scorecards!E31="","",Scorecards!E31-IF(Scorecards!$B31&gt;0,FLOOR(Scorecards!$B31/18,1),0)-IF(AND(MOD(Scorecards!$B31,18)&gt;=Scorecards!E$22,Scorecards!$B31&gt;0),1,0)+IF(Scorecards!E$22-18&gt;Scorecards!$B31,1,0))</f>
        <v>5</v>
      </c>
      <c r="F31" s="35">
        <f>if(Scorecards!F31="","",Scorecards!F31-IF(Scorecards!$B31&gt;0,FLOOR(Scorecards!$B31/18,1),0)-IF(AND(MOD(Scorecards!$B31,18)&gt;=Scorecards!F$22,Scorecards!$B31&gt;0),1,0)+IF(Scorecards!F$22-18&gt;Scorecards!$B31,1,0))</f>
        <v>5</v>
      </c>
      <c r="G31" s="35">
        <f>if(Scorecards!G31="","",Scorecards!G31-IF(Scorecards!$B31&gt;0,FLOOR(Scorecards!$B31/18,1),0)-IF(AND(MOD(Scorecards!$B31,18)&gt;=Scorecards!G$22,Scorecards!$B31&gt;0),1,0)+IF(Scorecards!G$22-18&gt;Scorecards!$B31,1,0))</f>
        <v>2</v>
      </c>
      <c r="H31" s="35">
        <f>if(Scorecards!H31="","",Scorecards!H31-IF(Scorecards!$B31&gt;0,FLOOR(Scorecards!$B31/18,1),0)-IF(AND(MOD(Scorecards!$B31,18)&gt;=Scorecards!H$22,Scorecards!$B31&gt;0),1,0)+IF(Scorecards!H$22-18&gt;Scorecards!$B31,1,0))</f>
        <v>6</v>
      </c>
      <c r="I31" s="35">
        <f>if(Scorecards!I31="","",Scorecards!I31-IF(Scorecards!$B31&gt;0,FLOOR(Scorecards!$B31/18,1),0)-IF(AND(MOD(Scorecards!$B31,18)&gt;=Scorecards!I$22,Scorecards!$B31&gt;0),1,0)+IF(Scorecards!I$22-18&gt;Scorecards!$B31,1,0))</f>
        <v>6</v>
      </c>
      <c r="J31" s="35">
        <f>if(Scorecards!J31="","",Scorecards!J31-IF(Scorecards!$B31&gt;0,FLOOR(Scorecards!$B31/18,1),0)-IF(AND(MOD(Scorecards!$B31,18)&gt;=Scorecards!J$22,Scorecards!$B31&gt;0),1,0)+IF(Scorecards!J$22-18&gt;Scorecards!$B31,1,0))</f>
        <v>3</v>
      </c>
      <c r="K31" s="35">
        <f>if(Scorecards!K31="","",Scorecards!K31-IF(Scorecards!$B31&gt;0,FLOOR(Scorecards!$B31/18,1),0)-IF(AND(MOD(Scorecards!$B31,18)&gt;=Scorecards!K$22,Scorecards!$B31&gt;0),1,0)+IF(Scorecards!K$22-18&gt;Scorecards!$B31,1,0))</f>
        <v>0</v>
      </c>
      <c r="L31" s="35">
        <f>if(Scorecards!L31="","",Scorecards!L31-IF(Scorecards!$B31&gt;0,FLOOR(Scorecards!$B31/18,1),0)-IF(AND(MOD(Scorecards!$B31,18)&gt;=Scorecards!L$22,Scorecards!$B31&gt;0),1,0)+IF(Scorecards!L$22-18&gt;Scorecards!$B31,1,0))</f>
        <v>3</v>
      </c>
      <c r="M31" s="35">
        <f>if(Scorecards!M31="","",Scorecards!M31-IF(Scorecards!$B31&gt;0,FLOOR(Scorecards!$B31/18,1),0)-IF(AND(MOD(Scorecards!$B31,18)&gt;=Scorecards!M$22,Scorecards!$B31&gt;0),1,0)+IF(Scorecards!M$22-18&gt;Scorecards!$B31,1,0))</f>
        <v>5</v>
      </c>
      <c r="N31" s="35">
        <f>if(Scorecards!N31="","",Scorecards!N31-IF(Scorecards!$B31&gt;0,FLOOR(Scorecards!$B31/18,1),0)-IF(AND(MOD(Scorecards!$B31,18)&gt;=Scorecards!N$22,Scorecards!$B31&gt;0),1,0)+IF(Scorecards!N$22-18&gt;Scorecards!$B31,1,0))</f>
        <v>3</v>
      </c>
      <c r="O31" s="35">
        <f>if(Scorecards!O31="","",Scorecards!O31-IF(Scorecards!$B31&gt;0,FLOOR(Scorecards!$B31/18,1),0)-IF(AND(MOD(Scorecards!$B31,18)&gt;=Scorecards!O$22,Scorecards!$B31&gt;0),1,0)+IF(Scorecards!O$22-18&gt;Scorecards!$B31,1,0))</f>
        <v>5</v>
      </c>
      <c r="P31" s="35">
        <f>if(Scorecards!P31="","",Scorecards!P31-IF(Scorecards!$B31&gt;0,FLOOR(Scorecards!$B31/18,1),0)-IF(AND(MOD(Scorecards!$B31,18)&gt;=Scorecards!P$22,Scorecards!$B31&gt;0),1,0)+IF(Scorecards!P$22-18&gt;Scorecards!$B31,1,0))</f>
        <v>3</v>
      </c>
      <c r="Q31" s="35">
        <f>if(Scorecards!Q31="","",Scorecards!Q31-IF(Scorecards!$B31&gt;0,FLOOR(Scorecards!$B31/18,1),0)-IF(AND(MOD(Scorecards!$B31,18)&gt;=Scorecards!Q$22,Scorecards!$B31&gt;0),1,0)+IF(Scorecards!Q$22-18&gt;Scorecards!$B31,1,0))</f>
        <v>4</v>
      </c>
      <c r="R31" s="35">
        <f>if(Scorecards!R31="","",Scorecards!R31-IF(Scorecards!$B31&gt;0,FLOOR(Scorecards!$B31/18,1),0)-IF(AND(MOD(Scorecards!$B31,18)&gt;=Scorecards!R$22,Scorecards!$B31&gt;0),1,0)+IF(Scorecards!R$22-18&gt;Scorecards!$B31,1,0))</f>
        <v>4</v>
      </c>
      <c r="S31" s="35">
        <f>if(Scorecards!S31="","",Scorecards!S31-IF(Scorecards!$B31&gt;0,FLOOR(Scorecards!$B31/18,1),0)-IF(AND(MOD(Scorecards!$B31,18)&gt;=Scorecards!S$22,Scorecards!$B31&gt;0),1,0)+IF(Scorecards!S$22-18&gt;Scorecards!$B31,1,0))</f>
        <v>5</v>
      </c>
      <c r="T31" s="35">
        <f>if(Scorecards!T31="","",Scorecards!T31-IF(Scorecards!$B31&gt;0,FLOOR(Scorecards!$B31/18,1),0)-IF(AND(MOD(Scorecards!$B31,18)&gt;=Scorecards!T$22,Scorecards!$B31&gt;0),1,0)+IF(Scorecards!T$22-18&gt;Scorecards!$B31,1,0))</f>
        <v>4</v>
      </c>
      <c r="U31" s="35">
        <f>if(Scorecards!U31="","",Scorecards!U31-IF(Scorecards!$B31&gt;0,FLOOR(Scorecards!$B31/18,1),0)-IF(AND(MOD(Scorecards!$B31,18)&gt;=Scorecards!U$22,Scorecards!$B31&gt;0),1,0)+IF(Scorecards!U$22-18&gt;Scorecards!$B31,1,0))</f>
        <v>4</v>
      </c>
      <c r="V31" s="36">
        <f t="shared" si="6"/>
        <v>35</v>
      </c>
      <c r="W31" s="36">
        <f t="shared" si="7"/>
        <v>37</v>
      </c>
      <c r="X31" s="36">
        <f t="shared" si="8"/>
        <v>72</v>
      </c>
      <c r="Y31" s="37">
        <f t="shared" si="9"/>
        <v>57</v>
      </c>
      <c r="Z31" s="38">
        <f t="array" ref="Z31">sum(if(D31-$D$23=-3,1,0),if(E31-$E$23=-3,1,0),if(F31-$F$23=-3,1,0),if(G31-$G$23=-3,1,0),if(H31-$H$23=-3,1,0),if(I31-$I$23=-3,1,0),if(J31-$J$23=-3,1,0),if(K31-$K$23=-3,1,0),if(L31-$L$23=-3,1,0),if(M31-$M$23=-3,1,0),if(N31-$N$23=-3,1,0),if(O31-$O$23=-3,1,0),if(P31-$P$23=-3,1,0),if(Q31-$Q$23=-3,1,0),if(R31-$R$23=-3,1,0),if(S31-$S$23=-3,1,0),if(T31-$T$23=-3,1,0),if(U31-$U$23=-3,1,0))</f>
        <v>1</v>
      </c>
      <c r="AA31" s="38">
        <f t="array" ref="AA31">sum(if(D31-$D$23=-2,1,0),if(E31-$E$23=-2,1,0),if(F31-$F$23=-2,1,0),if(G31-$G$23=-2,1,0),if(H31-$H$23=-2,1,0),if(I31-$I$23=-2,1,0),if(J31-$J$23=-2,1,0),if(K31-$K$23=-2,1,0),if(L31-$L$23=-2,1,0),if(M31-$M$23=-2,1,0),if(N31-$N$23=-2,1,0),if(O31-$O$23=-2,1,0),if(P31-$P$23=-2,1,0),if(Q31-$Q$23=-2,1,0),if(R31-$R$23=-2,1,0),if(S31-$S$23=-2,1,0),if(T31-$T$23=-2,1,0),if(U31-$U$23=-2,1,0))</f>
        <v>0</v>
      </c>
      <c r="AB31" s="38">
        <f t="array" ref="AB31">sum(if(D31-$D$23=-1,1,0),if(E31-$E$23=-1,1,0),if(F31-$F$23=-1,1,0),if(G31-$G$23=-1,1,0),if(H31-$H$23=-1,1,0),if(I31-$I$23=-1,1,0),if(J31-$J$23=-1,1,0),if(K31-$K$23=-1,1,0),if(L31-$L$23=-1,1,0),if(M31-$M$23=-1,1,0),if(N31-$N$23=-1,1,0),if(O31-$O$23=-1,1,0),if(P31-$P$23=-1,1,0),if(Q31-$Q$23=-1,1,0),if(R31-$R$23=-1,1,0),if(S31-$S$23=-1,1,0),if(T31-$T$23=-1,1,0),if(U31-$U$23=-1,1,0))</f>
        <v>4</v>
      </c>
      <c r="AC31" s="38">
        <f t="array" ref="AC31">sum(if(D31-$D$23=0,1,0),if(E31-$E$23=0,1,0),if(F31-$F$23=0,1,0),if(G31-$G$23=0,1,0),if(H31-$H$23=0,1,0),if(I31-$I$23=0,1,0),if(J31-$J$23=0,1,0),if(K31-$K$23=0,1,0),if(L31-$L$23=0,1,0),if(M31-$M$23=0,1,0),if(N31-$N$23=0,1,0),if(O31-$O$23=0,1,0),if(P31-$P$23=0,1,0),if(Q31-$Q$23=0,1,0),if(R31-$R$23=0,1,0),if(S31-$S$23=0,1,0),if(T31-$T$23=0,1,0),if(U31-$U$23=0,1,0))</f>
        <v>7</v>
      </c>
      <c r="AD31" s="38">
        <f t="array" ref="AD31">sum(if(D31-$D$23=1,1,0),if(E31-$E$23=1,1,0),if(F31-$F$23=1,1,0),if(G31-$G$23=1,1,0),if(H31-$H$23=1,1,0),if(I31-$I$23=1,1,0),if(J31-$J$23=1,1,0),if(K31-$K$23=1,1,0),if(L31-$L$23=1,1,0),if(M31-$M$23=1,1,0),if(N31-$N$23=1,1,0),if(O31-$O$23=1,1,0),if(P31-$P$23=1,1,0),if(Q31-$Q$23=1,1,0),if(R31-$R$23=1,1,0),if(S31-$S$23=1,1,0),if(T31-$T$23=1,1,0),if(U31-$U$23=1,1,0))</f>
        <v>5</v>
      </c>
      <c r="AE31" s="38">
        <f t="array" ref="AE31">sum(if(D31-$D$23=2,1,0),if(E31-$E$23=2,1,0),if(F31-$F$23=2,1,0),if(G31-$G$23=2,1,0),if(H31-$H$23=2,1,0),if(I31-$I$23=2,1,0),if(J31-$J$23=2,1,0),if(K31-$K$23=2,1,0),if(L31-$L$23=2,1,0),if(M31-$M$23=2,1,0),if(N31-$N$23=2,1,0),if(O31-$O$23=2,1,0),if(P31-$P$23=2,1,0),if(Q31-$Q$23=2,1,0),if(R31-$R$23=2,1,0),if(S31-$S$23=2,1,0),if(T31-$T$23=2,1,0),if(U31-$U$23=2,1,0))</f>
        <v>1</v>
      </c>
      <c r="AF31" s="38">
        <f t="array" ref="AF31">sum(if(D31-$D$23=3,1,0),if(E31-$E$23=3,1,0),if(F31-$F$23=3,1,0),if(G31-$G$23=3,1,0),if(H31-$H$23=3,1,0),if(I31-$I$23=3,1,0),if(J31-$J$23=3,1,0),if(K31-$K$23=3,1,0),if(L31-$L$23=3,1,0),if(M31-$M$23=3,1,0),if(N31-$N$23=3,1,0),if(O31-$O$23=3,1,0),if(P31-$P$23=3,1,0),if(Q31-$Q$23=3,1,0),if(R31-$R$23=3,1,0),if(S31-$S$23=3,1,0),if(T31-$T$23=3,1,0),if(U31-$U$23=3,1,0))</f>
        <v>0</v>
      </c>
      <c r="AG31" s="38">
        <f t="array" ref="AG31">sum(if(D31-$D$23&gt;3,1,0),if(E31-$E$23&gt;3,1,0),if(F31-$F$23&gt;3,1,0),if(G31-$G$23&gt;3,1,0),if(H31-$H$23&gt;3,1,0),if(I31-$I$23&gt;3,1,0),if(J31-$J$23&gt;3,1,0),if(K31-$K$23&gt;3,1,0),if(L31-$L$23&gt;3,1,0),if(M31-$M$23&gt;3,1,0),if(N31-$N$23&gt;3,1,0),if(O31-$O$23&gt;3,1,0),if(P31-$P$23&gt;3,1,0),if(Q31-$Q$23&gt;3,1,0),if(R31-$R$23&gt;3,1,0),if(S31-$S$23&gt;3,1,0),if(T31-$T$23&gt;3,1,0),if(U31-$U$23&gt;3,1,0))</f>
        <v>0</v>
      </c>
      <c r="AH31" s="38">
        <f t="shared" si="10"/>
        <v>18</v>
      </c>
    </row>
    <row r="32" ht="12.75" customHeight="1">
      <c r="A32" s="32" t="str">
        <f>SETUP!A13</f>
        <v>John C</v>
      </c>
      <c r="B32" s="33">
        <f t="array" ref="B32">if(A32="","",index(SETUP!C:C,match(A32,SETUP!A:A,0)))</f>
        <v>23</v>
      </c>
      <c r="C32" s="17"/>
      <c r="D32" s="35">
        <f>if(Scorecards!D32="","",Scorecards!D32-IF(Scorecards!$B32&gt;0,FLOOR(Scorecards!$B32/18,1),0)-IF(AND(MOD(Scorecards!$B32,18)&gt;=Scorecards!D$22,Scorecards!$B32&gt;0),1,0)+IF(Scorecards!D$22-18&gt;Scorecards!$B32,1,0))</f>
        <v>5</v>
      </c>
      <c r="E32" s="35">
        <f>if(Scorecards!E32="","",Scorecards!E32-IF(Scorecards!$B32&gt;0,FLOOR(Scorecards!$B32/18,1),0)-IF(AND(MOD(Scorecards!$B32,18)&gt;=Scorecards!E$22,Scorecards!$B32&gt;0),1,0)+IF(Scorecards!E$22-18&gt;Scorecards!$B32,1,0))</f>
        <v>5</v>
      </c>
      <c r="F32" s="35">
        <f>if(Scorecards!F32="","",Scorecards!F32-IF(Scorecards!$B32&gt;0,FLOOR(Scorecards!$B32/18,1),0)-IF(AND(MOD(Scorecards!$B32,18)&gt;=Scorecards!F$22,Scorecards!$B32&gt;0),1,0)+IF(Scorecards!F$22-18&gt;Scorecards!$B32,1,0))</f>
        <v>5</v>
      </c>
      <c r="G32" s="35">
        <f>if(Scorecards!G32="","",Scorecards!G32-IF(Scorecards!$B32&gt;0,FLOOR(Scorecards!$B32/18,1),0)-IF(AND(MOD(Scorecards!$B32,18)&gt;=Scorecards!G$22,Scorecards!$B32&gt;0),1,0)+IF(Scorecards!G$22-18&gt;Scorecards!$B32,1,0))</f>
        <v>2</v>
      </c>
      <c r="H32" s="35">
        <f>if(Scorecards!H32="","",Scorecards!H32-IF(Scorecards!$B32&gt;0,FLOOR(Scorecards!$B32/18,1),0)-IF(AND(MOD(Scorecards!$B32,18)&gt;=Scorecards!H$22,Scorecards!$B32&gt;0),1,0)+IF(Scorecards!H$22-18&gt;Scorecards!$B32,1,0))</f>
        <v>4</v>
      </c>
      <c r="I32" s="35">
        <f>if(Scorecards!I32="","",Scorecards!I32-IF(Scorecards!$B32&gt;0,FLOOR(Scorecards!$B32/18,1),0)-IF(AND(MOD(Scorecards!$B32,18)&gt;=Scorecards!I$22,Scorecards!$B32&gt;0),1,0)+IF(Scorecards!I$22-18&gt;Scorecards!$B32,1,0))</f>
        <v>4</v>
      </c>
      <c r="J32" s="35">
        <f>if(Scorecards!J32="","",Scorecards!J32-IF(Scorecards!$B32&gt;0,FLOOR(Scorecards!$B32/18,1),0)-IF(AND(MOD(Scorecards!$B32,18)&gt;=Scorecards!J$22,Scorecards!$B32&gt;0),1,0)+IF(Scorecards!J$22-18&gt;Scorecards!$B32,1,0))</f>
        <v>5</v>
      </c>
      <c r="K32" s="35">
        <f>if(Scorecards!K32="","",Scorecards!K32-IF(Scorecards!$B32&gt;0,FLOOR(Scorecards!$B32/18,1),0)-IF(AND(MOD(Scorecards!$B32,18)&gt;=Scorecards!K$22,Scorecards!$B32&gt;0),1,0)+IF(Scorecards!K$22-18&gt;Scorecards!$B32,1,0))</f>
        <v>4</v>
      </c>
      <c r="L32" s="35">
        <f>if(Scorecards!L32="","",Scorecards!L32-IF(Scorecards!$B32&gt;0,FLOOR(Scorecards!$B32/18,1),0)-IF(AND(MOD(Scorecards!$B32,18)&gt;=Scorecards!L$22,Scorecards!$B32&gt;0),1,0)+IF(Scorecards!L$22-18&gt;Scorecards!$B32,1,0))</f>
        <v>5</v>
      </c>
      <c r="M32" s="35">
        <f>if(Scorecards!M32="","",Scorecards!M32-IF(Scorecards!$B32&gt;0,FLOOR(Scorecards!$B32/18,1),0)-IF(AND(MOD(Scorecards!$B32,18)&gt;=Scorecards!M$22,Scorecards!$B32&gt;0),1,0)+IF(Scorecards!M$22-18&gt;Scorecards!$B32,1,0))</f>
        <v>4</v>
      </c>
      <c r="N32" s="35">
        <f>if(Scorecards!N32="","",Scorecards!N32-IF(Scorecards!$B32&gt;0,FLOOR(Scorecards!$B32/18,1),0)-IF(AND(MOD(Scorecards!$B32,18)&gt;=Scorecards!N$22,Scorecards!$B32&gt;0),1,0)+IF(Scorecards!N$22-18&gt;Scorecards!$B32,1,0))</f>
        <v>9</v>
      </c>
      <c r="O32" s="35">
        <f>if(Scorecards!O32="","",Scorecards!O32-IF(Scorecards!$B32&gt;0,FLOOR(Scorecards!$B32/18,1),0)-IF(AND(MOD(Scorecards!$B32,18)&gt;=Scorecards!O$22,Scorecards!$B32&gt;0),1,0)+IF(Scorecards!O$22-18&gt;Scorecards!$B32,1,0))</f>
        <v>5</v>
      </c>
      <c r="P32" s="35">
        <f>if(Scorecards!P32="","",Scorecards!P32-IF(Scorecards!$B32&gt;0,FLOOR(Scorecards!$B32/18,1),0)-IF(AND(MOD(Scorecards!$B32,18)&gt;=Scorecards!P$22,Scorecards!$B32&gt;0),1,0)+IF(Scorecards!P$22-18&gt;Scorecards!$B32,1,0))</f>
        <v>4</v>
      </c>
      <c r="Q32" s="35">
        <f>if(Scorecards!Q32="","",Scorecards!Q32-IF(Scorecards!$B32&gt;0,FLOOR(Scorecards!$B32/18,1),0)-IF(AND(MOD(Scorecards!$B32,18)&gt;=Scorecards!Q$22,Scorecards!$B32&gt;0),1,0)+IF(Scorecards!Q$22-18&gt;Scorecards!$B32,1,0))</f>
        <v>4</v>
      </c>
      <c r="R32" s="35">
        <f>if(Scorecards!R32="","",Scorecards!R32-IF(Scorecards!$B32&gt;0,FLOOR(Scorecards!$B32/18,1),0)-IF(AND(MOD(Scorecards!$B32,18)&gt;=Scorecards!R$22,Scorecards!$B32&gt;0),1,0)+IF(Scorecards!R$22-18&gt;Scorecards!$B32,1,0))</f>
        <v>5</v>
      </c>
      <c r="S32" s="35">
        <f>if(Scorecards!S32="","",Scorecards!S32-IF(Scorecards!$B32&gt;0,FLOOR(Scorecards!$B32/18,1),0)-IF(AND(MOD(Scorecards!$B32,18)&gt;=Scorecards!S$22,Scorecards!$B32&gt;0),1,0)+IF(Scorecards!S$22-18&gt;Scorecards!$B32,1,0))</f>
        <v>6</v>
      </c>
      <c r="T32" s="35">
        <f>if(Scorecards!T32="","",Scorecards!T32-IF(Scorecards!$B32&gt;0,FLOOR(Scorecards!$B32/18,1),0)-IF(AND(MOD(Scorecards!$B32,18)&gt;=Scorecards!T$22,Scorecards!$B32&gt;0),1,0)+IF(Scorecards!T$22-18&gt;Scorecards!$B32,1,0))</f>
        <v>5</v>
      </c>
      <c r="U32" s="35">
        <f>if(Scorecards!U32="","",Scorecards!U32-IF(Scorecards!$B32&gt;0,FLOOR(Scorecards!$B32/18,1),0)-IF(AND(MOD(Scorecards!$B32,18)&gt;=Scorecards!U$22,Scorecards!$B32&gt;0),1,0)+IF(Scorecards!U$22-18&gt;Scorecards!$B32,1,0))</f>
        <v>5</v>
      </c>
      <c r="V32" s="36">
        <f t="shared" si="6"/>
        <v>39</v>
      </c>
      <c r="W32" s="36">
        <f t="shared" si="7"/>
        <v>47</v>
      </c>
      <c r="X32" s="36">
        <f t="shared" si="8"/>
        <v>86</v>
      </c>
      <c r="Y32" s="37">
        <f t="shared" si="9"/>
        <v>63</v>
      </c>
      <c r="Z32" s="38">
        <f t="array" ref="Z32">sum(if(D32-$D$23=-3,1,0),if(E32-$E$23=-3,1,0),if(F32-$F$23=-3,1,0),if(G32-$G$23=-3,1,0),if(H32-$H$23=-3,1,0),if(I32-$I$23=-3,1,0),if(J32-$J$23=-3,1,0),if(K32-$K$23=-3,1,0),if(L32-$L$23=-3,1,0),if(M32-$M$23=-3,1,0),if(N32-$N$23=-3,1,0),if(O32-$O$23=-3,1,0),if(P32-$P$23=-3,1,0),if(Q32-$Q$23=-3,1,0),if(R32-$R$23=-3,1,0),if(S32-$S$23=-3,1,0),if(T32-$T$23=-3,1,0),if(U32-$U$23=-3,1,0))</f>
        <v>0</v>
      </c>
      <c r="AA32" s="38">
        <f t="array" ref="AA32">sum(if(D32-$D$23=-2,1,0),if(E32-$E$23=-2,1,0),if(F32-$F$23=-2,1,0),if(G32-$G$23=-2,1,0),if(H32-$H$23=-2,1,0),if(I32-$I$23=-2,1,0),if(J32-$J$23=-2,1,0),if(K32-$K$23=-2,1,0),if(L32-$L$23=-2,1,0),if(M32-$M$23=-2,1,0),if(N32-$N$23=-2,1,0),if(O32-$O$23=-2,1,0),if(P32-$P$23=-2,1,0),if(Q32-$Q$23=-2,1,0),if(R32-$R$23=-2,1,0),if(S32-$S$23=-2,1,0),if(T32-$T$23=-2,1,0),if(U32-$U$23=-2,1,0))</f>
        <v>0</v>
      </c>
      <c r="AB32" s="38">
        <f t="array" ref="AB32">sum(if(D32-$D$23=-1,1,0),if(E32-$E$23=-1,1,0),if(F32-$F$23=-1,1,0),if(G32-$G$23=-1,1,0),if(H32-$H$23=-1,1,0),if(I32-$I$23=-1,1,0),if(J32-$J$23=-1,1,0),if(K32-$K$23=-1,1,0),if(L32-$L$23=-1,1,0),if(M32-$M$23=-1,1,0),if(N32-$N$23=-1,1,0),if(O32-$O$23=-1,1,0),if(P32-$P$23=-1,1,0),if(Q32-$Q$23=-1,1,0),if(R32-$R$23=-1,1,0),if(S32-$S$23=-1,1,0),if(T32-$T$23=-1,1,0),if(U32-$U$23=-1,1,0))</f>
        <v>2</v>
      </c>
      <c r="AC32" s="38">
        <f t="array" ref="AC32">sum(if(D32-$D$23=0,1,0),if(E32-$E$23=0,1,0),if(F32-$F$23=0,1,0),if(G32-$G$23=0,1,0),if(H32-$H$23=0,1,0),if(I32-$I$23=0,1,0),if(J32-$J$23=0,1,0),if(K32-$K$23=0,1,0),if(L32-$L$23=0,1,0),if(M32-$M$23=0,1,0),if(N32-$N$23=0,1,0),if(O32-$O$23=0,1,0),if(P32-$P$23=0,1,0),if(Q32-$Q$23=0,1,0),if(R32-$R$23=0,1,0),if(S32-$S$23=0,1,0),if(T32-$T$23=0,1,0),if(U32-$U$23=0,1,0))</f>
        <v>6</v>
      </c>
      <c r="AD32" s="38">
        <f t="array" ref="AD32">sum(if(D32-$D$23=1,1,0),if(E32-$E$23=1,1,0),if(F32-$F$23=1,1,0),if(G32-$G$23=1,1,0),if(H32-$H$23=1,1,0),if(I32-$I$23=1,1,0),if(J32-$J$23=1,1,0),if(K32-$K$23=1,1,0),if(L32-$L$23=1,1,0),if(M32-$M$23=1,1,0),if(N32-$N$23=1,1,0),if(O32-$O$23=1,1,0),if(P32-$P$23=1,1,0),if(Q32-$Q$23=1,1,0),if(R32-$R$23=1,1,0),if(S32-$S$23=1,1,0),if(T32-$T$23=1,1,0),if(U32-$U$23=1,1,0))</f>
        <v>8</v>
      </c>
      <c r="AE32" s="38">
        <f t="array" ref="AE32">sum(if(D32-$D$23=2,1,0),if(E32-$E$23=2,1,0),if(F32-$F$23=2,1,0),if(G32-$G$23=2,1,0),if(H32-$H$23=2,1,0),if(I32-$I$23=2,1,0),if(J32-$J$23=2,1,0),if(K32-$K$23=2,1,0),if(L32-$L$23=2,1,0),if(M32-$M$23=2,1,0),if(N32-$N$23=2,1,0),if(O32-$O$23=2,1,0),if(P32-$P$23=2,1,0),if(Q32-$Q$23=2,1,0),if(R32-$R$23=2,1,0),if(S32-$S$23=2,1,0),if(T32-$T$23=2,1,0),if(U32-$U$23=2,1,0))</f>
        <v>1</v>
      </c>
      <c r="AF32" s="38">
        <f t="array" ref="AF32">sum(if(D32-$D$23=3,1,0),if(E32-$E$23=3,1,0),if(F32-$F$23=3,1,0),if(G32-$G$23=3,1,0),if(H32-$H$23=3,1,0),if(I32-$I$23=3,1,0),if(J32-$J$23=3,1,0),if(K32-$K$23=3,1,0),if(L32-$L$23=3,1,0),if(M32-$M$23=3,1,0),if(N32-$N$23=3,1,0),if(O32-$O$23=3,1,0),if(P32-$P$23=3,1,0),if(Q32-$Q$23=3,1,0),if(R32-$R$23=3,1,0),if(S32-$S$23=3,1,0),if(T32-$T$23=3,1,0),if(U32-$U$23=3,1,0))</f>
        <v>0</v>
      </c>
      <c r="AG32" s="38">
        <f t="array" ref="AG32">sum(if(D32-$D$23&gt;3,1,0),if(E32-$E$23&gt;3,1,0),if(F32-$F$23&gt;3,1,0),if(G32-$G$23&gt;3,1,0),if(H32-$H$23&gt;3,1,0),if(I32-$I$23&gt;3,1,0),if(J32-$J$23&gt;3,1,0),if(K32-$K$23&gt;3,1,0),if(L32-$L$23&gt;3,1,0),if(M32-$M$23&gt;3,1,0),if(N32-$N$23&gt;3,1,0),if(O32-$O$23&gt;3,1,0),if(P32-$P$23&gt;3,1,0),if(Q32-$Q$23&gt;3,1,0),if(R32-$R$23&gt;3,1,0),if(S32-$S$23&gt;3,1,0),if(T32-$T$23&gt;3,1,0),if(U32-$U$23&gt;3,1,0))</f>
        <v>1</v>
      </c>
      <c r="AH32" s="38">
        <f t="shared" si="10"/>
        <v>18</v>
      </c>
    </row>
    <row r="33" ht="12.75" customHeight="1">
      <c r="A33" s="32" t="str">
        <f>SETUP!A14</f>
        <v>Ray H</v>
      </c>
      <c r="B33" s="33">
        <f t="array" ref="B33">if(A33="","",index(SETUP!C:C,match(A33,SETUP!A:A,0)))</f>
        <v>23</v>
      </c>
      <c r="C33" s="17"/>
      <c r="D33" s="35">
        <f>if(Scorecards!D33="","",Scorecards!D33-IF(Scorecards!$B33&gt;0,FLOOR(Scorecards!$B33/18,1),0)-IF(AND(MOD(Scorecards!$B33,18)&gt;=Scorecards!D$22,Scorecards!$B33&gt;0),1,0)+IF(Scorecards!D$22-18&gt;Scorecards!$B33,1,0))</f>
        <v>5</v>
      </c>
      <c r="E33" s="35">
        <f>if(Scorecards!E33="","",Scorecards!E33-IF(Scorecards!$B33&gt;0,FLOOR(Scorecards!$B33/18,1),0)-IF(AND(MOD(Scorecards!$B33,18)&gt;=Scorecards!E$22,Scorecards!$B33&gt;0),1,0)+IF(Scorecards!E$22-18&gt;Scorecards!$B33,1,0))</f>
        <v>5</v>
      </c>
      <c r="F33" s="35">
        <f>if(Scorecards!F33="","",Scorecards!F33-IF(Scorecards!$B33&gt;0,FLOOR(Scorecards!$B33/18,1),0)-IF(AND(MOD(Scorecards!$B33,18)&gt;=Scorecards!F$22,Scorecards!$B33&gt;0),1,0)+IF(Scorecards!F$22-18&gt;Scorecards!$B33,1,0))</f>
        <v>3</v>
      </c>
      <c r="G33" s="35">
        <f>if(Scorecards!G33="","",Scorecards!G33-IF(Scorecards!$B33&gt;0,FLOOR(Scorecards!$B33/18,1),0)-IF(AND(MOD(Scorecards!$B33,18)&gt;=Scorecards!G$22,Scorecards!$B33&gt;0),1,0)+IF(Scorecards!G$22-18&gt;Scorecards!$B33,1,0))</f>
        <v>3</v>
      </c>
      <c r="H33" s="35">
        <f>if(Scorecards!H33="","",Scorecards!H33-IF(Scorecards!$B33&gt;0,FLOOR(Scorecards!$B33/18,1),0)-IF(AND(MOD(Scorecards!$B33,18)&gt;=Scorecards!H$22,Scorecards!$B33&gt;0),1,0)+IF(Scorecards!H$22-18&gt;Scorecards!$B33,1,0))</f>
        <v>4</v>
      </c>
      <c r="I33" s="35">
        <f>if(Scorecards!I33="","",Scorecards!I33-IF(Scorecards!$B33&gt;0,FLOOR(Scorecards!$B33/18,1),0)-IF(AND(MOD(Scorecards!$B33,18)&gt;=Scorecards!I$22,Scorecards!$B33&gt;0),1,0)+IF(Scorecards!I$22-18&gt;Scorecards!$B33,1,0))</f>
        <v>6</v>
      </c>
      <c r="J33" s="35">
        <f>if(Scorecards!J33="","",Scorecards!J33-IF(Scorecards!$B33&gt;0,FLOOR(Scorecards!$B33/18,1),0)-IF(AND(MOD(Scorecards!$B33,18)&gt;=Scorecards!J$22,Scorecards!$B33&gt;0),1,0)+IF(Scorecards!J$22-18&gt;Scorecards!$B33,1,0))</f>
        <v>4</v>
      </c>
      <c r="K33" s="35">
        <f>if(Scorecards!K33="","",Scorecards!K33-IF(Scorecards!$B33&gt;0,FLOOR(Scorecards!$B33/18,1),0)-IF(AND(MOD(Scorecards!$B33,18)&gt;=Scorecards!K$22,Scorecards!$B33&gt;0),1,0)+IF(Scorecards!K$22-18&gt;Scorecards!$B33,1,0))</f>
        <v>3</v>
      </c>
      <c r="L33" s="35">
        <f>if(Scorecards!L33="","",Scorecards!L33-IF(Scorecards!$B33&gt;0,FLOOR(Scorecards!$B33/18,1),0)-IF(AND(MOD(Scorecards!$B33,18)&gt;=Scorecards!L$22,Scorecards!$B33&gt;0),1,0)+IF(Scorecards!L$22-18&gt;Scorecards!$B33,1,0))</f>
        <v>9</v>
      </c>
      <c r="M33" s="35">
        <f>if(Scorecards!M33="","",Scorecards!M33-IF(Scorecards!$B33&gt;0,FLOOR(Scorecards!$B33/18,1),0)-IF(AND(MOD(Scorecards!$B33,18)&gt;=Scorecards!M$22,Scorecards!$B33&gt;0),1,0)+IF(Scorecards!M$22-18&gt;Scorecards!$B33,1,0))</f>
        <v>7</v>
      </c>
      <c r="N33" s="35">
        <f>if(Scorecards!N33="","",Scorecards!N33-IF(Scorecards!$B33&gt;0,FLOOR(Scorecards!$B33/18,1),0)-IF(AND(MOD(Scorecards!$B33,18)&gt;=Scorecards!N$22,Scorecards!$B33&gt;0),1,0)+IF(Scorecards!N$22-18&gt;Scorecards!$B33,1,0))</f>
        <v>3</v>
      </c>
      <c r="O33" s="35">
        <f>if(Scorecards!O33="","",Scorecards!O33-IF(Scorecards!$B33&gt;0,FLOOR(Scorecards!$B33/18,1),0)-IF(AND(MOD(Scorecards!$B33,18)&gt;=Scorecards!O$22,Scorecards!$B33&gt;0),1,0)+IF(Scorecards!O$22-18&gt;Scorecards!$B33,1,0))</f>
        <v>6</v>
      </c>
      <c r="P33" s="35">
        <f>if(Scorecards!P33="","",Scorecards!P33-IF(Scorecards!$B33&gt;0,FLOOR(Scorecards!$B33/18,1),0)-IF(AND(MOD(Scorecards!$B33,18)&gt;=Scorecards!P$22,Scorecards!$B33&gt;0),1,0)+IF(Scorecards!P$22-18&gt;Scorecards!$B33,1,0))</f>
        <v>6</v>
      </c>
      <c r="Q33" s="35">
        <f>if(Scorecards!Q33="","",Scorecards!Q33-IF(Scorecards!$B33&gt;0,FLOOR(Scorecards!$B33/18,1),0)-IF(AND(MOD(Scorecards!$B33,18)&gt;=Scorecards!Q$22,Scorecards!$B33&gt;0),1,0)+IF(Scorecards!Q$22-18&gt;Scorecards!$B33,1,0))</f>
        <v>3</v>
      </c>
      <c r="R33" s="35">
        <f>if(Scorecards!R33="","",Scorecards!R33-IF(Scorecards!$B33&gt;0,FLOOR(Scorecards!$B33/18,1),0)-IF(AND(MOD(Scorecards!$B33,18)&gt;=Scorecards!R$22,Scorecards!$B33&gt;0),1,0)+IF(Scorecards!R$22-18&gt;Scorecards!$B33,1,0))</f>
        <v>4</v>
      </c>
      <c r="S33" s="35">
        <f>if(Scorecards!S33="","",Scorecards!S33-IF(Scorecards!$B33&gt;0,FLOOR(Scorecards!$B33/18,1),0)-IF(AND(MOD(Scorecards!$B33,18)&gt;=Scorecards!S$22,Scorecards!$B33&gt;0),1,0)+IF(Scorecards!S$22-18&gt;Scorecards!$B33,1,0))</f>
        <v>7</v>
      </c>
      <c r="T33" s="35">
        <f>if(Scorecards!T33="","",Scorecards!T33-IF(Scorecards!$B33&gt;0,FLOOR(Scorecards!$B33/18,1),0)-IF(AND(MOD(Scorecards!$B33,18)&gt;=Scorecards!T$22,Scorecards!$B33&gt;0),1,0)+IF(Scorecards!T$22-18&gt;Scorecards!$B33,1,0))</f>
        <v>3</v>
      </c>
      <c r="U33" s="35">
        <f>if(Scorecards!U33="","",Scorecards!U33-IF(Scorecards!$B33&gt;0,FLOOR(Scorecards!$B33/18,1),0)-IF(AND(MOD(Scorecards!$B33,18)&gt;=Scorecards!U$22,Scorecards!$B33&gt;0),1,0)+IF(Scorecards!U$22-18&gt;Scorecards!$B33,1,0))</f>
        <v>7</v>
      </c>
      <c r="V33" s="51">
        <f t="shared" si="6"/>
        <v>42</v>
      </c>
      <c r="W33" s="51">
        <f t="shared" si="7"/>
        <v>46</v>
      </c>
      <c r="X33" s="36">
        <f t="shared" si="8"/>
        <v>88</v>
      </c>
      <c r="Y33" s="37">
        <f t="shared" si="9"/>
        <v>65</v>
      </c>
      <c r="Z33" s="38">
        <f t="array" ref="Z33">sum(if(D33-$D$23=-3,1,0),if(E33-$E$23=-3,1,0),if(F33-$F$23=-3,1,0),if(G33-$G$23=-3,1,0),if(H33-$H$23=-3,1,0),if(I33-$I$23=-3,1,0),if(J33-$J$23=-3,1,0),if(K33-$K$23=-3,1,0),if(L33-$L$23=-3,1,0),if(M33-$M$23=-3,1,0),if(N33-$N$23=-3,1,0),if(O33-$O$23=-3,1,0),if(P33-$P$23=-3,1,0),if(Q33-$Q$23=-3,1,0),if(R33-$R$23=-3,1,0),if(S33-$S$23=-3,1,0),if(T33-$T$23=-3,1,0),if(U33-$U$23=-3,1,0))</f>
        <v>0</v>
      </c>
      <c r="AA33" s="38">
        <f t="array" ref="AA33">sum(if(D33-$D$23=-2,1,0),if(E33-$E$23=-2,1,0),if(F33-$F$23=-2,1,0),if(G33-$G$23=-2,1,0),if(H33-$H$23=-2,1,0),if(I33-$I$23=-2,1,0),if(J33-$J$23=-2,1,0),if(K33-$K$23=-2,1,0),if(L33-$L$23=-2,1,0),if(M33-$M$23=-2,1,0),if(N33-$N$23=-2,1,0),if(O33-$O$23=-2,1,0),if(P33-$P$23=-2,1,0),if(Q33-$Q$23=-2,1,0),if(R33-$R$23=-2,1,0),if(S33-$S$23=-2,1,0),if(T33-$T$23=-2,1,0),if(U33-$U$23=-2,1,0))</f>
        <v>0</v>
      </c>
      <c r="AB33" s="38">
        <f t="array" ref="AB33">sum(if(D33-$D$23=-1,1,0),if(E33-$E$23=-1,1,0),if(F33-$F$23=-1,1,0),if(G33-$G$23=-1,1,0),if(H33-$H$23=-1,1,0),if(I33-$I$23=-1,1,0),if(J33-$J$23=-1,1,0),if(K33-$K$23=-1,1,0),if(L33-$L$23=-1,1,0),if(M33-$M$23=-1,1,0),if(N33-$N$23=-1,1,0),if(O33-$O$23=-1,1,0),if(P33-$P$23=-1,1,0),if(Q33-$Q$23=-1,1,0),if(R33-$R$23=-1,1,0),if(S33-$S$23=-1,1,0),if(T33-$T$23=-1,1,0),if(U33-$U$23=-1,1,0))</f>
        <v>2</v>
      </c>
      <c r="AC33" s="38">
        <f t="array" ref="AC33">sum(if(D33-$D$23=0,1,0),if(E33-$E$23=0,1,0),if(F33-$F$23=0,1,0),if(G33-$G$23=0,1,0),if(H33-$H$23=0,1,0),if(I33-$I$23=0,1,0),if(J33-$J$23=0,1,0),if(K33-$K$23=0,1,0),if(L33-$L$23=0,1,0),if(M33-$M$23=0,1,0),if(N33-$N$23=0,1,0),if(O33-$O$23=0,1,0),if(P33-$P$23=0,1,0),if(Q33-$Q$23=0,1,0),if(R33-$R$23=0,1,0),if(S33-$S$23=0,1,0),if(T33-$T$23=0,1,0),if(U33-$U$23=0,1,0))</f>
        <v>8</v>
      </c>
      <c r="AD33" s="38">
        <f t="array" ref="AD33">sum(if(D33-$D$23=1,1,0),if(E33-$E$23=1,1,0),if(F33-$F$23=1,1,0),if(G33-$G$23=1,1,0),if(H33-$H$23=1,1,0),if(I33-$I$23=1,1,0),if(J33-$J$23=1,1,0),if(K33-$K$23=1,1,0),if(L33-$L$23=1,1,0),if(M33-$M$23=1,1,0),if(N33-$N$23=1,1,0),if(O33-$O$23=1,1,0),if(P33-$P$23=1,1,0),if(Q33-$Q$23=1,1,0),if(R33-$R$23=1,1,0),if(S33-$S$23=1,1,0),if(T33-$T$23=1,1,0),if(U33-$U$23=1,1,0))</f>
        <v>3</v>
      </c>
      <c r="AE33" s="38">
        <f t="array" ref="AE33">sum(if(D33-$D$23=2,1,0),if(E33-$E$23=2,1,0),if(F33-$F$23=2,1,0),if(G33-$G$23=2,1,0),if(H33-$H$23=2,1,0),if(I33-$I$23=2,1,0),if(J33-$J$23=2,1,0),if(K33-$K$23=2,1,0),if(L33-$L$23=2,1,0),if(M33-$M$23=2,1,0),if(N33-$N$23=2,1,0),if(O33-$O$23=2,1,0),if(P33-$P$23=2,1,0),if(Q33-$Q$23=2,1,0),if(R33-$R$23=2,1,0),if(S33-$S$23=2,1,0),if(T33-$T$23=2,1,0),if(U33-$U$23=2,1,0))</f>
        <v>2</v>
      </c>
      <c r="AF33" s="38">
        <f t="array" ref="AF33">sum(if(D33-$D$23=3,1,0),if(E33-$E$23=3,1,0),if(F33-$F$23=3,1,0),if(G33-$G$23=3,1,0),if(H33-$H$23=3,1,0),if(I33-$I$23=3,1,0),if(J33-$J$23=3,1,0),if(K33-$K$23=3,1,0),if(L33-$L$23=3,1,0),if(M33-$M$23=3,1,0),if(N33-$N$23=3,1,0),if(O33-$O$23=3,1,0),if(P33-$P$23=3,1,0),if(Q33-$Q$23=3,1,0),if(R33-$R$23=3,1,0),if(S33-$S$23=3,1,0),if(T33-$T$23=3,1,0),if(U33-$U$23=3,1,0))</f>
        <v>2</v>
      </c>
      <c r="AG33" s="38">
        <f t="array" ref="AG33">sum(if(D33-$D$23&gt;3,1,0),if(E33-$E$23&gt;3,1,0),if(F33-$F$23&gt;3,1,0),if(G33-$G$23&gt;3,1,0),if(H33-$H$23&gt;3,1,0),if(I33-$I$23&gt;3,1,0),if(J33-$J$23&gt;3,1,0),if(K33-$K$23&gt;3,1,0),if(L33-$L$23&gt;3,1,0),if(M33-$M$23&gt;3,1,0),if(N33-$N$23&gt;3,1,0),if(O33-$O$23&gt;3,1,0),if(P33-$P$23&gt;3,1,0),if(Q33-$Q$23&gt;3,1,0),if(R33-$R$23&gt;3,1,0),if(S33-$S$23&gt;3,1,0),if(T33-$T$23&gt;3,1,0),if(U33-$U$23&gt;3,1,0))</f>
        <v>1</v>
      </c>
      <c r="AH33" s="38">
        <f t="shared" si="10"/>
        <v>18</v>
      </c>
    </row>
    <row r="34" ht="12.75" customHeight="1">
      <c r="A34" s="32" t="str">
        <f>SETUP!A15</f>
        <v>Russ W</v>
      </c>
      <c r="B34" s="33">
        <f t="array" ref="B34">if(A34="","",index(SETUP!C:C,match(A34,SETUP!A:A,0)))</f>
        <v>17</v>
      </c>
      <c r="C34" s="50"/>
      <c r="D34" s="35">
        <f>if(Scorecards!D34="","",Scorecards!D34-IF(Scorecards!$B34&gt;0,FLOOR(Scorecards!$B34/18,1),0)-IF(AND(MOD(Scorecards!$B34,18)&gt;=Scorecards!D$22,Scorecards!$B34&gt;0),1,0)+IF(Scorecards!D$22-18&gt;Scorecards!$B34,1,0))</f>
        <v>4</v>
      </c>
      <c r="E34" s="35">
        <f>if(Scorecards!E34="","",Scorecards!E34-IF(Scorecards!$B34&gt;0,FLOOR(Scorecards!$B34/18,1),0)-IF(AND(MOD(Scorecards!$B34,18)&gt;=Scorecards!E$22,Scorecards!$B34&gt;0),1,0)+IF(Scorecards!E$22-18&gt;Scorecards!$B34,1,0))</f>
        <v>5</v>
      </c>
      <c r="F34" s="35">
        <f>if(Scorecards!F34="","",Scorecards!F34-IF(Scorecards!$B34&gt;0,FLOOR(Scorecards!$B34/18,1),0)-IF(AND(MOD(Scorecards!$B34,18)&gt;=Scorecards!F$22,Scorecards!$B34&gt;0),1,0)+IF(Scorecards!F$22-18&gt;Scorecards!$B34,1,0))</f>
        <v>3</v>
      </c>
      <c r="G34" s="35">
        <f>if(Scorecards!G34="","",Scorecards!G34-IF(Scorecards!$B34&gt;0,FLOOR(Scorecards!$B34/18,1),0)-IF(AND(MOD(Scorecards!$B34,18)&gt;=Scorecards!G$22,Scorecards!$B34&gt;0),1,0)+IF(Scorecards!G$22-18&gt;Scorecards!$B34,1,0))</f>
        <v>2</v>
      </c>
      <c r="H34" s="35">
        <f>if(Scorecards!H34="","",Scorecards!H34-IF(Scorecards!$B34&gt;0,FLOOR(Scorecards!$B34/18,1),0)-IF(AND(MOD(Scorecards!$B34,18)&gt;=Scorecards!H$22,Scorecards!$B34&gt;0),1,0)+IF(Scorecards!H$22-18&gt;Scorecards!$B34,1,0))</f>
        <v>4</v>
      </c>
      <c r="I34" s="35">
        <f>if(Scorecards!I34="","",Scorecards!I34-IF(Scorecards!$B34&gt;0,FLOOR(Scorecards!$B34/18,1),0)-IF(AND(MOD(Scorecards!$B34,18)&gt;=Scorecards!I$22,Scorecards!$B34&gt;0),1,0)+IF(Scorecards!I$22-18&gt;Scorecards!$B34,1,0))</f>
        <v>5</v>
      </c>
      <c r="J34" s="35">
        <f>if(Scorecards!J34="","",Scorecards!J34-IF(Scorecards!$B34&gt;0,FLOOR(Scorecards!$B34/18,1),0)-IF(AND(MOD(Scorecards!$B34,18)&gt;=Scorecards!J$22,Scorecards!$B34&gt;0),1,0)+IF(Scorecards!J$22-18&gt;Scorecards!$B34,1,0))</f>
        <v>3</v>
      </c>
      <c r="K34" s="35">
        <f>if(Scorecards!K34="","",Scorecards!K34-IF(Scorecards!$B34&gt;0,FLOOR(Scorecards!$B34/18,1),0)-IF(AND(MOD(Scorecards!$B34,18)&gt;=Scorecards!K$22,Scorecards!$B34&gt;0),1,0)+IF(Scorecards!K$22-18&gt;Scorecards!$B34,1,0))</f>
        <v>3</v>
      </c>
      <c r="L34" s="35">
        <f>if(Scorecards!L34="","",Scorecards!L34-IF(Scorecards!$B34&gt;0,FLOOR(Scorecards!$B34/18,1),0)-IF(AND(MOD(Scorecards!$B34,18)&gt;=Scorecards!L$22,Scorecards!$B34&gt;0),1,0)+IF(Scorecards!L$22-18&gt;Scorecards!$B34,1,0))</f>
        <v>4</v>
      </c>
      <c r="M34" s="35">
        <f>if(Scorecards!M34="","",Scorecards!M34-IF(Scorecards!$B34&gt;0,FLOOR(Scorecards!$B34/18,1),0)-IF(AND(MOD(Scorecards!$B34,18)&gt;=Scorecards!M$22,Scorecards!$B34&gt;0),1,0)+IF(Scorecards!M$22-18&gt;Scorecards!$B34,1,0))</f>
        <v>4</v>
      </c>
      <c r="N34" s="35">
        <f>if(Scorecards!N34="","",Scorecards!N34-IF(Scorecards!$B34&gt;0,FLOOR(Scorecards!$B34/18,1),0)-IF(AND(MOD(Scorecards!$B34,18)&gt;=Scorecards!N$22,Scorecards!$B34&gt;0),1,0)+IF(Scorecards!N$22-18&gt;Scorecards!$B34,1,0))</f>
        <v>6</v>
      </c>
      <c r="O34" s="35">
        <f>if(Scorecards!O34="","",Scorecards!O34-IF(Scorecards!$B34&gt;0,FLOOR(Scorecards!$B34/18,1),0)-IF(AND(MOD(Scorecards!$B34,18)&gt;=Scorecards!O$22,Scorecards!$B34&gt;0),1,0)+IF(Scorecards!O$22-18&gt;Scorecards!$B34,1,0))</f>
        <v>4</v>
      </c>
      <c r="P34" s="35">
        <f>if(Scorecards!P34="","",Scorecards!P34-IF(Scorecards!$B34&gt;0,FLOOR(Scorecards!$B34/18,1),0)-IF(AND(MOD(Scorecards!$B34,18)&gt;=Scorecards!P$22,Scorecards!$B34&gt;0),1,0)+IF(Scorecards!P$22-18&gt;Scorecards!$B34,1,0))</f>
        <v>5</v>
      </c>
      <c r="Q34" s="35">
        <f>if(Scorecards!Q34="","",Scorecards!Q34-IF(Scorecards!$B34&gt;0,FLOOR(Scorecards!$B34/18,1),0)-IF(AND(MOD(Scorecards!$B34,18)&gt;=Scorecards!Q$22,Scorecards!$B34&gt;0),1,0)+IF(Scorecards!Q$22-18&gt;Scorecards!$B34,1,0))</f>
        <v>6</v>
      </c>
      <c r="R34" s="35">
        <f>if(Scorecards!R34="","",Scorecards!R34-IF(Scorecards!$B34&gt;0,FLOOR(Scorecards!$B34/18,1),0)-IF(AND(MOD(Scorecards!$B34,18)&gt;=Scorecards!R$22,Scorecards!$B34&gt;0),1,0)+IF(Scorecards!R$22-18&gt;Scorecards!$B34,1,0))</f>
        <v>5</v>
      </c>
      <c r="S34" s="35">
        <f>if(Scorecards!S34="","",Scorecards!S34-IF(Scorecards!$B34&gt;0,FLOOR(Scorecards!$B34/18,1),0)-IF(AND(MOD(Scorecards!$B34,18)&gt;=Scorecards!S$22,Scorecards!$B34&gt;0),1,0)+IF(Scorecards!S$22-18&gt;Scorecards!$B34,1,0))</f>
        <v>6</v>
      </c>
      <c r="T34" s="35">
        <f>if(Scorecards!T34="","",Scorecards!T34-IF(Scorecards!$B34&gt;0,FLOOR(Scorecards!$B34/18,1),0)-IF(AND(MOD(Scorecards!$B34,18)&gt;=Scorecards!T$22,Scorecards!$B34&gt;0),1,0)+IF(Scorecards!T$22-18&gt;Scorecards!$B34,1,0))</f>
        <v>6</v>
      </c>
      <c r="U34" s="35">
        <f>if(Scorecards!U34="","",Scorecards!U34-IF(Scorecards!$B34&gt;0,FLOOR(Scorecards!$B34/18,1),0)-IF(AND(MOD(Scorecards!$B34,18)&gt;=Scorecards!U$22,Scorecards!$B34&gt;0),1,0)+IF(Scorecards!U$22-18&gt;Scorecards!$B34,1,0))</f>
        <v>5</v>
      </c>
      <c r="V34" s="51">
        <f t="shared" si="6"/>
        <v>33</v>
      </c>
      <c r="W34" s="51">
        <f t="shared" si="7"/>
        <v>47</v>
      </c>
      <c r="X34" s="36">
        <f t="shared" si="8"/>
        <v>80</v>
      </c>
      <c r="Y34" s="37">
        <f t="shared" si="9"/>
        <v>63</v>
      </c>
      <c r="Z34" s="38">
        <f t="array" ref="Z34">sum(if(D34-$D$23=-3,1,0),if(E34-$E$23=-3,1,0),if(F34-$F$23=-3,1,0),if(G34-$G$23=-3,1,0),if(H34-$H$23=-3,1,0),if(I34-$I$23=-3,1,0),if(J34-$J$23=-3,1,0),if(K34-$K$23=-3,1,0),if(L34-$L$23=-3,1,0),if(M34-$M$23=-3,1,0),if(N34-$N$23=-3,1,0),if(O34-$O$23=-3,1,0),if(P34-$P$23=-3,1,0),if(Q34-$Q$23=-3,1,0),if(R34-$R$23=-3,1,0),if(S34-$S$23=-3,1,0),if(T34-$T$23=-3,1,0),if(U34-$U$23=-3,1,0))</f>
        <v>0</v>
      </c>
      <c r="AA34" s="38">
        <f t="array" ref="AA34">sum(if(D34-$D$23=-2,1,0),if(E34-$E$23=-2,1,0),if(F34-$F$23=-2,1,0),if(G34-$G$23=-2,1,0),if(H34-$H$23=-2,1,0),if(I34-$I$23=-2,1,0),if(J34-$J$23=-2,1,0),if(K34-$K$23=-2,1,0),if(L34-$L$23=-2,1,0),if(M34-$M$23=-2,1,0),if(N34-$N$23=-2,1,0),if(O34-$O$23=-2,1,0),if(P34-$P$23=-2,1,0),if(Q34-$Q$23=-2,1,0),if(R34-$R$23=-2,1,0),if(S34-$S$23=-2,1,0),if(T34-$T$23=-2,1,0),if(U34-$U$23=-2,1,0))</f>
        <v>0</v>
      </c>
      <c r="AB34" s="38">
        <f t="array" ref="AB34">sum(if(D34-$D$23=-1,1,0),if(E34-$E$23=-1,1,0),if(F34-$F$23=-1,1,0),if(G34-$G$23=-1,1,0),if(H34-$H$23=-1,1,0),if(I34-$I$23=-1,1,0),if(J34-$J$23=-1,1,0),if(K34-$K$23=-1,1,0),if(L34-$L$23=-1,1,0),if(M34-$M$23=-1,1,0),if(N34-$N$23=-1,1,0),if(O34-$O$23=-1,1,0),if(P34-$P$23=-1,1,0),if(Q34-$Q$23=-1,1,0),if(R34-$R$23=-1,1,0),if(S34-$S$23=-1,1,0),if(T34-$T$23=-1,1,0),if(U34-$U$23=-1,1,0))</f>
        <v>4</v>
      </c>
      <c r="AC34" s="38">
        <f t="array" ref="AC34">sum(if(D34-$D$23=0,1,0),if(E34-$E$23=0,1,0),if(F34-$F$23=0,1,0),if(G34-$G$23=0,1,0),if(H34-$H$23=0,1,0),if(I34-$I$23=0,1,0),if(J34-$J$23=0,1,0),if(K34-$K$23=0,1,0),if(L34-$L$23=0,1,0),if(M34-$M$23=0,1,0),if(N34-$N$23=0,1,0),if(O34-$O$23=0,1,0),if(P34-$P$23=0,1,0),if(Q34-$Q$23=0,1,0),if(R34-$R$23=0,1,0),if(S34-$S$23=0,1,0),if(T34-$T$23=0,1,0),if(U34-$U$23=0,1,0))</f>
        <v>7</v>
      </c>
      <c r="AD34" s="38">
        <f t="array" ref="AD34">sum(if(D34-$D$23=1,1,0),if(E34-$E$23=1,1,0),if(F34-$F$23=1,1,0),if(G34-$G$23=1,1,0),if(H34-$H$23=1,1,0),if(I34-$I$23=1,1,0),if(J34-$J$23=1,1,0),if(K34-$K$23=1,1,0),if(L34-$L$23=1,1,0),if(M34-$M$23=1,1,0),if(N34-$N$23=1,1,0),if(O34-$O$23=1,1,0),if(P34-$P$23=1,1,0),if(Q34-$Q$23=1,1,0),if(R34-$R$23=1,1,0),if(S34-$S$23=1,1,0),if(T34-$T$23=1,1,0),if(U34-$U$23=1,1,0))</f>
        <v>4</v>
      </c>
      <c r="AE34" s="38">
        <f t="array" ref="AE34">sum(if(D34-$D$23=2,1,0),if(E34-$E$23=2,1,0),if(F34-$F$23=2,1,0),if(G34-$G$23=2,1,0),if(H34-$H$23=2,1,0),if(I34-$I$23=2,1,0),if(J34-$J$23=2,1,0),if(K34-$K$23=2,1,0),if(L34-$L$23=2,1,0),if(M34-$M$23=2,1,0),if(N34-$N$23=2,1,0),if(O34-$O$23=2,1,0),if(P34-$P$23=2,1,0),if(Q34-$Q$23=2,1,0),if(R34-$R$23=2,1,0),if(S34-$S$23=2,1,0),if(T34-$T$23=2,1,0),if(U34-$U$23=2,1,0))</f>
        <v>1</v>
      </c>
      <c r="AF34" s="38">
        <f t="array" ref="AF34">sum(if(D34-$D$23=3,1,0),if(E34-$E$23=3,1,0),if(F34-$F$23=3,1,0),if(G34-$G$23=3,1,0),if(H34-$H$23=3,1,0),if(I34-$I$23=3,1,0),if(J34-$J$23=3,1,0),if(K34-$K$23=3,1,0),if(L34-$L$23=3,1,0),if(M34-$M$23=3,1,0),if(N34-$N$23=3,1,0),if(O34-$O$23=3,1,0),if(P34-$P$23=3,1,0),if(Q34-$Q$23=3,1,0),if(R34-$R$23=3,1,0),if(S34-$S$23=3,1,0),if(T34-$T$23=3,1,0),if(U34-$U$23=3,1,0))</f>
        <v>2</v>
      </c>
      <c r="AG34" s="38">
        <f t="array" ref="AG34">sum(if(D34-$D$23&gt;3,1,0),if(E34-$E$23&gt;3,1,0),if(F34-$F$23&gt;3,1,0),if(G34-$G$23&gt;3,1,0),if(H34-$H$23&gt;3,1,0),if(I34-$I$23&gt;3,1,0),if(J34-$J$23&gt;3,1,0),if(K34-$K$23&gt;3,1,0),if(L34-$L$23&gt;3,1,0),if(M34-$M$23&gt;3,1,0),if(N34-$N$23&gt;3,1,0),if(O34-$O$23&gt;3,1,0),if(P34-$P$23&gt;3,1,0),if(Q34-$Q$23&gt;3,1,0),if(R34-$R$23&gt;3,1,0),if(S34-$S$23&gt;3,1,0),if(T34-$T$23&gt;3,1,0),if(U34-$U$23&gt;3,1,0))</f>
        <v>0</v>
      </c>
      <c r="AH34" s="38">
        <f t="shared" si="10"/>
        <v>18</v>
      </c>
    </row>
    <row r="35" ht="12.75" customHeight="1">
      <c r="A35" s="32" t="str">
        <f>SETUP!A16</f>
        <v>Scott R</v>
      </c>
      <c r="B35" s="33">
        <f t="array" ref="B35">if(A35="","",index(SETUP!C:C,match(A35,SETUP!A:A,0)))</f>
        <v>10</v>
      </c>
      <c r="C35" s="50"/>
      <c r="D35" s="35">
        <f>if(Scorecards!D35="","",Scorecards!D35-IF(Scorecards!$B35&gt;0,FLOOR(Scorecards!$B35/18,1),0)-IF(AND(MOD(Scorecards!$B35,18)&gt;=Scorecards!D$22,Scorecards!$B35&gt;0),1,0)+IF(Scorecards!D$22-18&gt;Scorecards!$B35,1,0))</f>
        <v>3</v>
      </c>
      <c r="E35" s="35">
        <f>if(Scorecards!E35="","",Scorecards!E35-IF(Scorecards!$B35&gt;0,FLOOR(Scorecards!$B35/18,1),0)-IF(AND(MOD(Scorecards!$B35,18)&gt;=Scorecards!E$22,Scorecards!$B35&gt;0),1,0)+IF(Scorecards!E$22-18&gt;Scorecards!$B35,1,0))</f>
        <v>7</v>
      </c>
      <c r="F35" s="35">
        <f>if(Scorecards!F35="","",Scorecards!F35-IF(Scorecards!$B35&gt;0,FLOOR(Scorecards!$B35/18,1),0)-IF(AND(MOD(Scorecards!$B35,18)&gt;=Scorecards!F$22,Scorecards!$B35&gt;0),1,0)+IF(Scorecards!F$22-18&gt;Scorecards!$B35,1,0))</f>
        <v>3</v>
      </c>
      <c r="G35" s="35">
        <f>if(Scorecards!G35="","",Scorecards!G35-IF(Scorecards!$B35&gt;0,FLOOR(Scorecards!$B35/18,1),0)-IF(AND(MOD(Scorecards!$B35,18)&gt;=Scorecards!G$22,Scorecards!$B35&gt;0),1,0)+IF(Scorecards!G$22-18&gt;Scorecards!$B35,1,0))</f>
        <v>2</v>
      </c>
      <c r="H35" s="35">
        <f>if(Scorecards!H35="","",Scorecards!H35-IF(Scorecards!$B35&gt;0,FLOOR(Scorecards!$B35/18,1),0)-IF(AND(MOD(Scorecards!$B35,18)&gt;=Scorecards!H$22,Scorecards!$B35&gt;0),1,0)+IF(Scorecards!H$22-18&gt;Scorecards!$B35,1,0))</f>
        <v>4</v>
      </c>
      <c r="I35" s="35">
        <f>if(Scorecards!I35="","",Scorecards!I35-IF(Scorecards!$B35&gt;0,FLOOR(Scorecards!$B35/18,1),0)-IF(AND(MOD(Scorecards!$B35,18)&gt;=Scorecards!I$22,Scorecards!$B35&gt;0),1,0)+IF(Scorecards!I$22-18&gt;Scorecards!$B35,1,0))</f>
        <v>4</v>
      </c>
      <c r="J35" s="35">
        <f>if(Scorecards!J35="","",Scorecards!J35-IF(Scorecards!$B35&gt;0,FLOOR(Scorecards!$B35/18,1),0)-IF(AND(MOD(Scorecards!$B35,18)&gt;=Scorecards!J$22,Scorecards!$B35&gt;0),1,0)+IF(Scorecards!J$22-18&gt;Scorecards!$B35,1,0))</f>
        <v>3</v>
      </c>
      <c r="K35" s="35">
        <f>if(Scorecards!K35="","",Scorecards!K35-IF(Scorecards!$B35&gt;0,FLOOR(Scorecards!$B35/18,1),0)-IF(AND(MOD(Scorecards!$B35,18)&gt;=Scorecards!K$22,Scorecards!$B35&gt;0),1,0)+IF(Scorecards!K$22-18&gt;Scorecards!$B35,1,0))</f>
        <v>3</v>
      </c>
      <c r="L35" s="35">
        <f>if(Scorecards!L35="","",Scorecards!L35-IF(Scorecards!$B35&gt;0,FLOOR(Scorecards!$B35/18,1),0)-IF(AND(MOD(Scorecards!$B35,18)&gt;=Scorecards!L$22,Scorecards!$B35&gt;0),1,0)+IF(Scorecards!L$22-18&gt;Scorecards!$B35,1,0))</f>
        <v>6</v>
      </c>
      <c r="M35" s="35">
        <f>if(Scorecards!M35="","",Scorecards!M35-IF(Scorecards!$B35&gt;0,FLOOR(Scorecards!$B35/18,1),0)-IF(AND(MOD(Scorecards!$B35,18)&gt;=Scorecards!M$22,Scorecards!$B35&gt;0),1,0)+IF(Scorecards!M$22-18&gt;Scorecards!$B35,1,0))</f>
        <v>3</v>
      </c>
      <c r="N35" s="35">
        <f>if(Scorecards!N35="","",Scorecards!N35-IF(Scorecards!$B35&gt;0,FLOOR(Scorecards!$B35/18,1),0)-IF(AND(MOD(Scorecards!$B35,18)&gt;=Scorecards!N$22,Scorecards!$B35&gt;0),1,0)+IF(Scorecards!N$22-18&gt;Scorecards!$B35,1,0))</f>
        <v>3</v>
      </c>
      <c r="O35" s="35">
        <f>if(Scorecards!O35="","",Scorecards!O35-IF(Scorecards!$B35&gt;0,FLOOR(Scorecards!$B35/18,1),0)-IF(AND(MOD(Scorecards!$B35,18)&gt;=Scorecards!O$22,Scorecards!$B35&gt;0),1,0)+IF(Scorecards!O$22-18&gt;Scorecards!$B35,1,0))</f>
        <v>5</v>
      </c>
      <c r="P35" s="35">
        <f>if(Scorecards!P35="","",Scorecards!P35-IF(Scorecards!$B35&gt;0,FLOOR(Scorecards!$B35/18,1),0)-IF(AND(MOD(Scorecards!$B35,18)&gt;=Scorecards!P$22,Scorecards!$B35&gt;0),1,0)+IF(Scorecards!P$22-18&gt;Scorecards!$B35,1,0))</f>
        <v>3</v>
      </c>
      <c r="Q35" s="35">
        <f>if(Scorecards!Q35="","",Scorecards!Q35-IF(Scorecards!$B35&gt;0,FLOOR(Scorecards!$B35/18,1),0)-IF(AND(MOD(Scorecards!$B35,18)&gt;=Scorecards!Q$22,Scorecards!$B35&gt;0),1,0)+IF(Scorecards!Q$22-18&gt;Scorecards!$B35,1,0))</f>
        <v>4</v>
      </c>
      <c r="R35" s="35">
        <f>if(Scorecards!R35="","",Scorecards!R35-IF(Scorecards!$B35&gt;0,FLOOR(Scorecards!$B35/18,1),0)-IF(AND(MOD(Scorecards!$B35,18)&gt;=Scorecards!R$22,Scorecards!$B35&gt;0),1,0)+IF(Scorecards!R$22-18&gt;Scorecards!$B35,1,0))</f>
        <v>3</v>
      </c>
      <c r="S35" s="35">
        <f>if(Scorecards!S35="","",Scorecards!S35-IF(Scorecards!$B35&gt;0,FLOOR(Scorecards!$B35/18,1),0)-IF(AND(MOD(Scorecards!$B35,18)&gt;=Scorecards!S$22,Scorecards!$B35&gt;0),1,0)+IF(Scorecards!S$22-18&gt;Scorecards!$B35,1,0))</f>
        <v>5</v>
      </c>
      <c r="T35" s="35">
        <f>if(Scorecards!T35="","",Scorecards!T35-IF(Scorecards!$B35&gt;0,FLOOR(Scorecards!$B35/18,1),0)-IF(AND(MOD(Scorecards!$B35,18)&gt;=Scorecards!T$22,Scorecards!$B35&gt;0),1,0)+IF(Scorecards!T$22-18&gt;Scorecards!$B35,1,0))</f>
        <v>4</v>
      </c>
      <c r="U35" s="35">
        <f>if(Scorecards!U35="","",Scorecards!U35-IF(Scorecards!$B35&gt;0,FLOOR(Scorecards!$B35/18,1),0)-IF(AND(MOD(Scorecards!$B35,18)&gt;=Scorecards!U$22,Scorecards!$B35&gt;0),1,0)+IF(Scorecards!U$22-18&gt;Scorecards!$B35,1,0))</f>
        <v>6</v>
      </c>
      <c r="V35" s="51">
        <f t="shared" si="6"/>
        <v>35</v>
      </c>
      <c r="W35" s="51">
        <f t="shared" si="7"/>
        <v>36</v>
      </c>
      <c r="X35" s="36">
        <f t="shared" si="8"/>
        <v>71</v>
      </c>
      <c r="Y35" s="37">
        <f t="shared" si="9"/>
        <v>61</v>
      </c>
      <c r="Z35" s="38">
        <f t="array" ref="Z35">sum(if(D35-$D$23=-3,1,0),if(E35-$E$23=-3,1,0),if(F35-$F$23=-3,1,0),if(G35-$G$23=-3,1,0),if(H35-$H$23=-3,1,0),if(I35-$I$23=-3,1,0),if(J35-$J$23=-3,1,0),if(K35-$K$23=-3,1,0),if(L35-$L$23=-3,1,0),if(M35-$M$23=-3,1,0),if(N35-$N$23=-3,1,0),if(O35-$O$23=-3,1,0),if(P35-$P$23=-3,1,0),if(Q35-$Q$23=-3,1,0),if(R35-$R$23=-3,1,0),if(S35-$S$23=-3,1,0),if(T35-$T$23=-3,1,0),if(U35-$U$23=-3,1,0))</f>
        <v>0</v>
      </c>
      <c r="AA35" s="38">
        <f t="array" ref="AA35">sum(if(D35-$D$23=-2,1,0),if(E35-$E$23=-2,1,0),if(F35-$F$23=-2,1,0),if(G35-$G$23=-2,1,0),if(H35-$H$23=-2,1,0),if(I35-$I$23=-2,1,0),if(J35-$J$23=-2,1,0),if(K35-$K$23=-2,1,0),if(L35-$L$23=-2,1,0),if(M35-$M$23=-2,1,0),if(N35-$N$23=-2,1,0),if(O35-$O$23=-2,1,0),if(P35-$P$23=-2,1,0),if(Q35-$Q$23=-2,1,0),if(R35-$R$23=-2,1,0),if(S35-$S$23=-2,1,0),if(T35-$T$23=-2,1,0),if(U35-$U$23=-2,1,0))</f>
        <v>0</v>
      </c>
      <c r="AB35" s="38">
        <f t="array" ref="AB35">sum(if(D35-$D$23=-1,1,0),if(E35-$E$23=-1,1,0),if(F35-$F$23=-1,1,0),if(G35-$G$23=-1,1,0),if(H35-$H$23=-1,1,0),if(I35-$I$23=-1,1,0),if(J35-$J$23=-1,1,0),if(K35-$K$23=-1,1,0),if(L35-$L$23=-1,1,0),if(M35-$M$23=-1,1,0),if(N35-$N$23=-1,1,0),if(O35-$O$23=-1,1,0),if(P35-$P$23=-1,1,0),if(Q35-$Q$23=-1,1,0),if(R35-$R$23=-1,1,0),if(S35-$S$23=-1,1,0),if(T35-$T$23=-1,1,0),if(U35-$U$23=-1,1,0))</f>
        <v>8</v>
      </c>
      <c r="AC35" s="38">
        <f t="array" ref="AC35">sum(if(D35-$D$23=0,1,0),if(E35-$E$23=0,1,0),if(F35-$F$23=0,1,0),if(G35-$G$23=0,1,0),if(H35-$H$23=0,1,0),if(I35-$I$23=0,1,0),if(J35-$J$23=0,1,0),if(K35-$K$23=0,1,0),if(L35-$L$23=0,1,0),if(M35-$M$23=0,1,0),if(N35-$N$23=0,1,0),if(O35-$O$23=0,1,0),if(P35-$P$23=0,1,0),if(Q35-$Q$23=0,1,0),if(R35-$R$23=0,1,0),if(S35-$S$23=0,1,0),if(T35-$T$23=0,1,0),if(U35-$U$23=0,1,0))</f>
        <v>6</v>
      </c>
      <c r="AD35" s="38">
        <f t="array" ref="AD35">sum(if(D35-$D$23=1,1,0),if(E35-$E$23=1,1,0),if(F35-$F$23=1,1,0),if(G35-$G$23=1,1,0),if(H35-$H$23=1,1,0),if(I35-$I$23=1,1,0),if(J35-$J$23=1,1,0),if(K35-$K$23=1,1,0),if(L35-$L$23=1,1,0),if(M35-$M$23=1,1,0),if(N35-$N$23=1,1,0),if(O35-$O$23=1,1,0),if(P35-$P$23=1,1,0),if(Q35-$Q$23=1,1,0),if(R35-$R$23=1,1,0),if(S35-$S$23=1,1,0),if(T35-$T$23=1,1,0),if(U35-$U$23=1,1,0))</f>
        <v>1</v>
      </c>
      <c r="AE35" s="38">
        <f t="array" ref="AE35">sum(if(D35-$D$23=2,1,0),if(E35-$E$23=2,1,0),if(F35-$F$23=2,1,0),if(G35-$G$23=2,1,0),if(H35-$H$23=2,1,0),if(I35-$I$23=2,1,0),if(J35-$J$23=2,1,0),if(K35-$K$23=2,1,0),if(L35-$L$23=2,1,0),if(M35-$M$23=2,1,0),if(N35-$N$23=2,1,0),if(O35-$O$23=2,1,0),if(P35-$P$23=2,1,0),if(Q35-$Q$23=2,1,0),if(R35-$R$23=2,1,0),if(S35-$S$23=2,1,0),if(T35-$T$23=2,1,0),if(U35-$U$23=2,1,0))</f>
        <v>3</v>
      </c>
      <c r="AF35" s="38">
        <f t="array" ref="AF35">sum(if(D35-$D$23=3,1,0),if(E35-$E$23=3,1,0),if(F35-$F$23=3,1,0),if(G35-$G$23=3,1,0),if(H35-$H$23=3,1,0),if(I35-$I$23=3,1,0),if(J35-$J$23=3,1,0),if(K35-$K$23=3,1,0),if(L35-$L$23=3,1,0),if(M35-$M$23=3,1,0),if(N35-$N$23=3,1,0),if(O35-$O$23=3,1,0),if(P35-$P$23=3,1,0),if(Q35-$Q$23=3,1,0),if(R35-$R$23=3,1,0),if(S35-$S$23=3,1,0),if(T35-$T$23=3,1,0),if(U35-$U$23=3,1,0))</f>
        <v>0</v>
      </c>
      <c r="AG35" s="38">
        <f t="array" ref="AG35">sum(if(D35-$D$23&gt;3,1,0),if(E35-$E$23&gt;3,1,0),if(F35-$F$23&gt;3,1,0),if(G35-$G$23&gt;3,1,0),if(H35-$H$23&gt;3,1,0),if(I35-$I$23&gt;3,1,0),if(J35-$J$23&gt;3,1,0),if(K35-$K$23&gt;3,1,0),if(L35-$L$23&gt;3,1,0),if(M35-$M$23&gt;3,1,0),if(N35-$N$23&gt;3,1,0),if(O35-$O$23&gt;3,1,0),if(P35-$P$23&gt;3,1,0),if(Q35-$Q$23&gt;3,1,0),if(R35-$R$23&gt;3,1,0),if(S35-$S$23&gt;3,1,0),if(T35-$T$23&gt;3,1,0),if(U35-$U$23&gt;3,1,0))</f>
        <v>0</v>
      </c>
      <c r="AH35" s="38">
        <f t="shared" si="10"/>
        <v>18</v>
      </c>
    </row>
    <row r="36" ht="12.75" customHeight="1">
      <c r="A36" s="10"/>
      <c r="B36" s="11"/>
      <c r="C36" s="41" t="s">
        <v>19</v>
      </c>
      <c r="D36" s="42" t="str">
        <f t="array" ref="D36">IF(SUM(IF(IF('Betting SETUP'!$D$5:$D$16="Y", D24:D35, 10)=MIN(IF('Betting SETUP'!$D$5:$D$16="Y", D24:D35, 10)), 1, 0)) &gt; 1, "", INDEX('Betting SETUP'!$A$5:$A$16,MATCH(MIN(IF('Betting SETUP'!$D$5:$D$16="Y",D24:D35,10)),IF('Betting SETUP'!$D$5:$D$16="Y",D24:D35,10),0)))</f>
        <v/>
      </c>
      <c r="E36" s="42" t="str">
        <f t="array" ref="E36">IF(SUM(IF(IF('Betting SETUP'!$D$5:$D$16="Y", E24:E35, 10)=MIN(IF('Betting SETUP'!$D$5:$D$16="Y", E24:E35, 10)), 1, 0)) &gt; 1, "", INDEX('Betting SETUP'!$A$5:$A$16,MATCH(MIN(IF('Betting SETUP'!$D$5:$D$16="Y",E24:E35,10)),IF('Betting SETUP'!$D$5:$D$16="Y",E24:E35,10),0)))</f>
        <v/>
      </c>
      <c r="F36" s="42" t="str">
        <f t="array" ref="F36">IF(SUM(IF(IF('Betting SETUP'!$D$5:$D$16="Y", F24:F35, 10)=MIN(IF('Betting SETUP'!$D$5:$D$16="Y", F24:F35, 10)), 1, 0)) &gt; 1, "", INDEX('Betting SETUP'!$A$5:$A$16,MATCH(MIN(IF('Betting SETUP'!$D$5:$D$16="Y",F24:F35,10)),IF('Betting SETUP'!$D$5:$D$16="Y",F24:F35,10),0)))</f>
        <v/>
      </c>
      <c r="G36" s="42" t="str">
        <f t="array" ref="G36">IF(SUM(IF(IF('Betting SETUP'!$D$5:$D$16="Y", G24:G35, 10)=MIN(IF('Betting SETUP'!$D$5:$D$16="Y", G24:G35, 10)), 1, 0)) &gt; 1, "", INDEX('Betting SETUP'!$A$5:$A$16,MATCH(MIN(IF('Betting SETUP'!$D$5:$D$16="Y",G24:G35,10)),IF('Betting SETUP'!$D$5:$D$16="Y",G24:G35,10),0)))</f>
        <v/>
      </c>
      <c r="H36" s="42" t="str">
        <f t="array" ref="H36">IF(SUM(IF(IF('Betting SETUP'!$D$5:$D$16="Y", H24:H35, 10)=MIN(IF('Betting SETUP'!$D$5:$D$16="Y", H24:H35, 10)), 1, 0)) &gt; 1, "", INDEX('Betting SETUP'!$A$5:$A$16,MATCH(MIN(IF('Betting SETUP'!$D$5:$D$16="Y",H24:H35,10)),IF('Betting SETUP'!$D$5:$D$16="Y",H24:H35,10),0)))</f>
        <v/>
      </c>
      <c r="I36" s="42" t="str">
        <f t="array" ref="I36">IF(SUM(IF(IF('Betting SETUP'!$D$5:$D$16="Y", I24:I35, 10)=MIN(IF('Betting SETUP'!$D$5:$D$16="Y", I24:I35, 10)), 1, 0)) &gt; 1, "", INDEX('Betting SETUP'!$A$5:$A$16,MATCH(MIN(IF('Betting SETUP'!$D$5:$D$16="Y",I24:I35,10)),IF('Betting SETUP'!$D$5:$D$16="Y",I24:I35,10),0)))</f>
        <v/>
      </c>
      <c r="J36" s="42" t="str">
        <f t="array" ref="J36">IF(SUM(IF(IF('Betting SETUP'!$D$5:$D$16="Y", J24:J35, 10)=MIN(IF('Betting SETUP'!$D$5:$D$16="Y", J24:J35, 10)), 1, 0)) &gt; 1, "", INDEX('Betting SETUP'!$A$5:$A$16,MATCH(MIN(IF('Betting SETUP'!$D$5:$D$16="Y",J24:J35,10)),IF('Betting SETUP'!$D$5:$D$16="Y",J24:J35,10),0)))</f>
        <v/>
      </c>
      <c r="K36" s="42" t="str">
        <f t="array" ref="K36">IF(SUM(IF(IF('Betting SETUP'!$D$5:$D$16="Y", K24:K35, 10)=MIN(IF('Betting SETUP'!$D$5:$D$16="Y", K24:K35, 10)), 1, 0)) &gt; 1, "", INDEX('Betting SETUP'!$A$5:$A$16,MATCH(MIN(IF('Betting SETUP'!$D$5:$D$16="Y",K24:K35,10)),IF('Betting SETUP'!$D$5:$D$16="Y",K24:K35,10),0)))</f>
        <v>Joe S</v>
      </c>
      <c r="L36" s="42" t="str">
        <f t="array" ref="L36">IF(SUM(IF(IF('Betting SETUP'!$D$5:$D$16="Y", L24:L35, 10)=MIN(IF('Betting SETUP'!$D$5:$D$16="Y", L24:L35, 10)), 1, 0)) &gt; 1, "", INDEX('Betting SETUP'!$A$5:$A$16,MATCH(MIN(IF('Betting SETUP'!$D$5:$D$16="Y",L24:L35,10)),IF('Betting SETUP'!$D$5:$D$16="Y",L24:L35,10),0)))</f>
        <v/>
      </c>
      <c r="M36" s="42" t="str">
        <f t="array" ref="M36">IF(SUM(IF(IF('Betting SETUP'!$D$5:$D$16="Y", M24:M35, 10)=MIN(IF('Betting SETUP'!$D$5:$D$16="Y", M24:M35, 10)), 1, 0)) &gt; 1, "", INDEX('Betting SETUP'!$A$5:$A$16,MATCH(MIN(IF('Betting SETUP'!$D$5:$D$16="Y",M24:M35,10)),IF('Betting SETUP'!$D$5:$D$16="Y",M24:M35,10),0)))</f>
        <v/>
      </c>
      <c r="N36" s="42" t="str">
        <f t="array" ref="N36">IF(SUM(IF(IF('Betting SETUP'!$D$5:$D$16="Y", N24:N35, 10)=MIN(IF('Betting SETUP'!$D$5:$D$16="Y", N24:N35, 10)), 1, 0)) &gt; 1, "", INDEX('Betting SETUP'!$A$5:$A$16,MATCH(MIN(IF('Betting SETUP'!$D$5:$D$16="Y",N24:N35,10)),IF('Betting SETUP'!$D$5:$D$16="Y",N24:N35,10),0)))</f>
        <v>Dave K</v>
      </c>
      <c r="O36" s="42" t="str">
        <f t="array" ref="O36">IF(SUM(IF(IF('Betting SETUP'!$D$5:$D$16="Y", O24:O35, 10)=MIN(IF('Betting SETUP'!$D$5:$D$16="Y", O24:O35, 10)), 1, 0)) &gt; 1, "", INDEX('Betting SETUP'!$A$5:$A$16,MATCH(MIN(IF('Betting SETUP'!$D$5:$D$16="Y",O24:O35,10)),IF('Betting SETUP'!$D$5:$D$16="Y",O24:O35,10),0)))</f>
        <v/>
      </c>
      <c r="P36" s="42" t="str">
        <f t="array" ref="P36">IF(SUM(IF(IF('Betting SETUP'!$D$5:$D$16="Y", P24:P35, 10)=MIN(IF('Betting SETUP'!$D$5:$D$16="Y", P24:P35, 10)), 1, 0)) &gt; 1, "", INDEX('Betting SETUP'!$A$5:$A$16,MATCH(MIN(IF('Betting SETUP'!$D$5:$D$16="Y",P24:P35,10)),IF('Betting SETUP'!$D$5:$D$16="Y",P24:P35,10),0)))</f>
        <v/>
      </c>
      <c r="Q36" s="42" t="str">
        <f t="array" ref="Q36">IF(SUM(IF(IF('Betting SETUP'!$D$5:$D$16="Y", Q24:Q35, 10)=MIN(IF('Betting SETUP'!$D$5:$D$16="Y", Q24:Q35, 10)), 1, 0)) &gt; 1, "", INDEX('Betting SETUP'!$A$5:$A$16,MATCH(MIN(IF('Betting SETUP'!$D$5:$D$16="Y",Q24:Q35,10)),IF('Betting SETUP'!$D$5:$D$16="Y",Q24:Q35,10),0)))</f>
        <v/>
      </c>
      <c r="R36" s="42" t="str">
        <f t="array" ref="R36">IF(SUM(IF(IF('Betting SETUP'!$D$5:$D$16="Y", R24:R35, 10)=MIN(IF('Betting SETUP'!$D$5:$D$16="Y", R24:R35, 10)), 1, 0)) &gt; 1, "", INDEX('Betting SETUP'!$A$5:$A$16,MATCH(MIN(IF('Betting SETUP'!$D$5:$D$16="Y",R24:R35,10)),IF('Betting SETUP'!$D$5:$D$16="Y",R24:R35,10),0)))</f>
        <v/>
      </c>
      <c r="S36" s="42" t="str">
        <f t="array" ref="S36">IF(SUM(IF(IF('Betting SETUP'!$D$5:$D$16="Y", S24:S35, 10)=MIN(IF('Betting SETUP'!$D$5:$D$16="Y", S24:S35, 10)), 1, 0)) &gt; 1, "", INDEX('Betting SETUP'!$A$5:$A$16,MATCH(MIN(IF('Betting SETUP'!$D$5:$D$16="Y",S24:S35,10)),IF('Betting SETUP'!$D$5:$D$16="Y",S24:S35,10),0)))</f>
        <v/>
      </c>
      <c r="T36" s="42" t="str">
        <f t="array" ref="T36">IF(SUM(IF(IF('Betting SETUP'!$D$5:$D$16="Y", T24:T35, 10)=MIN(IF('Betting SETUP'!$D$5:$D$16="Y", T24:T35, 10)), 1, 0)) &gt; 1, "", INDEX('Betting SETUP'!$A$5:$A$16,MATCH(MIN(IF('Betting SETUP'!$D$5:$D$16="Y",T24:T35,10)),IF('Betting SETUP'!$D$5:$D$16="Y",T24:T35,10),0)))</f>
        <v>Bob B</v>
      </c>
      <c r="U36" s="42" t="str">
        <f t="array" ref="U36">IF(SUM(IF(IF('Betting SETUP'!$D$5:$D$16="Y", U24:U35, 10)=MIN(IF('Betting SETUP'!$D$5:$D$16="Y", U24:U35, 10)), 1, 0)) &gt; 1, "", INDEX('Betting SETUP'!$A$5:$A$16,MATCH(MIN(IF('Betting SETUP'!$D$5:$D$16="Y",U24:U35,10)),IF('Betting SETUP'!$D$5:$D$16="Y",U24:U35,10),0)))</f>
        <v>Jeff B</v>
      </c>
      <c r="V36" s="14"/>
      <c r="W36" s="15"/>
      <c r="X36" s="42">
        <f>18-COUNTBLANK(D36:U36)</f>
        <v>4</v>
      </c>
      <c r="Y36" s="43"/>
      <c r="Z36" s="44"/>
      <c r="AA36" s="44"/>
      <c r="AB36" s="44"/>
      <c r="AC36" s="44"/>
      <c r="AD36" s="44"/>
      <c r="AE36" s="44"/>
      <c r="AF36" s="44"/>
      <c r="AG36" s="44"/>
      <c r="AH36" s="44"/>
    </row>
    <row r="37" ht="12.75" customHeight="1">
      <c r="A37" s="10"/>
      <c r="B37" s="11"/>
      <c r="C37" s="41" t="s">
        <v>20</v>
      </c>
      <c r="D37" s="42"/>
      <c r="E37" s="45"/>
      <c r="F37" s="45"/>
      <c r="G37" s="45"/>
      <c r="H37" s="48"/>
      <c r="I37" s="45"/>
      <c r="J37" s="45"/>
      <c r="K37" s="45"/>
      <c r="L37" s="45"/>
      <c r="M37" s="42"/>
      <c r="N37" s="45"/>
      <c r="O37" s="45"/>
      <c r="P37" s="45"/>
      <c r="Q37" s="45"/>
      <c r="R37" s="42"/>
      <c r="S37" s="45"/>
      <c r="T37" s="45"/>
      <c r="U37" s="45"/>
      <c r="V37" s="42"/>
      <c r="W37" s="42"/>
      <c r="X37" s="42">
        <f>COUNTA(D37:U37)</f>
        <v>0</v>
      </c>
      <c r="Y37" s="43"/>
      <c r="Z37" s="44"/>
      <c r="AA37" s="44"/>
      <c r="AB37" s="44"/>
      <c r="AC37" s="44"/>
      <c r="AD37" s="44"/>
      <c r="AE37" s="44"/>
      <c r="AF37" s="44"/>
      <c r="AG37" s="44"/>
      <c r="AH37" s="44"/>
    </row>
    <row r="38" ht="12.75" customHeight="1">
      <c r="A38" s="10"/>
      <c r="B38" s="11"/>
    </row>
    <row r="39" ht="12.75" customHeight="1">
      <c r="A39" s="10"/>
      <c r="B39" s="11"/>
      <c r="C39" s="12" t="str">
        <f>SETUP!E1</f>
        <v>THE LOON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5"/>
      <c r="X39" s="16">
        <f>SETUP!E2</f>
        <v>70.5</v>
      </c>
      <c r="Y39" s="17">
        <f>SETUP!E3</f>
        <v>134</v>
      </c>
      <c r="Z39" s="18"/>
      <c r="AA39" s="18"/>
      <c r="AB39" s="18"/>
      <c r="AC39" s="18"/>
      <c r="AD39" s="18"/>
      <c r="AE39" s="18"/>
      <c r="AF39" s="18"/>
      <c r="AG39" s="18"/>
      <c r="AH39" s="18"/>
    </row>
    <row r="40" ht="12.75" customHeight="1">
      <c r="A40" s="10"/>
      <c r="B40" s="11"/>
      <c r="C40" s="17" t="s">
        <v>5</v>
      </c>
      <c r="D40" s="19">
        <v>1.0</v>
      </c>
      <c r="E40" s="19">
        <v>2.0</v>
      </c>
      <c r="F40" s="19">
        <v>3.0</v>
      </c>
      <c r="G40" s="19">
        <v>4.0</v>
      </c>
      <c r="H40" s="19">
        <v>5.0</v>
      </c>
      <c r="I40" s="19">
        <v>6.0</v>
      </c>
      <c r="J40" s="19">
        <v>7.0</v>
      </c>
      <c r="K40" s="19">
        <v>8.0</v>
      </c>
      <c r="L40" s="19">
        <v>9.0</v>
      </c>
      <c r="M40" s="19">
        <v>10.0</v>
      </c>
      <c r="N40" s="19">
        <v>11.0</v>
      </c>
      <c r="O40" s="19">
        <v>12.0</v>
      </c>
      <c r="P40" s="19">
        <v>13.0</v>
      </c>
      <c r="Q40" s="19">
        <v>14.0</v>
      </c>
      <c r="R40" s="19">
        <v>15.0</v>
      </c>
      <c r="S40" s="19">
        <v>16.0</v>
      </c>
      <c r="T40" s="19">
        <v>17.0</v>
      </c>
      <c r="U40" s="19">
        <v>18.0</v>
      </c>
      <c r="V40" s="19" t="s">
        <v>6</v>
      </c>
      <c r="W40" s="19" t="s">
        <v>7</v>
      </c>
      <c r="X40" s="19" t="s">
        <v>8</v>
      </c>
      <c r="Y40" s="19" t="s">
        <v>9</v>
      </c>
      <c r="Z40" s="20"/>
      <c r="AA40" s="20"/>
      <c r="AB40" s="20"/>
      <c r="AC40" s="20"/>
      <c r="AD40" s="20"/>
      <c r="AE40" s="20"/>
      <c r="AF40" s="20"/>
      <c r="AG40" s="20"/>
      <c r="AH40" s="20"/>
    </row>
    <row r="41" ht="12.75" customHeight="1">
      <c r="A41" s="21"/>
      <c r="B41" s="22"/>
      <c r="C41" s="23" t="s">
        <v>10</v>
      </c>
      <c r="D41" s="19">
        <f>Scorecards!D41</f>
        <v>11</v>
      </c>
      <c r="E41" s="19">
        <f>Scorecards!E41</f>
        <v>15</v>
      </c>
      <c r="F41" s="19">
        <f>Scorecards!F41</f>
        <v>3</v>
      </c>
      <c r="G41" s="19">
        <f>Scorecards!G41</f>
        <v>17</v>
      </c>
      <c r="H41" s="19">
        <f>Scorecards!H41</f>
        <v>1</v>
      </c>
      <c r="I41" s="19">
        <f>Scorecards!I41</f>
        <v>9</v>
      </c>
      <c r="J41" s="19">
        <f>Scorecards!J41</f>
        <v>7</v>
      </c>
      <c r="K41" s="19">
        <f>Scorecards!K41</f>
        <v>5</v>
      </c>
      <c r="L41" s="19">
        <f>Scorecards!L41</f>
        <v>13</v>
      </c>
      <c r="M41" s="19">
        <f>Scorecards!M41</f>
        <v>6</v>
      </c>
      <c r="N41" s="19">
        <f>Scorecards!N41</f>
        <v>2</v>
      </c>
      <c r="O41" s="19">
        <f>Scorecards!O41</f>
        <v>18</v>
      </c>
      <c r="P41" s="19">
        <f>Scorecards!P41</f>
        <v>4</v>
      </c>
      <c r="Q41" s="19">
        <f>Scorecards!Q41</f>
        <v>14</v>
      </c>
      <c r="R41" s="19">
        <f>Scorecards!R41</f>
        <v>10</v>
      </c>
      <c r="S41" s="19">
        <f>Scorecards!S41</f>
        <v>12</v>
      </c>
      <c r="T41" s="19">
        <f>Scorecards!T41</f>
        <v>16</v>
      </c>
      <c r="U41" s="19">
        <f>Scorecards!U41</f>
        <v>8</v>
      </c>
      <c r="V41" s="26"/>
      <c r="W41" s="26"/>
      <c r="X41" s="26"/>
      <c r="Y41" s="26"/>
      <c r="Z41" s="27"/>
      <c r="AA41" s="27"/>
      <c r="AB41" s="27"/>
      <c r="AC41" s="27"/>
      <c r="AD41" s="27"/>
      <c r="AE41" s="27"/>
      <c r="AF41" s="27"/>
      <c r="AG41" s="27"/>
      <c r="AH41" s="27"/>
    </row>
    <row r="42" ht="12.75" customHeight="1">
      <c r="A42" s="28" t="s">
        <v>24</v>
      </c>
      <c r="B42" s="29" t="s">
        <v>10</v>
      </c>
      <c r="C42" s="17" t="s">
        <v>11</v>
      </c>
      <c r="D42" s="52">
        <f>Scorecards!D42</f>
        <v>4</v>
      </c>
      <c r="E42" s="52">
        <f>Scorecards!E42</f>
        <v>3</v>
      </c>
      <c r="F42" s="52">
        <f>Scorecards!F42</f>
        <v>5</v>
      </c>
      <c r="G42" s="52">
        <f>Scorecards!G42</f>
        <v>3</v>
      </c>
      <c r="H42" s="52">
        <f>Scorecards!H42</f>
        <v>5</v>
      </c>
      <c r="I42" s="52">
        <f>Scorecards!I42</f>
        <v>4</v>
      </c>
      <c r="J42" s="52">
        <f>Scorecards!J42</f>
        <v>4</v>
      </c>
      <c r="K42" s="52">
        <f>Scorecards!K42</f>
        <v>5</v>
      </c>
      <c r="L42" s="52">
        <f>Scorecards!L42</f>
        <v>3</v>
      </c>
      <c r="M42" s="52">
        <f>Scorecards!M42</f>
        <v>4</v>
      </c>
      <c r="N42" s="52">
        <f>Scorecards!N42</f>
        <v>5</v>
      </c>
      <c r="O42" s="52">
        <f>Scorecards!O42</f>
        <v>3</v>
      </c>
      <c r="P42" s="52">
        <f>Scorecards!P42</f>
        <v>5</v>
      </c>
      <c r="Q42" s="52">
        <f>Scorecards!Q42</f>
        <v>3</v>
      </c>
      <c r="R42" s="52">
        <f>Scorecards!R42</f>
        <v>4</v>
      </c>
      <c r="S42" s="52">
        <f>Scorecards!S42</f>
        <v>4</v>
      </c>
      <c r="T42" s="52">
        <f>Scorecards!T42</f>
        <v>4</v>
      </c>
      <c r="U42" s="52">
        <f>Scorecards!U42</f>
        <v>4</v>
      </c>
      <c r="V42" s="30">
        <f t="shared" ref="V42:V54" si="11">SUM(D42:L42)</f>
        <v>36</v>
      </c>
      <c r="W42" s="30">
        <f t="shared" ref="W42:W54" si="12">SUM(M42:U42)</f>
        <v>36</v>
      </c>
      <c r="X42" s="30">
        <f>V42+W42</f>
        <v>72</v>
      </c>
      <c r="Y42" s="30"/>
      <c r="Z42" s="31" t="s">
        <v>12</v>
      </c>
      <c r="AA42" s="31" t="s">
        <v>13</v>
      </c>
      <c r="AB42" s="31" t="s">
        <v>14</v>
      </c>
      <c r="AC42" s="31" t="s">
        <v>11</v>
      </c>
      <c r="AD42" s="31" t="s">
        <v>15</v>
      </c>
      <c r="AE42" s="31" t="s">
        <v>16</v>
      </c>
      <c r="AF42" s="31" t="s">
        <v>17</v>
      </c>
      <c r="AG42" s="31" t="s">
        <v>18</v>
      </c>
      <c r="AH42" s="27"/>
    </row>
    <row r="43" ht="12.75" customHeight="1">
      <c r="A43" s="32" t="str">
        <f>SETUP!A5</f>
        <v>Aaron J</v>
      </c>
      <c r="B43" s="33">
        <f t="array" ref="B43">if(A43="","",index(SETUP!C:C,match(A43,SETUP!A:A,0)))</f>
        <v>9</v>
      </c>
      <c r="C43" s="17"/>
      <c r="D43" s="35">
        <f>if(Scorecards!D43="","",Scorecards!D43-IF(Scorecards!$B43&gt;0,FLOOR(Scorecards!$B43/18,1),0)-IF(AND(MOD(Scorecards!$B43,18)&gt;=Scorecards!D$41,Scorecards!$B43&gt;0),1,0)+IF(Scorecards!D$41-18&gt;Scorecards!$B43,1,0))</f>
        <v>4</v>
      </c>
      <c r="E43" s="35">
        <f>if(Scorecards!E43="","",Scorecards!E43-IF(Scorecards!$B43&gt;0,FLOOR(Scorecards!$B43/18,1),0)-IF(AND(MOD(Scorecards!$B43,18)&gt;=Scorecards!E$41,Scorecards!$B43&gt;0),1,0)+IF(Scorecards!E$41-18&gt;Scorecards!$B43,1,0))</f>
        <v>6</v>
      </c>
      <c r="F43" s="35">
        <f>if(Scorecards!F43="","",Scorecards!F43-IF(Scorecards!$B43&gt;0,FLOOR(Scorecards!$B43/18,1),0)-IF(AND(MOD(Scorecards!$B43,18)&gt;=Scorecards!F$41,Scorecards!$B43&gt;0),1,0)+IF(Scorecards!F$41-18&gt;Scorecards!$B43,1,0))</f>
        <v>5</v>
      </c>
      <c r="G43" s="35">
        <f>if(Scorecards!G43="","",Scorecards!G43-IF(Scorecards!$B43&gt;0,FLOOR(Scorecards!$B43/18,1),0)-IF(AND(MOD(Scorecards!$B43,18)&gt;=Scorecards!G$41,Scorecards!$B43&gt;0),1,0)+IF(Scorecards!G$41-18&gt;Scorecards!$B43,1,0))</f>
        <v>3</v>
      </c>
      <c r="H43" s="35">
        <f>if(Scorecards!H43="","",Scorecards!H43-IF(Scorecards!$B43&gt;0,FLOOR(Scorecards!$B43/18,1),0)-IF(AND(MOD(Scorecards!$B43,18)&gt;=Scorecards!H$41,Scorecards!$B43&gt;0),1,0)+IF(Scorecards!H$41-18&gt;Scorecards!$B43,1,0))</f>
        <v>7</v>
      </c>
      <c r="I43" s="35">
        <f>if(Scorecards!I43="","",Scorecards!I43-IF(Scorecards!$B43&gt;0,FLOOR(Scorecards!$B43/18,1),0)-IF(AND(MOD(Scorecards!$B43,18)&gt;=Scorecards!I$41,Scorecards!$B43&gt;0),1,0)+IF(Scorecards!I$41-18&gt;Scorecards!$B43,1,0))</f>
        <v>6</v>
      </c>
      <c r="J43" s="35">
        <f>if(Scorecards!J43="","",Scorecards!J43-IF(Scorecards!$B43&gt;0,FLOOR(Scorecards!$B43/18,1),0)-IF(AND(MOD(Scorecards!$B43,18)&gt;=Scorecards!J$41,Scorecards!$B43&gt;0),1,0)+IF(Scorecards!J$41-18&gt;Scorecards!$B43,1,0))</f>
        <v>4</v>
      </c>
      <c r="K43" s="35">
        <f>if(Scorecards!K43="","",Scorecards!K43-IF(Scorecards!$B43&gt;0,FLOOR(Scorecards!$B43/18,1),0)-IF(AND(MOD(Scorecards!$B43,18)&gt;=Scorecards!K$41,Scorecards!$B43&gt;0),1,0)+IF(Scorecards!K$41-18&gt;Scorecards!$B43,1,0))</f>
        <v>4</v>
      </c>
      <c r="L43" s="35">
        <f>if(Scorecards!L43="","",Scorecards!L43-IF(Scorecards!$B43&gt;0,FLOOR(Scorecards!$B43/18,1),0)-IF(AND(MOD(Scorecards!$B43,18)&gt;=Scorecards!L$41,Scorecards!$B43&gt;0),1,0)+IF(Scorecards!L$41-18&gt;Scorecards!$B43,1,0))</f>
        <v>3</v>
      </c>
      <c r="M43" s="35">
        <f>if(Scorecards!M43="","",Scorecards!M43-IF(Scorecards!$B43&gt;0,FLOOR(Scorecards!$B43/18,1),0)-IF(AND(MOD(Scorecards!$B43,18)&gt;=Scorecards!M$41,Scorecards!$B43&gt;0),1,0)+IF(Scorecards!M$41-18&gt;Scorecards!$B43,1,0))</f>
        <v>4</v>
      </c>
      <c r="N43" s="35">
        <f>if(Scorecards!N43="","",Scorecards!N43-IF(Scorecards!$B43&gt;0,FLOOR(Scorecards!$B43/18,1),0)-IF(AND(MOD(Scorecards!$B43,18)&gt;=Scorecards!N$41,Scorecards!$B43&gt;0),1,0)+IF(Scorecards!N$41-18&gt;Scorecards!$B43,1,0))</f>
        <v>4</v>
      </c>
      <c r="O43" s="35">
        <f>if(Scorecards!O43="","",Scorecards!O43-IF(Scorecards!$B43&gt;0,FLOOR(Scorecards!$B43/18,1),0)-IF(AND(MOD(Scorecards!$B43,18)&gt;=Scorecards!O$41,Scorecards!$B43&gt;0),1,0)+IF(Scorecards!O$41-18&gt;Scorecards!$B43,1,0))</f>
        <v>3</v>
      </c>
      <c r="P43" s="35">
        <f>if(Scorecards!P43="","",Scorecards!P43-IF(Scorecards!$B43&gt;0,FLOOR(Scorecards!$B43/18,1),0)-IF(AND(MOD(Scorecards!$B43,18)&gt;=Scorecards!P$41,Scorecards!$B43&gt;0),1,0)+IF(Scorecards!P$41-18&gt;Scorecards!$B43,1,0))</f>
        <v>5</v>
      </c>
      <c r="Q43" s="35">
        <f>if(Scorecards!Q43="","",Scorecards!Q43-IF(Scorecards!$B43&gt;0,FLOOR(Scorecards!$B43/18,1),0)-IF(AND(MOD(Scorecards!$B43,18)&gt;=Scorecards!Q$41,Scorecards!$B43&gt;0),1,0)+IF(Scorecards!Q$41-18&gt;Scorecards!$B43,1,0))</f>
        <v>4</v>
      </c>
      <c r="R43" s="35">
        <f>if(Scorecards!R43="","",Scorecards!R43-IF(Scorecards!$B43&gt;0,FLOOR(Scorecards!$B43/18,1),0)-IF(AND(MOD(Scorecards!$B43,18)&gt;=Scorecards!R$41,Scorecards!$B43&gt;0),1,0)+IF(Scorecards!R$41-18&gt;Scorecards!$B43,1,0))</f>
        <v>6</v>
      </c>
      <c r="S43" s="35">
        <f>if(Scorecards!S43="","",Scorecards!S43-IF(Scorecards!$B43&gt;0,FLOOR(Scorecards!$B43/18,1),0)-IF(AND(MOD(Scorecards!$B43,18)&gt;=Scorecards!S$41,Scorecards!$B43&gt;0),1,0)+IF(Scorecards!S$41-18&gt;Scorecards!$B43,1,0))</f>
        <v>5</v>
      </c>
      <c r="T43" s="35">
        <f>if(Scorecards!T43="","",Scorecards!T43-IF(Scorecards!$B43&gt;0,FLOOR(Scorecards!$B43/18,1),0)-IF(AND(MOD(Scorecards!$B43,18)&gt;=Scorecards!T$41,Scorecards!$B43&gt;0),1,0)+IF(Scorecards!T$41-18&gt;Scorecards!$B43,1,0))</f>
        <v>6</v>
      </c>
      <c r="U43" s="35">
        <f>if(Scorecards!U43="","",Scorecards!U43-IF(Scorecards!$B43&gt;0,FLOOR(Scorecards!$B43/18,1),0)-IF(AND(MOD(Scorecards!$B43,18)&gt;=Scorecards!U$41,Scorecards!$B43&gt;0),1,0)+IF(Scorecards!U$41-18&gt;Scorecards!$B43,1,0))</f>
        <v>6</v>
      </c>
      <c r="V43" s="36">
        <f t="shared" si="11"/>
        <v>42</v>
      </c>
      <c r="W43" s="36">
        <f t="shared" si="12"/>
        <v>43</v>
      </c>
      <c r="X43" s="36">
        <f t="shared" ref="X43:X54" si="13">IF(W43&gt;0,V43+W43,"")</f>
        <v>85</v>
      </c>
      <c r="Y43" s="37">
        <f t="shared" ref="Y43:Y54" si="14">IF(W43=0,"",X43-B43)</f>
        <v>76</v>
      </c>
      <c r="Z43" s="38">
        <f t="array" ref="Z43">sum(if(D43-$D$42=-3,1,0),if(E43-$E$42=-3,1,0),if(F43-$F$42=-3,1,0),if(G43-$G$42=-3,1,0),if(H43-$H$42=-3,1,0),if(I43-$I$42=-3,1,0),if(J43-$J$42=-3,1,0),if(K43-$K$42=-3,1,0),if(L43-$L$42=-3,1,0),if(M43-$M$42=-3,1,0),if(N43-$N$42=-3,1,0),if(O43-$O$42=-3,1,0),if(P43-$P$42=-3,1,0),if(Q43-$Q$42=-3,1,0),if(R43-$R$42=-3,1,0),if(S43-$S$42=-3,1,0),if(T43-$T$42=-3,1,0),if(U43-$U$42=-3,1,0))</f>
        <v>0</v>
      </c>
      <c r="AA43" s="38">
        <f t="array" ref="AA43">sum(if(D43-$D$42=-2,1,0),if(E43-$E$42=-2,1,0),if(F43-$F$42=-2,1,0),if(G43-$G$42=-2,1,0),if(H43-$H$42=-2,1,0),if(I43-$I$42=-2,1,0),if(J43-$J$42=-2,1,0),if(K43-$K$42=-2,1,0),if(L43-$L$42=-2,1,0),if(M43-$M$42=-2,1,0),if(N43-$N$42=-2,1,0),if(O43-$O$42=-2,1,0),if(P43-$P$42=-2,1,0),if(Q43-$Q$42=-2,1,0),if(R43-$R$42=-2,1,0),if(S43-$S$42=-2,1,0),if(T43-$T$42=-2,1,0),if(U43-$U$42=-2,1,0))</f>
        <v>0</v>
      </c>
      <c r="AB43" s="38">
        <f t="array" ref="AB43">sum(if(D43-$D$42=-1,1,0),if(E43-$E$42=-1,1,0),if(F43-$F$42=-1,1,0),if(G43-$G$42=-1,1,0),if(H43-$H$42=-1,1,0),if(I43-$I$42=-1,1,0),if(J43-$J$42=-1,1,0),if(K43-$K$42=-1,1,0),if(L43-$L$42=-1,1,0),if(M43-$M$42=-1,1,0),if(N43-$N$42=-1,1,0),if(O43-$O$42=-1,1,0),if(P43-$P$42=-1,1,0),if(Q43-$Q$42=-1,1,0),if(R43-$R$42=-1,1,0),if(S43-$S$42=-1,1,0),if(T43-$T$42=-1,1,0),if(U43-$U$42=-1,1,0))</f>
        <v>2</v>
      </c>
      <c r="AC43" s="38">
        <f t="array" ref="AC43">sum(if(D43-$D$42=0,1,0),if(E43-$E$42=0,1,0),if(F43-$F$42=0,1,0),if(G43-$G$42=0,1,0),if(H43-$H$42=0,1,0),if(I43-$I$42=0,1,0),if(J43-$J$42=0,1,0),if(K43-$K$42=0,1,0),if(L43-$L$42=0,1,0),if(M43-$M$42=0,1,0),if(N43-$N$42=0,1,0),if(O43-$O$42=0,1,0),if(P43-$P$42=0,1,0),if(Q43-$Q$42=0,1,0),if(R43-$R$42=0,1,0),if(S43-$S$42=0,1,0),if(T43-$T$42=0,1,0),if(U43-$U$42=0,1,0))</f>
        <v>8</v>
      </c>
      <c r="AD43" s="38">
        <f t="array" ref="AD43">sum(if(D43-$D$42=1,1,0),if(E43-$E$42=1,1,0),if(F43-$F$42=1,1,0),if(G43-$G$42=1,1,0),if(H43-$H$42=1,1,0),if(I43-$I$42=1,1,0),if(J43-$J$42=1,1,0),if(K43-$K$42=1,1,0),if(L43-$L$42=1,1,0),if(M43-$M$42=1,1,0),if(N43-$N$42=1,1,0),if(O43-$O$42=1,1,0),if(P43-$P$42=1,1,0),if(Q43-$Q$42=1,1,0),if(R43-$R$42=1,1,0),if(S43-$S$42=1,1,0),if(T43-$T$42=1,1,0),if(U43-$U$42=1,1,0))</f>
        <v>2</v>
      </c>
      <c r="AE43" s="38">
        <f t="array" ref="AE43">sum(if(D43-$D$42=2,1,0),if(E43-$E$42=2,1,0),if(F43-$F$42=2,1,0),if(G43-$G$42=2,1,0),if(H43-$H$42=2,1,0),if(I43-$I$42=2,1,0),if(J43-$J$42=2,1,0),if(K43-$K$42=2,1,0),if(L43-$L$42=2,1,0),if(M43-$M$42=2,1,0),if(N43-$N$42=2,1,0),if(O43-$O$42=2,1,0),if(P43-$P$42=2,1,0),if(Q43-$Q$42=2,1,0),if(R43-$R$42=2,1,0),if(S43-$S$42=2,1,0),if(T43-$T$42=2,1,0),if(U43-$U$42=2,1,0))</f>
        <v>5</v>
      </c>
      <c r="AF43" s="38">
        <f t="array" ref="AF43">sum(if(D43-$D$42=3,1,0),if(E43-$E$42=3,1,0),if(F43-$F$42=3,1,0),if(G43-$G$42=3,1,0),if(H43-$H$42=3,1,0),if(I43-$I$42=3,1,0),if(J43-$J$42=3,1,0),if(K43-$K$42=3,1,0),if(L43-$L$42=3,1,0),if(M43-$M$42=3,1,0),if(N43-$N$42=3,1,0),if(O43-$O$42=3,1,0),if(P43-$P$42=3,1,0),if(Q43-$Q$42=3,1,0),if(R43-$R$42=3,1,0),if(S43-$S$42=3,1,0),if(T43-$T$42=3,1,0),if(U43-$U$42=3,1,0))</f>
        <v>1</v>
      </c>
      <c r="AG43" s="38">
        <f t="array" ref="AG43">sum(if(D43-$D$42&gt;3,1,0),if(E43-$E$42&gt;3,1,0),if(F43-$F$42&gt;3,1,0),if(G43-$G$42&gt;3,1,0),if(H43-$H$42&gt;3,1,0),if(I43-$I$42&gt;3,1,0),if(J43-$J$42&gt;3,1,0),if(K43-$K$42&gt;3,1,0),if(L43-$L$42&gt;3,1,0),if(M43-$M$42&gt;3,1,0),if(N43-$N$42&gt;3,1,0),if(O43-$O$42&gt;3,1,0),if(P43-$P$42&gt;3,1,0),if(Q43-$Q$42&gt;3,1,0),if(R43-$R$42&gt;3,1,0),if(S43-$S$42&gt;3,1,0),if(T43-$T$42&gt;3,1,0),if(U43-$U$42&gt;3,1,0))</f>
        <v>0</v>
      </c>
      <c r="AH43" s="38">
        <f t="shared" ref="AH43:AH54" si="15">sum(Z43:AG43)</f>
        <v>18</v>
      </c>
    </row>
    <row r="44" ht="12.75" customHeight="1">
      <c r="A44" s="32" t="str">
        <f>SETUP!A6</f>
        <v>Andy V</v>
      </c>
      <c r="B44" s="33">
        <f t="array" ref="B44">if(A44="","",index(SETUP!C:C,match(A44,SETUP!A:A,0)))</f>
        <v>22</v>
      </c>
      <c r="C44" s="17"/>
      <c r="D44" s="35">
        <f>if(Scorecards!D44="","",Scorecards!D44-IF(Scorecards!$B44&gt;0,FLOOR(Scorecards!$B44/18,1),0)-IF(AND(MOD(Scorecards!$B44,18)&gt;=Scorecards!D$41,Scorecards!$B44&gt;0),1,0)+IF(Scorecards!D$41-18&gt;Scorecards!$B44,1,0))</f>
        <v>5</v>
      </c>
      <c r="E44" s="35">
        <f>if(Scorecards!E44="","",Scorecards!E44-IF(Scorecards!$B44&gt;0,FLOOR(Scorecards!$B44/18,1),0)-IF(AND(MOD(Scorecards!$B44,18)&gt;=Scorecards!E$41,Scorecards!$B44&gt;0),1,0)+IF(Scorecards!E$41-18&gt;Scorecards!$B44,1,0))</f>
        <v>4</v>
      </c>
      <c r="F44" s="35">
        <f>if(Scorecards!F44="","",Scorecards!F44-IF(Scorecards!$B44&gt;0,FLOOR(Scorecards!$B44/18,1),0)-IF(AND(MOD(Scorecards!$B44,18)&gt;=Scorecards!F$41,Scorecards!$B44&gt;0),1,0)+IF(Scorecards!F$41-18&gt;Scorecards!$B44,1,0))</f>
        <v>5</v>
      </c>
      <c r="G44" s="35">
        <f>if(Scorecards!G44="","",Scorecards!G44-IF(Scorecards!$B44&gt;0,FLOOR(Scorecards!$B44/18,1),0)-IF(AND(MOD(Scorecards!$B44,18)&gt;=Scorecards!G$41,Scorecards!$B44&gt;0),1,0)+IF(Scorecards!G$41-18&gt;Scorecards!$B44,1,0))</f>
        <v>3</v>
      </c>
      <c r="H44" s="35">
        <f>if(Scorecards!H44="","",Scorecards!H44-IF(Scorecards!$B44&gt;0,FLOOR(Scorecards!$B44/18,1),0)-IF(AND(MOD(Scorecards!$B44,18)&gt;=Scorecards!H$41,Scorecards!$B44&gt;0),1,0)+IF(Scorecards!H$41-18&gt;Scorecards!$B44,1,0))</f>
        <v>2</v>
      </c>
      <c r="I44" s="35">
        <f>if(Scorecards!I44="","",Scorecards!I44-IF(Scorecards!$B44&gt;0,FLOOR(Scorecards!$B44/18,1),0)-IF(AND(MOD(Scorecards!$B44,18)&gt;=Scorecards!I$41,Scorecards!$B44&gt;0),1,0)+IF(Scorecards!I$41-18&gt;Scorecards!$B44,1,0))</f>
        <v>7</v>
      </c>
      <c r="J44" s="35">
        <f>if(Scorecards!J44="","",Scorecards!J44-IF(Scorecards!$B44&gt;0,FLOOR(Scorecards!$B44/18,1),0)-IF(AND(MOD(Scorecards!$B44,18)&gt;=Scorecards!J$41,Scorecards!$B44&gt;0),1,0)+IF(Scorecards!J$41-18&gt;Scorecards!$B44,1,0))</f>
        <v>4</v>
      </c>
      <c r="K44" s="35">
        <f>if(Scorecards!K44="","",Scorecards!K44-IF(Scorecards!$B44&gt;0,FLOOR(Scorecards!$B44/18,1),0)-IF(AND(MOD(Scorecards!$B44,18)&gt;=Scorecards!K$41,Scorecards!$B44&gt;0),1,0)+IF(Scorecards!K$41-18&gt;Scorecards!$B44,1,0))</f>
        <v>5</v>
      </c>
      <c r="L44" s="35">
        <f>if(Scorecards!L44="","",Scorecards!L44-IF(Scorecards!$B44&gt;0,FLOOR(Scorecards!$B44/18,1),0)-IF(AND(MOD(Scorecards!$B44,18)&gt;=Scorecards!L$41,Scorecards!$B44&gt;0),1,0)+IF(Scorecards!L$41-18&gt;Scorecards!$B44,1,0))</f>
        <v>3</v>
      </c>
      <c r="M44" s="35">
        <f>if(Scorecards!M44="","",Scorecards!M44-IF(Scorecards!$B44&gt;0,FLOOR(Scorecards!$B44/18,1),0)-IF(AND(MOD(Scorecards!$B44,18)&gt;=Scorecards!M$41,Scorecards!$B44&gt;0),1,0)+IF(Scorecards!M$41-18&gt;Scorecards!$B44,1,0))</f>
        <v>5</v>
      </c>
      <c r="N44" s="35">
        <f>if(Scorecards!N44="","",Scorecards!N44-IF(Scorecards!$B44&gt;0,FLOOR(Scorecards!$B44/18,1),0)-IF(AND(MOD(Scorecards!$B44,18)&gt;=Scorecards!N$41,Scorecards!$B44&gt;0),1,0)+IF(Scorecards!N$41-18&gt;Scorecards!$B44,1,0))</f>
        <v>6</v>
      </c>
      <c r="O44" s="35">
        <f>if(Scorecards!O44="","",Scorecards!O44-IF(Scorecards!$B44&gt;0,FLOOR(Scorecards!$B44/18,1),0)-IF(AND(MOD(Scorecards!$B44,18)&gt;=Scorecards!O$41,Scorecards!$B44&gt;0),1,0)+IF(Scorecards!O$41-18&gt;Scorecards!$B44,1,0))</f>
        <v>4</v>
      </c>
      <c r="P44" s="35">
        <f>if(Scorecards!P44="","",Scorecards!P44-IF(Scorecards!$B44&gt;0,FLOOR(Scorecards!$B44/18,1),0)-IF(AND(MOD(Scorecards!$B44,18)&gt;=Scorecards!P$41,Scorecards!$B44&gt;0),1,0)+IF(Scorecards!P$41-18&gt;Scorecards!$B44,1,0))</f>
        <v>5</v>
      </c>
      <c r="Q44" s="35">
        <f>if(Scorecards!Q44="","",Scorecards!Q44-IF(Scorecards!$B44&gt;0,FLOOR(Scorecards!$B44/18,1),0)-IF(AND(MOD(Scorecards!$B44,18)&gt;=Scorecards!Q$41,Scorecards!$B44&gt;0),1,0)+IF(Scorecards!Q$41-18&gt;Scorecards!$B44,1,0))</f>
        <v>3</v>
      </c>
      <c r="R44" s="35">
        <f>if(Scorecards!R44="","",Scorecards!R44-IF(Scorecards!$B44&gt;0,FLOOR(Scorecards!$B44/18,1),0)-IF(AND(MOD(Scorecards!$B44,18)&gt;=Scorecards!R$41,Scorecards!$B44&gt;0),1,0)+IF(Scorecards!R$41-18&gt;Scorecards!$B44,1,0))</f>
        <v>4</v>
      </c>
      <c r="S44" s="35">
        <f>if(Scorecards!S44="","",Scorecards!S44-IF(Scorecards!$B44&gt;0,FLOOR(Scorecards!$B44/18,1),0)-IF(AND(MOD(Scorecards!$B44,18)&gt;=Scorecards!S$41,Scorecards!$B44&gt;0),1,0)+IF(Scorecards!S$41-18&gt;Scorecards!$B44,1,0))</f>
        <v>4</v>
      </c>
      <c r="T44" s="35">
        <f>if(Scorecards!T44="","",Scorecards!T44-IF(Scorecards!$B44&gt;0,FLOOR(Scorecards!$B44/18,1),0)-IF(AND(MOD(Scorecards!$B44,18)&gt;=Scorecards!T$41,Scorecards!$B44&gt;0),1,0)+IF(Scorecards!T$41-18&gt;Scorecards!$B44,1,0))</f>
        <v>2</v>
      </c>
      <c r="U44" s="35">
        <f>if(Scorecards!U44="","",Scorecards!U44-IF(Scorecards!$B44&gt;0,FLOOR(Scorecards!$B44/18,1),0)-IF(AND(MOD(Scorecards!$B44,18)&gt;=Scorecards!U$41,Scorecards!$B44&gt;0),1,0)+IF(Scorecards!U$41-18&gt;Scorecards!$B44,1,0))</f>
        <v>3</v>
      </c>
      <c r="V44" s="36">
        <f t="shared" si="11"/>
        <v>38</v>
      </c>
      <c r="W44" s="36">
        <f t="shared" si="12"/>
        <v>36</v>
      </c>
      <c r="X44" s="36">
        <f t="shared" si="13"/>
        <v>74</v>
      </c>
      <c r="Y44" s="37">
        <f t="shared" si="14"/>
        <v>52</v>
      </c>
      <c r="Z44" s="38">
        <f t="array" ref="Z44">sum(if(D44-$D$42=-3,1,0),if(E44-$E$42=-3,1,0),if(F44-$F$42=-3,1,0),if(G44-$G$42=-3,1,0),if(H44-$H$42=-3,1,0),if(I44-$I$42=-3,1,0),if(J44-$J$42=-3,1,0),if(K44-$K$42=-3,1,0),if(L44-$L$42=-3,1,0),if(M44-$M$42=-3,1,0),if(N44-$N$42=-3,1,0),if(O44-$O$42=-3,1,0),if(P44-$P$42=-3,1,0),if(Q44-$Q$42=-3,1,0),if(R44-$R$42=-3,1,0),if(S44-$S$42=-3,1,0),if(T44-$T$42=-3,1,0),if(U44-$U$42=-3,1,0))</f>
        <v>1</v>
      </c>
      <c r="AA44" s="38">
        <f t="array" ref="AA44">sum(if(D44-$D$42=-2,1,0),if(E44-$E$42=-2,1,0),if(F44-$F$42=-2,1,0),if(G44-$G$42=-2,1,0),if(H44-$H$42=-2,1,0),if(I44-$I$42=-2,1,0),if(J44-$J$42=-2,1,0),if(K44-$K$42=-2,1,0),if(L44-$L$42=-2,1,0),if(M44-$M$42=-2,1,0),if(N44-$N$42=-2,1,0),if(O44-$O$42=-2,1,0),if(P44-$P$42=-2,1,0),if(Q44-$Q$42=-2,1,0),if(R44-$R$42=-2,1,0),if(S44-$S$42=-2,1,0),if(T44-$T$42=-2,1,0),if(U44-$U$42=-2,1,0))</f>
        <v>1</v>
      </c>
      <c r="AB44" s="38">
        <f t="array" ref="AB44">sum(if(D44-$D$42=-1,1,0),if(E44-$E$42=-1,1,0),if(F44-$F$42=-1,1,0),if(G44-$G$42=-1,1,0),if(H44-$H$42=-1,1,0),if(I44-$I$42=-1,1,0),if(J44-$J$42=-1,1,0),if(K44-$K$42=-1,1,0),if(L44-$L$42=-1,1,0),if(M44-$M$42=-1,1,0),if(N44-$N$42=-1,1,0),if(O44-$O$42=-1,1,0),if(P44-$P$42=-1,1,0),if(Q44-$Q$42=-1,1,0),if(R44-$R$42=-1,1,0),if(S44-$S$42=-1,1,0),if(T44-$T$42=-1,1,0),if(U44-$U$42=-1,1,0))</f>
        <v>1</v>
      </c>
      <c r="AC44" s="38">
        <f t="array" ref="AC44">sum(if(D44-$D$42=0,1,0),if(E44-$E$42=0,1,0),if(F44-$F$42=0,1,0),if(G44-$G$42=0,1,0),if(H44-$H$42=0,1,0),if(I44-$I$42=0,1,0),if(J44-$J$42=0,1,0),if(K44-$K$42=0,1,0),if(L44-$L$42=0,1,0),if(M44-$M$42=0,1,0),if(N44-$N$42=0,1,0),if(O44-$O$42=0,1,0),if(P44-$P$42=0,1,0),if(Q44-$Q$42=0,1,0),if(R44-$R$42=0,1,0),if(S44-$S$42=0,1,0),if(T44-$T$42=0,1,0),if(U44-$U$42=0,1,0))</f>
        <v>9</v>
      </c>
      <c r="AD44" s="38">
        <f t="array" ref="AD44">sum(if(D44-$D$42=1,1,0),if(E44-$E$42=1,1,0),if(F44-$F$42=1,1,0),if(G44-$G$42=1,1,0),if(H44-$H$42=1,1,0),if(I44-$I$42=1,1,0),if(J44-$J$42=1,1,0),if(K44-$K$42=1,1,0),if(L44-$L$42=1,1,0),if(M44-$M$42=1,1,0),if(N44-$N$42=1,1,0),if(O44-$O$42=1,1,0),if(P44-$P$42=1,1,0),if(Q44-$Q$42=1,1,0),if(R44-$R$42=1,1,0),if(S44-$S$42=1,1,0),if(T44-$T$42=1,1,0),if(U44-$U$42=1,1,0))</f>
        <v>5</v>
      </c>
      <c r="AE44" s="38">
        <f t="array" ref="AE44">sum(if(D44-$D$42=2,1,0),if(E44-$E$42=2,1,0),if(F44-$F$42=2,1,0),if(G44-$G$42=2,1,0),if(H44-$H$42=2,1,0),if(I44-$I$42=2,1,0),if(J44-$J$42=2,1,0),if(K44-$K$42=2,1,0),if(L44-$L$42=2,1,0),if(M44-$M$42=2,1,0),if(N44-$N$42=2,1,0),if(O44-$O$42=2,1,0),if(P44-$P$42=2,1,0),if(Q44-$Q$42=2,1,0),if(R44-$R$42=2,1,0),if(S44-$S$42=2,1,0),if(T44-$T$42=2,1,0),if(U44-$U$42=2,1,0))</f>
        <v>0</v>
      </c>
      <c r="AF44" s="38">
        <f t="array" ref="AF44">sum(if(D44-$D$42=3,1,0),if(E44-$E$42=3,1,0),if(F44-$F$42=3,1,0),if(G44-$G$42=3,1,0),if(H44-$H$42=3,1,0),if(I44-$I$42=3,1,0),if(J44-$J$42=3,1,0),if(K44-$K$42=3,1,0),if(L44-$L$42=3,1,0),if(M44-$M$42=3,1,0),if(N44-$N$42=3,1,0),if(O44-$O$42=3,1,0),if(P44-$P$42=3,1,0),if(Q44-$Q$42=3,1,0),if(R44-$R$42=3,1,0),if(S44-$S$42=3,1,0),if(T44-$T$42=3,1,0),if(U44-$U$42=3,1,0))</f>
        <v>1</v>
      </c>
      <c r="AG44" s="38">
        <f t="array" ref="AG44">sum(if(D44-$D$42&gt;3,1,0),if(E44-$E$42&gt;3,1,0),if(F44-$F$42&gt;3,1,0),if(G44-$G$42&gt;3,1,0),if(H44-$H$42&gt;3,1,0),if(I44-$I$42&gt;3,1,0),if(J44-$J$42&gt;3,1,0),if(K44-$K$42&gt;3,1,0),if(L44-$L$42&gt;3,1,0),if(M44-$M$42&gt;3,1,0),if(N44-$N$42&gt;3,1,0),if(O44-$O$42&gt;3,1,0),if(P44-$P$42&gt;3,1,0),if(Q44-$Q$42&gt;3,1,0),if(R44-$R$42&gt;3,1,0),if(S44-$S$42&gt;3,1,0),if(T44-$T$42&gt;3,1,0),if(U44-$U$42&gt;3,1,0))</f>
        <v>0</v>
      </c>
      <c r="AH44" s="38">
        <f t="shared" si="15"/>
        <v>18</v>
      </c>
    </row>
    <row r="45" ht="12.75" customHeight="1">
      <c r="A45" s="32" t="str">
        <f>SETUP!A7</f>
        <v>Bob B</v>
      </c>
      <c r="B45" s="33">
        <f t="array" ref="B45">if(A45="","",index(SETUP!C:C,match(A45,SETUP!A:A,0)))</f>
        <v>20</v>
      </c>
      <c r="C45" s="17"/>
      <c r="D45" s="35">
        <f>if(Scorecards!D45="","",Scorecards!D45-IF(Scorecards!$B45&gt;0,FLOOR(Scorecards!$B45/18,1),0)-IF(AND(MOD(Scorecards!$B45,18)&gt;=Scorecards!D$41,Scorecards!$B45&gt;0),1,0)+IF(Scorecards!D$41-18&gt;Scorecards!$B45,1,0))</f>
        <v>4</v>
      </c>
      <c r="E45" s="35">
        <f>if(Scorecards!E45="","",Scorecards!E45-IF(Scorecards!$B45&gt;0,FLOOR(Scorecards!$B45/18,1),0)-IF(AND(MOD(Scorecards!$B45,18)&gt;=Scorecards!E$41,Scorecards!$B45&gt;0),1,0)+IF(Scorecards!E$41-18&gt;Scorecards!$B45,1,0))</f>
        <v>2</v>
      </c>
      <c r="F45" s="35">
        <f>if(Scorecards!F45="","",Scorecards!F45-IF(Scorecards!$B45&gt;0,FLOOR(Scorecards!$B45/18,1),0)-IF(AND(MOD(Scorecards!$B45,18)&gt;=Scorecards!F$41,Scorecards!$B45&gt;0),1,0)+IF(Scorecards!F$41-18&gt;Scorecards!$B45,1,0))</f>
        <v>7</v>
      </c>
      <c r="G45" s="35">
        <f>if(Scorecards!G45="","",Scorecards!G45-IF(Scorecards!$B45&gt;0,FLOOR(Scorecards!$B45/18,1),0)-IF(AND(MOD(Scorecards!$B45,18)&gt;=Scorecards!G$41,Scorecards!$B45&gt;0),1,0)+IF(Scorecards!G$41-18&gt;Scorecards!$B45,1,0))</f>
        <v>4</v>
      </c>
      <c r="H45" s="35">
        <f>if(Scorecards!H45="","",Scorecards!H45-IF(Scorecards!$B45&gt;0,FLOOR(Scorecards!$B45/18,1),0)-IF(AND(MOD(Scorecards!$B45,18)&gt;=Scorecards!H$41,Scorecards!$B45&gt;0),1,0)+IF(Scorecards!H$41-18&gt;Scorecards!$B45,1,0))</f>
        <v>3</v>
      </c>
      <c r="I45" s="35">
        <f>if(Scorecards!I45="","",Scorecards!I45-IF(Scorecards!$B45&gt;0,FLOOR(Scorecards!$B45/18,1),0)-IF(AND(MOD(Scorecards!$B45,18)&gt;=Scorecards!I$41,Scorecards!$B45&gt;0),1,0)+IF(Scorecards!I$41-18&gt;Scorecards!$B45,1,0))</f>
        <v>3</v>
      </c>
      <c r="J45" s="35">
        <f>if(Scorecards!J45="","",Scorecards!J45-IF(Scorecards!$B45&gt;0,FLOOR(Scorecards!$B45/18,1),0)-IF(AND(MOD(Scorecards!$B45,18)&gt;=Scorecards!J$41,Scorecards!$B45&gt;0),1,0)+IF(Scorecards!J$41-18&gt;Scorecards!$B45,1,0))</f>
        <v>5</v>
      </c>
      <c r="K45" s="35">
        <f>if(Scorecards!K45="","",Scorecards!K45-IF(Scorecards!$B45&gt;0,FLOOR(Scorecards!$B45/18,1),0)-IF(AND(MOD(Scorecards!$B45,18)&gt;=Scorecards!K$41,Scorecards!$B45&gt;0),1,0)+IF(Scorecards!K$41-18&gt;Scorecards!$B45,1,0))</f>
        <v>5</v>
      </c>
      <c r="L45" s="35">
        <f>if(Scorecards!L45="","",Scorecards!L45-IF(Scorecards!$B45&gt;0,FLOOR(Scorecards!$B45/18,1),0)-IF(AND(MOD(Scorecards!$B45,18)&gt;=Scorecards!L$41,Scorecards!$B45&gt;0),1,0)+IF(Scorecards!L$41-18&gt;Scorecards!$B45,1,0))</f>
        <v>4</v>
      </c>
      <c r="M45" s="35">
        <f>if(Scorecards!M45="","",Scorecards!M45-IF(Scorecards!$B45&gt;0,FLOOR(Scorecards!$B45/18,1),0)-IF(AND(MOD(Scorecards!$B45,18)&gt;=Scorecards!M$41,Scorecards!$B45&gt;0),1,0)+IF(Scorecards!M$41-18&gt;Scorecards!$B45,1,0))</f>
        <v>6</v>
      </c>
      <c r="N45" s="35">
        <f>if(Scorecards!N45="","",Scorecards!N45-IF(Scorecards!$B45&gt;0,FLOOR(Scorecards!$B45/18,1),0)-IF(AND(MOD(Scorecards!$B45,18)&gt;=Scorecards!N$41,Scorecards!$B45&gt;0),1,0)+IF(Scorecards!N$41-18&gt;Scorecards!$B45,1,0))</f>
        <v>3</v>
      </c>
      <c r="O45" s="35">
        <f>if(Scorecards!O45="","",Scorecards!O45-IF(Scorecards!$B45&gt;0,FLOOR(Scorecards!$B45/18,1),0)-IF(AND(MOD(Scorecards!$B45,18)&gt;=Scorecards!O$41,Scorecards!$B45&gt;0),1,0)+IF(Scorecards!O$41-18&gt;Scorecards!$B45,1,0))</f>
        <v>5</v>
      </c>
      <c r="P45" s="35">
        <f>if(Scorecards!P45="","",Scorecards!P45-IF(Scorecards!$B45&gt;0,FLOOR(Scorecards!$B45/18,1),0)-IF(AND(MOD(Scorecards!$B45,18)&gt;=Scorecards!P$41,Scorecards!$B45&gt;0),1,0)+IF(Scorecards!P$41-18&gt;Scorecards!$B45,1,0))</f>
        <v>5</v>
      </c>
      <c r="Q45" s="35">
        <f>if(Scorecards!Q45="","",Scorecards!Q45-IF(Scorecards!$B45&gt;0,FLOOR(Scorecards!$B45/18,1),0)-IF(AND(MOD(Scorecards!$B45,18)&gt;=Scorecards!Q$41,Scorecards!$B45&gt;0),1,0)+IF(Scorecards!Q$41-18&gt;Scorecards!$B45,1,0))</f>
        <v>2</v>
      </c>
      <c r="R45" s="35">
        <f>if(Scorecards!R45="","",Scorecards!R45-IF(Scorecards!$B45&gt;0,FLOOR(Scorecards!$B45/18,1),0)-IF(AND(MOD(Scorecards!$B45,18)&gt;=Scorecards!R$41,Scorecards!$B45&gt;0),1,0)+IF(Scorecards!R$41-18&gt;Scorecards!$B45,1,0))</f>
        <v>4</v>
      </c>
      <c r="S45" s="35">
        <f>if(Scorecards!S45="","",Scorecards!S45-IF(Scorecards!$B45&gt;0,FLOOR(Scorecards!$B45/18,1),0)-IF(AND(MOD(Scorecards!$B45,18)&gt;=Scorecards!S$41,Scorecards!$B45&gt;0),1,0)+IF(Scorecards!S$41-18&gt;Scorecards!$B45,1,0))</f>
        <v>4</v>
      </c>
      <c r="T45" s="35">
        <f>if(Scorecards!T45="","",Scorecards!T45-IF(Scorecards!$B45&gt;0,FLOOR(Scorecards!$B45/18,1),0)-IF(AND(MOD(Scorecards!$B45,18)&gt;=Scorecards!T$41,Scorecards!$B45&gt;0),1,0)+IF(Scorecards!T$41-18&gt;Scorecards!$B45,1,0))</f>
        <v>5</v>
      </c>
      <c r="U45" s="35">
        <f>if(Scorecards!U45="","",Scorecards!U45-IF(Scorecards!$B45&gt;0,FLOOR(Scorecards!$B45/18,1),0)-IF(AND(MOD(Scorecards!$B45,18)&gt;=Scorecards!U$41,Scorecards!$B45&gt;0),1,0)+IF(Scorecards!U$41-18&gt;Scorecards!$B45,1,0))</f>
        <v>6</v>
      </c>
      <c r="V45" s="36">
        <f t="shared" si="11"/>
        <v>37</v>
      </c>
      <c r="W45" s="36">
        <f t="shared" si="12"/>
        <v>40</v>
      </c>
      <c r="X45" s="36">
        <f t="shared" si="13"/>
        <v>77</v>
      </c>
      <c r="Y45" s="37">
        <f t="shared" si="14"/>
        <v>57</v>
      </c>
      <c r="Z45" s="38">
        <f t="array" ref="Z45">sum(if(D45-$D$42=-3,1,0),if(E45-$E$42=-3,1,0),if(F45-$F$42=-3,1,0),if(G45-$G$42=-3,1,0),if(H45-$H$42=-3,1,0),if(I45-$I$42=-3,1,0),if(J45-$J$42=-3,1,0),if(K45-$K$42=-3,1,0),if(L45-$L$42=-3,1,0),if(M45-$M$42=-3,1,0),if(N45-$N$42=-3,1,0),if(O45-$O$42=-3,1,0),if(P45-$P$42=-3,1,0),if(Q45-$Q$42=-3,1,0),if(R45-$R$42=-3,1,0),if(S45-$S$42=-3,1,0),if(T45-$T$42=-3,1,0),if(U45-$U$42=-3,1,0))</f>
        <v>0</v>
      </c>
      <c r="AA45" s="38">
        <f t="array" ref="AA45">sum(if(D45-$D$42=-2,1,0),if(E45-$E$42=-2,1,0),if(F45-$F$42=-2,1,0),if(G45-$G$42=-2,1,0),if(H45-$H$42=-2,1,0),if(I45-$I$42=-2,1,0),if(J45-$J$42=-2,1,0),if(K45-$K$42=-2,1,0),if(L45-$L$42=-2,1,0),if(M45-$M$42=-2,1,0),if(N45-$N$42=-2,1,0),if(O45-$O$42=-2,1,0),if(P45-$P$42=-2,1,0),if(Q45-$Q$42=-2,1,0),if(R45-$R$42=-2,1,0),if(S45-$S$42=-2,1,0),if(T45-$T$42=-2,1,0),if(U45-$U$42=-2,1,0))</f>
        <v>2</v>
      </c>
      <c r="AB45" s="38">
        <f t="array" ref="AB45">sum(if(D45-$D$42=-1,1,0),if(E45-$E$42=-1,1,0),if(F45-$F$42=-1,1,0),if(G45-$G$42=-1,1,0),if(H45-$H$42=-1,1,0),if(I45-$I$42=-1,1,0),if(J45-$J$42=-1,1,0),if(K45-$K$42=-1,1,0),if(L45-$L$42=-1,1,0),if(M45-$M$42=-1,1,0),if(N45-$N$42=-1,1,0),if(O45-$O$42=-1,1,0),if(P45-$P$42=-1,1,0),if(Q45-$Q$42=-1,1,0),if(R45-$R$42=-1,1,0),if(S45-$S$42=-1,1,0),if(T45-$T$42=-1,1,0),if(U45-$U$42=-1,1,0))</f>
        <v>3</v>
      </c>
      <c r="AC45" s="38">
        <f t="array" ref="AC45">sum(if(D45-$D$42=0,1,0),if(E45-$E$42=0,1,0),if(F45-$F$42=0,1,0),if(G45-$G$42=0,1,0),if(H45-$H$42=0,1,0),if(I45-$I$42=0,1,0),if(J45-$J$42=0,1,0),if(K45-$K$42=0,1,0),if(L45-$L$42=0,1,0),if(M45-$M$42=0,1,0),if(N45-$N$42=0,1,0),if(O45-$O$42=0,1,0),if(P45-$P$42=0,1,0),if(Q45-$Q$42=0,1,0),if(R45-$R$42=0,1,0),if(S45-$S$42=0,1,0),if(T45-$T$42=0,1,0),if(U45-$U$42=0,1,0))</f>
        <v>5</v>
      </c>
      <c r="AD45" s="38">
        <f t="array" ref="AD45">sum(if(D45-$D$42=1,1,0),if(E45-$E$42=1,1,0),if(F45-$F$42=1,1,0),if(G45-$G$42=1,1,0),if(H45-$H$42=1,1,0),if(I45-$I$42=1,1,0),if(J45-$J$42=1,1,0),if(K45-$K$42=1,1,0),if(L45-$L$42=1,1,0),if(M45-$M$42=1,1,0),if(N45-$N$42=1,1,0),if(O45-$O$42=1,1,0),if(P45-$P$42=1,1,0),if(Q45-$Q$42=1,1,0),if(R45-$R$42=1,1,0),if(S45-$S$42=1,1,0),if(T45-$T$42=1,1,0),if(U45-$U$42=1,1,0))</f>
        <v>4</v>
      </c>
      <c r="AE45" s="38">
        <f t="array" ref="AE45">sum(if(D45-$D$42=2,1,0),if(E45-$E$42=2,1,0),if(F45-$F$42=2,1,0),if(G45-$G$42=2,1,0),if(H45-$H$42=2,1,0),if(I45-$I$42=2,1,0),if(J45-$J$42=2,1,0),if(K45-$K$42=2,1,0),if(L45-$L$42=2,1,0),if(M45-$M$42=2,1,0),if(N45-$N$42=2,1,0),if(O45-$O$42=2,1,0),if(P45-$P$42=2,1,0),if(Q45-$Q$42=2,1,0),if(R45-$R$42=2,1,0),if(S45-$S$42=2,1,0),if(T45-$T$42=2,1,0),if(U45-$U$42=2,1,0))</f>
        <v>4</v>
      </c>
      <c r="AF45" s="38">
        <f t="array" ref="AF45">sum(if(D45-$D$42=3,1,0),if(E45-$E$42=3,1,0),if(F45-$F$42=3,1,0),if(G45-$G$42=3,1,0),if(H45-$H$42=3,1,0),if(I45-$I$42=3,1,0),if(J45-$J$42=3,1,0),if(K45-$K$42=3,1,0),if(L45-$L$42=3,1,0),if(M45-$M$42=3,1,0),if(N45-$N$42=3,1,0),if(O45-$O$42=3,1,0),if(P45-$P$42=3,1,0),if(Q45-$Q$42=3,1,0),if(R45-$R$42=3,1,0),if(S45-$S$42=3,1,0),if(T45-$T$42=3,1,0),if(U45-$U$42=3,1,0))</f>
        <v>0</v>
      </c>
      <c r="AG45" s="38">
        <f t="array" ref="AG45">sum(if(D45-$D$42&gt;3,1,0),if(E45-$E$42&gt;3,1,0),if(F45-$F$42&gt;3,1,0),if(G45-$G$42&gt;3,1,0),if(H45-$H$42&gt;3,1,0),if(I45-$I$42&gt;3,1,0),if(J45-$J$42&gt;3,1,0),if(K45-$K$42&gt;3,1,0),if(L45-$L$42&gt;3,1,0),if(M45-$M$42&gt;3,1,0),if(N45-$N$42&gt;3,1,0),if(O45-$O$42&gt;3,1,0),if(P45-$P$42&gt;3,1,0),if(Q45-$Q$42&gt;3,1,0),if(R45-$R$42&gt;3,1,0),if(S45-$S$42&gt;3,1,0),if(T45-$T$42&gt;3,1,0),if(U45-$U$42&gt;3,1,0))</f>
        <v>0</v>
      </c>
      <c r="AH45" s="38">
        <f t="shared" si="15"/>
        <v>18</v>
      </c>
    </row>
    <row r="46" ht="12.75" customHeight="1">
      <c r="A46" s="32" t="str">
        <f>SETUP!A8</f>
        <v>Brian K</v>
      </c>
      <c r="B46" s="33">
        <f t="array" ref="B46">if(A46="","",index(SETUP!C:C,match(A46,SETUP!A:A,0)))</f>
        <v>13</v>
      </c>
      <c r="C46" s="17"/>
      <c r="D46" s="35">
        <f>if(Scorecards!D46="","",Scorecards!D46-IF(Scorecards!$B46&gt;0,FLOOR(Scorecards!$B46/18,1),0)-IF(AND(MOD(Scorecards!$B46,18)&gt;=Scorecards!D$41,Scorecards!$B46&gt;0),1,0)+IF(Scorecards!D$41-18&gt;Scorecards!$B46,1,0))</f>
        <v>7</v>
      </c>
      <c r="E46" s="35">
        <f>if(Scorecards!E46="","",Scorecards!E46-IF(Scorecards!$B46&gt;0,FLOOR(Scorecards!$B46/18,1),0)-IF(AND(MOD(Scorecards!$B46,18)&gt;=Scorecards!E$41,Scorecards!$B46&gt;0),1,0)+IF(Scorecards!E$41-18&gt;Scorecards!$B46,1,0))</f>
        <v>2</v>
      </c>
      <c r="F46" s="35">
        <f>if(Scorecards!F46="","",Scorecards!F46-IF(Scorecards!$B46&gt;0,FLOOR(Scorecards!$B46/18,1),0)-IF(AND(MOD(Scorecards!$B46,18)&gt;=Scorecards!F$41,Scorecards!$B46&gt;0),1,0)+IF(Scorecards!F$41-18&gt;Scorecards!$B46,1,0))</f>
        <v>4</v>
      </c>
      <c r="G46" s="35">
        <f>if(Scorecards!G46="","",Scorecards!G46-IF(Scorecards!$B46&gt;0,FLOOR(Scorecards!$B46/18,1),0)-IF(AND(MOD(Scorecards!$B46,18)&gt;=Scorecards!G$41,Scorecards!$B46&gt;0),1,0)+IF(Scorecards!G$41-18&gt;Scorecards!$B46,1,0))</f>
        <v>3</v>
      </c>
      <c r="H46" s="35">
        <f>if(Scorecards!H46="","",Scorecards!H46-IF(Scorecards!$B46&gt;0,FLOOR(Scorecards!$B46/18,1),0)-IF(AND(MOD(Scorecards!$B46,18)&gt;=Scorecards!H$41,Scorecards!$B46&gt;0),1,0)+IF(Scorecards!H$41-18&gt;Scorecards!$B46,1,0))</f>
        <v>8</v>
      </c>
      <c r="I46" s="35">
        <f>if(Scorecards!I46="","",Scorecards!I46-IF(Scorecards!$B46&gt;0,FLOOR(Scorecards!$B46/18,1),0)-IF(AND(MOD(Scorecards!$B46,18)&gt;=Scorecards!I$41,Scorecards!$B46&gt;0),1,0)+IF(Scorecards!I$41-18&gt;Scorecards!$B46,1,0))</f>
        <v>4</v>
      </c>
      <c r="J46" s="35">
        <f>if(Scorecards!J46="","",Scorecards!J46-IF(Scorecards!$B46&gt;0,FLOOR(Scorecards!$B46/18,1),0)-IF(AND(MOD(Scorecards!$B46,18)&gt;=Scorecards!J$41,Scorecards!$B46&gt;0),1,0)+IF(Scorecards!J$41-18&gt;Scorecards!$B46,1,0))</f>
        <v>4</v>
      </c>
      <c r="K46" s="35">
        <f>if(Scorecards!K46="","",Scorecards!K46-IF(Scorecards!$B46&gt;0,FLOOR(Scorecards!$B46/18,1),0)-IF(AND(MOD(Scorecards!$B46,18)&gt;=Scorecards!K$41,Scorecards!$B46&gt;0),1,0)+IF(Scorecards!K$41-18&gt;Scorecards!$B46,1,0))</f>
        <v>4</v>
      </c>
      <c r="L46" s="35">
        <f>if(Scorecards!L46="","",Scorecards!L46-IF(Scorecards!$B46&gt;0,FLOOR(Scorecards!$B46/18,1),0)-IF(AND(MOD(Scorecards!$B46,18)&gt;=Scorecards!L$41,Scorecards!$B46&gt;0),1,0)+IF(Scorecards!L$41-18&gt;Scorecards!$B46,1,0))</f>
        <v>3</v>
      </c>
      <c r="M46" s="35">
        <f>if(Scorecards!M46="","",Scorecards!M46-IF(Scorecards!$B46&gt;0,FLOOR(Scorecards!$B46/18,1),0)-IF(AND(MOD(Scorecards!$B46,18)&gt;=Scorecards!M$41,Scorecards!$B46&gt;0),1,0)+IF(Scorecards!M$41-18&gt;Scorecards!$B46,1,0))</f>
        <v>5</v>
      </c>
      <c r="N46" s="35">
        <f>if(Scorecards!N46="","",Scorecards!N46-IF(Scorecards!$B46&gt;0,FLOOR(Scorecards!$B46/18,1),0)-IF(AND(MOD(Scorecards!$B46,18)&gt;=Scorecards!N$41,Scorecards!$B46&gt;0),1,0)+IF(Scorecards!N$41-18&gt;Scorecards!$B46,1,0))</f>
        <v>5</v>
      </c>
      <c r="O46" s="35">
        <f>if(Scorecards!O46="","",Scorecards!O46-IF(Scorecards!$B46&gt;0,FLOOR(Scorecards!$B46/18,1),0)-IF(AND(MOD(Scorecards!$B46,18)&gt;=Scorecards!O$41,Scorecards!$B46&gt;0),1,0)+IF(Scorecards!O$41-18&gt;Scorecards!$B46,1,0))</f>
        <v>3</v>
      </c>
      <c r="P46" s="35">
        <f>if(Scorecards!P46="","",Scorecards!P46-IF(Scorecards!$B46&gt;0,FLOOR(Scorecards!$B46/18,1),0)-IF(AND(MOD(Scorecards!$B46,18)&gt;=Scorecards!P$41,Scorecards!$B46&gt;0),1,0)+IF(Scorecards!P$41-18&gt;Scorecards!$B46,1,0))</f>
        <v>4</v>
      </c>
      <c r="Q46" s="35">
        <f>if(Scorecards!Q46="","",Scorecards!Q46-IF(Scorecards!$B46&gt;0,FLOOR(Scorecards!$B46/18,1),0)-IF(AND(MOD(Scorecards!$B46,18)&gt;=Scorecards!Q$41,Scorecards!$B46&gt;0),1,0)+IF(Scorecards!Q$41-18&gt;Scorecards!$B46,1,0))</f>
        <v>7</v>
      </c>
      <c r="R46" s="35">
        <f>if(Scorecards!R46="","",Scorecards!R46-IF(Scorecards!$B46&gt;0,FLOOR(Scorecards!$B46/18,1),0)-IF(AND(MOD(Scorecards!$B46,18)&gt;=Scorecards!R$41,Scorecards!$B46&gt;0),1,0)+IF(Scorecards!R$41-18&gt;Scorecards!$B46,1,0))</f>
        <v>3</v>
      </c>
      <c r="S46" s="35">
        <f>if(Scorecards!S46="","",Scorecards!S46-IF(Scorecards!$B46&gt;0,FLOOR(Scorecards!$B46/18,1),0)-IF(AND(MOD(Scorecards!$B46,18)&gt;=Scorecards!S$41,Scorecards!$B46&gt;0),1,0)+IF(Scorecards!S$41-18&gt;Scorecards!$B46,1,0))</f>
        <v>4</v>
      </c>
      <c r="T46" s="35">
        <f>if(Scorecards!T46="","",Scorecards!T46-IF(Scorecards!$B46&gt;0,FLOOR(Scorecards!$B46/18,1),0)-IF(AND(MOD(Scorecards!$B46,18)&gt;=Scorecards!T$41,Scorecards!$B46&gt;0),1,0)+IF(Scorecards!T$41-18&gt;Scorecards!$B46,1,0))</f>
        <v>4</v>
      </c>
      <c r="U46" s="35">
        <f>if(Scorecards!U46="","",Scorecards!U46-IF(Scorecards!$B46&gt;0,FLOOR(Scorecards!$B46/18,1),0)-IF(AND(MOD(Scorecards!$B46,18)&gt;=Scorecards!U$41,Scorecards!$B46&gt;0),1,0)+IF(Scorecards!U$41-18&gt;Scorecards!$B46,1,0))</f>
        <v>4</v>
      </c>
      <c r="V46" s="36">
        <f t="shared" si="11"/>
        <v>39</v>
      </c>
      <c r="W46" s="36">
        <f t="shared" si="12"/>
        <v>39</v>
      </c>
      <c r="X46" s="36">
        <f t="shared" si="13"/>
        <v>78</v>
      </c>
      <c r="Y46" s="37">
        <f t="shared" si="14"/>
        <v>65</v>
      </c>
      <c r="Z46" s="38">
        <f t="array" ref="Z46">sum(if(D46-$D$42=-3,1,0),if(E46-$E$42=-3,1,0),if(F46-$F$42=-3,1,0),if(G46-$G$42=-3,1,0),if(H46-$H$42=-3,1,0),if(I46-$I$42=-3,1,0),if(J46-$J$42=-3,1,0),if(K46-$K$42=-3,1,0),if(L46-$L$42=-3,1,0),if(M46-$M$42=-3,1,0),if(N46-$N$42=-3,1,0),if(O46-$O$42=-3,1,0),if(P46-$P$42=-3,1,0),if(Q46-$Q$42=-3,1,0),if(R46-$R$42=-3,1,0),if(S46-$S$42=-3,1,0),if(T46-$T$42=-3,1,0),if(U46-$U$42=-3,1,0))</f>
        <v>0</v>
      </c>
      <c r="AA46" s="38">
        <f t="array" ref="AA46">sum(if(D46-$D$42=-2,1,0),if(E46-$E$42=-2,1,0),if(F46-$F$42=-2,1,0),if(G46-$G$42=-2,1,0),if(H46-$H$42=-2,1,0),if(I46-$I$42=-2,1,0),if(J46-$J$42=-2,1,0),if(K46-$K$42=-2,1,0),if(L46-$L$42=-2,1,0),if(M46-$M$42=-2,1,0),if(N46-$N$42=-2,1,0),if(O46-$O$42=-2,1,0),if(P46-$P$42=-2,1,0),if(Q46-$Q$42=-2,1,0),if(R46-$R$42=-2,1,0),if(S46-$S$42=-2,1,0),if(T46-$T$42=-2,1,0),if(U46-$U$42=-2,1,0))</f>
        <v>0</v>
      </c>
      <c r="AB46" s="38">
        <f t="array" ref="AB46">sum(if(D46-$D$42=-1,1,0),if(E46-$E$42=-1,1,0),if(F46-$F$42=-1,1,0),if(G46-$G$42=-1,1,0),if(H46-$H$42=-1,1,0),if(I46-$I$42=-1,1,0),if(J46-$J$42=-1,1,0),if(K46-$K$42=-1,1,0),if(L46-$L$42=-1,1,0),if(M46-$M$42=-1,1,0),if(N46-$N$42=-1,1,0),if(O46-$O$42=-1,1,0),if(P46-$P$42=-1,1,0),if(Q46-$Q$42=-1,1,0),if(R46-$R$42=-1,1,0),if(S46-$S$42=-1,1,0),if(T46-$T$42=-1,1,0),if(U46-$U$42=-1,1,0))</f>
        <v>5</v>
      </c>
      <c r="AC46" s="38">
        <f t="array" ref="AC46">sum(if(D46-$D$42=0,1,0),if(E46-$E$42=0,1,0),if(F46-$F$42=0,1,0),if(G46-$G$42=0,1,0),if(H46-$H$42=0,1,0),if(I46-$I$42=0,1,0),if(J46-$J$42=0,1,0),if(K46-$K$42=0,1,0),if(L46-$L$42=0,1,0),if(M46-$M$42=0,1,0),if(N46-$N$42=0,1,0),if(O46-$O$42=0,1,0),if(P46-$P$42=0,1,0),if(Q46-$Q$42=0,1,0),if(R46-$R$42=0,1,0),if(S46-$S$42=0,1,0),if(T46-$T$42=0,1,0),if(U46-$U$42=0,1,0))</f>
        <v>9</v>
      </c>
      <c r="AD46" s="38">
        <f t="array" ref="AD46">sum(if(D46-$D$42=1,1,0),if(E46-$E$42=1,1,0),if(F46-$F$42=1,1,0),if(G46-$G$42=1,1,0),if(H46-$H$42=1,1,0),if(I46-$I$42=1,1,0),if(J46-$J$42=1,1,0),if(K46-$K$42=1,1,0),if(L46-$L$42=1,1,0),if(M46-$M$42=1,1,0),if(N46-$N$42=1,1,0),if(O46-$O$42=1,1,0),if(P46-$P$42=1,1,0),if(Q46-$Q$42=1,1,0),if(R46-$R$42=1,1,0),if(S46-$S$42=1,1,0),if(T46-$T$42=1,1,0),if(U46-$U$42=1,1,0))</f>
        <v>1</v>
      </c>
      <c r="AE46" s="38">
        <f t="array" ref="AE46">sum(if(D46-$D$42=2,1,0),if(E46-$E$42=2,1,0),if(F46-$F$42=2,1,0),if(G46-$G$42=2,1,0),if(H46-$H$42=2,1,0),if(I46-$I$42=2,1,0),if(J46-$J$42=2,1,0),if(K46-$K$42=2,1,0),if(L46-$L$42=2,1,0),if(M46-$M$42=2,1,0),if(N46-$N$42=2,1,0),if(O46-$O$42=2,1,0),if(P46-$P$42=2,1,0),if(Q46-$Q$42=2,1,0),if(R46-$R$42=2,1,0),if(S46-$S$42=2,1,0),if(T46-$T$42=2,1,0),if(U46-$U$42=2,1,0))</f>
        <v>0</v>
      </c>
      <c r="AF46" s="38">
        <f t="array" ref="AF46">sum(if(D46-$D$42=3,1,0),if(E46-$E$42=3,1,0),if(F46-$F$42=3,1,0),if(G46-$G$42=3,1,0),if(H46-$H$42=3,1,0),if(I46-$I$42=3,1,0),if(J46-$J$42=3,1,0),if(K46-$K$42=3,1,0),if(L46-$L$42=3,1,0),if(M46-$M$42=3,1,0),if(N46-$N$42=3,1,0),if(O46-$O$42=3,1,0),if(P46-$P$42=3,1,0),if(Q46-$Q$42=3,1,0),if(R46-$R$42=3,1,0),if(S46-$S$42=3,1,0),if(T46-$T$42=3,1,0),if(U46-$U$42=3,1,0))</f>
        <v>2</v>
      </c>
      <c r="AG46" s="38">
        <f t="array" ref="AG46">sum(if(D46-$D$42&gt;3,1,0),if(E46-$E$42&gt;3,1,0),if(F46-$F$42&gt;3,1,0),if(G46-$G$42&gt;3,1,0),if(H46-$H$42&gt;3,1,0),if(I46-$I$42&gt;3,1,0),if(J46-$J$42&gt;3,1,0),if(K46-$K$42&gt;3,1,0),if(L46-$L$42&gt;3,1,0),if(M46-$M$42&gt;3,1,0),if(N46-$N$42&gt;3,1,0),if(O46-$O$42&gt;3,1,0),if(P46-$P$42&gt;3,1,0),if(Q46-$Q$42&gt;3,1,0),if(R46-$R$42&gt;3,1,0),if(S46-$S$42&gt;3,1,0),if(T46-$T$42&gt;3,1,0),if(U46-$U$42&gt;3,1,0))</f>
        <v>1</v>
      </c>
      <c r="AH46" s="38">
        <f t="shared" si="15"/>
        <v>18</v>
      </c>
    </row>
    <row r="47" ht="12.75" customHeight="1">
      <c r="A47" s="32" t="str">
        <f>SETUP!A9</f>
        <v>Dave K</v>
      </c>
      <c r="B47" s="33">
        <f t="array" ref="B47">if(A47="","",index(SETUP!C:C,match(A47,SETUP!A:A,0)))</f>
        <v>20</v>
      </c>
      <c r="C47" s="17"/>
      <c r="D47" s="35">
        <f>if(Scorecards!D47="","",Scorecards!D47-IF(Scorecards!$B47&gt;0,FLOOR(Scorecards!$B47/18,1),0)-IF(AND(MOD(Scorecards!$B47,18)&gt;=Scorecards!D$41,Scorecards!$B47&gt;0),1,0)+IF(Scorecards!D$41-18&gt;Scorecards!$B47,1,0))</f>
        <v>8</v>
      </c>
      <c r="E47" s="35">
        <f>if(Scorecards!E47="","",Scorecards!E47-IF(Scorecards!$B47&gt;0,FLOOR(Scorecards!$B47/18,1),0)-IF(AND(MOD(Scorecards!$B47,18)&gt;=Scorecards!E$41,Scorecards!$B47&gt;0),1,0)+IF(Scorecards!E$41-18&gt;Scorecards!$B47,1,0))</f>
        <v>4</v>
      </c>
      <c r="F47" s="35">
        <f>if(Scorecards!F47="","",Scorecards!F47-IF(Scorecards!$B47&gt;0,FLOOR(Scorecards!$B47/18,1),0)-IF(AND(MOD(Scorecards!$B47,18)&gt;=Scorecards!F$41,Scorecards!$B47&gt;0),1,0)+IF(Scorecards!F$41-18&gt;Scorecards!$B47,1,0))</f>
        <v>3</v>
      </c>
      <c r="G47" s="35">
        <f>if(Scorecards!G47="","",Scorecards!G47-IF(Scorecards!$B47&gt;0,FLOOR(Scorecards!$B47/18,1),0)-IF(AND(MOD(Scorecards!$B47,18)&gt;=Scorecards!G$41,Scorecards!$B47&gt;0),1,0)+IF(Scorecards!G$41-18&gt;Scorecards!$B47,1,0))</f>
        <v>3</v>
      </c>
      <c r="H47" s="35">
        <f>if(Scorecards!H47="","",Scorecards!H47-IF(Scorecards!$B47&gt;0,FLOOR(Scorecards!$B47/18,1),0)-IF(AND(MOD(Scorecards!$B47,18)&gt;=Scorecards!H$41,Scorecards!$B47&gt;0),1,0)+IF(Scorecards!H$41-18&gt;Scorecards!$B47,1,0))</f>
        <v>4</v>
      </c>
      <c r="I47" s="35">
        <f>if(Scorecards!I47="","",Scorecards!I47-IF(Scorecards!$B47&gt;0,FLOOR(Scorecards!$B47/18,1),0)-IF(AND(MOD(Scorecards!$B47,18)&gt;=Scorecards!I$41,Scorecards!$B47&gt;0),1,0)+IF(Scorecards!I$41-18&gt;Scorecards!$B47,1,0))</f>
        <v>4</v>
      </c>
      <c r="J47" s="35">
        <f>if(Scorecards!J47="","",Scorecards!J47-IF(Scorecards!$B47&gt;0,FLOOR(Scorecards!$B47/18,1),0)-IF(AND(MOD(Scorecards!$B47,18)&gt;=Scorecards!J$41,Scorecards!$B47&gt;0),1,0)+IF(Scorecards!J$41-18&gt;Scorecards!$B47,1,0))</f>
        <v>3</v>
      </c>
      <c r="K47" s="35">
        <f>if(Scorecards!K47="","",Scorecards!K47-IF(Scorecards!$B47&gt;0,FLOOR(Scorecards!$B47/18,1),0)-IF(AND(MOD(Scorecards!$B47,18)&gt;=Scorecards!K$41,Scorecards!$B47&gt;0),1,0)+IF(Scorecards!K$41-18&gt;Scorecards!$B47,1,0))</f>
        <v>7</v>
      </c>
      <c r="L47" s="35">
        <f>if(Scorecards!L47="","",Scorecards!L47-IF(Scorecards!$B47&gt;0,FLOOR(Scorecards!$B47/18,1),0)-IF(AND(MOD(Scorecards!$B47,18)&gt;=Scorecards!L$41,Scorecards!$B47&gt;0),1,0)+IF(Scorecards!L$41-18&gt;Scorecards!$B47,1,0))</f>
        <v>2</v>
      </c>
      <c r="M47" s="35">
        <f>if(Scorecards!M47="","",Scorecards!M47-IF(Scorecards!$B47&gt;0,FLOOR(Scorecards!$B47/18,1),0)-IF(AND(MOD(Scorecards!$B47,18)&gt;=Scorecards!M$41,Scorecards!$B47&gt;0),1,0)+IF(Scorecards!M$41-18&gt;Scorecards!$B47,1,0))</f>
        <v>6</v>
      </c>
      <c r="N47" s="35">
        <f>if(Scorecards!N47="","",Scorecards!N47-IF(Scorecards!$B47&gt;0,FLOOR(Scorecards!$B47/18,1),0)-IF(AND(MOD(Scorecards!$B47,18)&gt;=Scorecards!N$41,Scorecards!$B47&gt;0),1,0)+IF(Scorecards!N$41-18&gt;Scorecards!$B47,1,0))</f>
        <v>4</v>
      </c>
      <c r="O47" s="35">
        <f>if(Scorecards!O47="","",Scorecards!O47-IF(Scorecards!$B47&gt;0,FLOOR(Scorecards!$B47/18,1),0)-IF(AND(MOD(Scorecards!$B47,18)&gt;=Scorecards!O$41,Scorecards!$B47&gt;0),1,0)+IF(Scorecards!O$41-18&gt;Scorecards!$B47,1,0))</f>
        <v>4</v>
      </c>
      <c r="P47" s="35">
        <f>if(Scorecards!P47="","",Scorecards!P47-IF(Scorecards!$B47&gt;0,FLOOR(Scorecards!$B47/18,1),0)-IF(AND(MOD(Scorecards!$B47,18)&gt;=Scorecards!P$41,Scorecards!$B47&gt;0),1,0)+IF(Scorecards!P$41-18&gt;Scorecards!$B47,1,0))</f>
        <v>5</v>
      </c>
      <c r="Q47" s="35">
        <f>if(Scorecards!Q47="","",Scorecards!Q47-IF(Scorecards!$B47&gt;0,FLOOR(Scorecards!$B47/18,1),0)-IF(AND(MOD(Scorecards!$B47,18)&gt;=Scorecards!Q$41,Scorecards!$B47&gt;0),1,0)+IF(Scorecards!Q$41-18&gt;Scorecards!$B47,1,0))</f>
        <v>3</v>
      </c>
      <c r="R47" s="35">
        <f>if(Scorecards!R47="","",Scorecards!R47-IF(Scorecards!$B47&gt;0,FLOOR(Scorecards!$B47/18,1),0)-IF(AND(MOD(Scorecards!$B47,18)&gt;=Scorecards!R$41,Scorecards!$B47&gt;0),1,0)+IF(Scorecards!R$41-18&gt;Scorecards!$B47,1,0))</f>
        <v>4</v>
      </c>
      <c r="S47" s="35">
        <f>if(Scorecards!S47="","",Scorecards!S47-IF(Scorecards!$B47&gt;0,FLOOR(Scorecards!$B47/18,1),0)-IF(AND(MOD(Scorecards!$B47,18)&gt;=Scorecards!S$41,Scorecards!$B47&gt;0),1,0)+IF(Scorecards!S$41-18&gt;Scorecards!$B47,1,0))</f>
        <v>4</v>
      </c>
      <c r="T47" s="35">
        <f>if(Scorecards!T47="","",Scorecards!T47-IF(Scorecards!$B47&gt;0,FLOOR(Scorecards!$B47/18,1),0)-IF(AND(MOD(Scorecards!$B47,18)&gt;=Scorecards!T$41,Scorecards!$B47&gt;0),1,0)+IF(Scorecards!T$41-18&gt;Scorecards!$B47,1,0))</f>
        <v>3</v>
      </c>
      <c r="U47" s="35">
        <f>if(Scorecards!U47="","",Scorecards!U47-IF(Scorecards!$B47&gt;0,FLOOR(Scorecards!$B47/18,1),0)-IF(AND(MOD(Scorecards!$B47,18)&gt;=Scorecards!U$41,Scorecards!$B47&gt;0),1,0)+IF(Scorecards!U$41-18&gt;Scorecards!$B47,1,0))</f>
        <v>6</v>
      </c>
      <c r="V47" s="36">
        <f t="shared" si="11"/>
        <v>38</v>
      </c>
      <c r="W47" s="36">
        <f t="shared" si="12"/>
        <v>39</v>
      </c>
      <c r="X47" s="36">
        <f t="shared" si="13"/>
        <v>77</v>
      </c>
      <c r="Y47" s="37">
        <f t="shared" si="14"/>
        <v>57</v>
      </c>
      <c r="Z47" s="38">
        <f t="array" ref="Z47">sum(if(D47-$D$42=-3,1,0),if(E47-$E$42=-3,1,0),if(F47-$F$42=-3,1,0),if(G47-$G$42=-3,1,0),if(H47-$H$42=-3,1,0),if(I47-$I$42=-3,1,0),if(J47-$J$42=-3,1,0),if(K47-$K$42=-3,1,0),if(L47-$L$42=-3,1,0),if(M47-$M$42=-3,1,0),if(N47-$N$42=-3,1,0),if(O47-$O$42=-3,1,0),if(P47-$P$42=-3,1,0),if(Q47-$Q$42=-3,1,0),if(R47-$R$42=-3,1,0),if(S47-$S$42=-3,1,0),if(T47-$T$42=-3,1,0),if(U47-$U$42=-3,1,0))</f>
        <v>0</v>
      </c>
      <c r="AA47" s="38">
        <f t="array" ref="AA47">sum(if(D47-$D$42=-2,1,0),if(E47-$E$42=-2,1,0),if(F47-$F$42=-2,1,0),if(G47-$G$42=-2,1,0),if(H47-$H$42=-2,1,0),if(I47-$I$42=-2,1,0),if(J47-$J$42=-2,1,0),if(K47-$K$42=-2,1,0),if(L47-$L$42=-2,1,0),if(M47-$M$42=-2,1,0),if(N47-$N$42=-2,1,0),if(O47-$O$42=-2,1,0),if(P47-$P$42=-2,1,0),if(Q47-$Q$42=-2,1,0),if(R47-$R$42=-2,1,0),if(S47-$S$42=-2,1,0),if(T47-$T$42=-2,1,0),if(U47-$U$42=-2,1,0))</f>
        <v>1</v>
      </c>
      <c r="AB47" s="38">
        <f t="array" ref="AB47">sum(if(D47-$D$42=-1,1,0),if(E47-$E$42=-1,1,0),if(F47-$F$42=-1,1,0),if(G47-$G$42=-1,1,0),if(H47-$H$42=-1,1,0),if(I47-$I$42=-1,1,0),if(J47-$J$42=-1,1,0),if(K47-$K$42=-1,1,0),if(L47-$L$42=-1,1,0),if(M47-$M$42=-1,1,0),if(N47-$N$42=-1,1,0),if(O47-$O$42=-1,1,0),if(P47-$P$42=-1,1,0),if(Q47-$Q$42=-1,1,0),if(R47-$R$42=-1,1,0),if(S47-$S$42=-1,1,0),if(T47-$T$42=-1,1,0),if(U47-$U$42=-1,1,0))</f>
        <v>5</v>
      </c>
      <c r="AC47" s="38">
        <f t="array" ref="AC47">sum(if(D47-$D$42=0,1,0),if(E47-$E$42=0,1,0),if(F47-$F$42=0,1,0),if(G47-$G$42=0,1,0),if(H47-$H$42=0,1,0),if(I47-$I$42=0,1,0),if(J47-$J$42=0,1,0),if(K47-$K$42=0,1,0),if(L47-$L$42=0,1,0),if(M47-$M$42=0,1,0),if(N47-$N$42=0,1,0),if(O47-$O$42=0,1,0),if(P47-$P$42=0,1,0),if(Q47-$Q$42=0,1,0),if(R47-$R$42=0,1,0),if(S47-$S$42=0,1,0),if(T47-$T$42=0,1,0),if(U47-$U$42=0,1,0))</f>
        <v>6</v>
      </c>
      <c r="AD47" s="38">
        <f t="array" ref="AD47">sum(if(D47-$D$42=1,1,0),if(E47-$E$42=1,1,0),if(F47-$F$42=1,1,0),if(G47-$G$42=1,1,0),if(H47-$H$42=1,1,0),if(I47-$I$42=1,1,0),if(J47-$J$42=1,1,0),if(K47-$K$42=1,1,0),if(L47-$L$42=1,1,0),if(M47-$M$42=1,1,0),if(N47-$N$42=1,1,0),if(O47-$O$42=1,1,0),if(P47-$P$42=1,1,0),if(Q47-$Q$42=1,1,0),if(R47-$R$42=1,1,0),if(S47-$S$42=1,1,0),if(T47-$T$42=1,1,0),if(U47-$U$42=1,1,0))</f>
        <v>2</v>
      </c>
      <c r="AE47" s="38">
        <f t="array" ref="AE47">sum(if(D47-$D$42=2,1,0),if(E47-$E$42=2,1,0),if(F47-$F$42=2,1,0),if(G47-$G$42=2,1,0),if(H47-$H$42=2,1,0),if(I47-$I$42=2,1,0),if(J47-$J$42=2,1,0),if(K47-$K$42=2,1,0),if(L47-$L$42=2,1,0),if(M47-$M$42=2,1,0),if(N47-$N$42=2,1,0),if(O47-$O$42=2,1,0),if(P47-$P$42=2,1,0),if(Q47-$Q$42=2,1,0),if(R47-$R$42=2,1,0),if(S47-$S$42=2,1,0),if(T47-$T$42=2,1,0),if(U47-$U$42=2,1,0))</f>
        <v>3</v>
      </c>
      <c r="AF47" s="38">
        <f t="array" ref="AF47">sum(if(D47-$D$42=3,1,0),if(E47-$E$42=3,1,0),if(F47-$F$42=3,1,0),if(G47-$G$42=3,1,0),if(H47-$H$42=3,1,0),if(I47-$I$42=3,1,0),if(J47-$J$42=3,1,0),if(K47-$K$42=3,1,0),if(L47-$L$42=3,1,0),if(M47-$M$42=3,1,0),if(N47-$N$42=3,1,0),if(O47-$O$42=3,1,0),if(P47-$P$42=3,1,0),if(Q47-$Q$42=3,1,0),if(R47-$R$42=3,1,0),if(S47-$S$42=3,1,0),if(T47-$T$42=3,1,0),if(U47-$U$42=3,1,0))</f>
        <v>0</v>
      </c>
      <c r="AG47" s="38">
        <f t="array" ref="AG47">sum(if(D47-$D$42&gt;3,1,0),if(E47-$E$42&gt;3,1,0),if(F47-$F$42&gt;3,1,0),if(G47-$G$42&gt;3,1,0),if(H47-$H$42&gt;3,1,0),if(I47-$I$42&gt;3,1,0),if(J47-$J$42&gt;3,1,0),if(K47-$K$42&gt;3,1,0),if(L47-$L$42&gt;3,1,0),if(M47-$M$42&gt;3,1,0),if(N47-$N$42&gt;3,1,0),if(O47-$O$42&gt;3,1,0),if(P47-$P$42&gt;3,1,0),if(Q47-$Q$42&gt;3,1,0),if(R47-$R$42&gt;3,1,0),if(S47-$S$42&gt;3,1,0),if(T47-$T$42&gt;3,1,0),if(U47-$U$42&gt;3,1,0))</f>
        <v>1</v>
      </c>
      <c r="AH47" s="38">
        <f t="shared" si="15"/>
        <v>18</v>
      </c>
    </row>
    <row r="48" ht="12.75" customHeight="1">
      <c r="A48" s="32" t="str">
        <f>SETUP!A10</f>
        <v>Eric O</v>
      </c>
      <c r="B48" s="33">
        <f t="array" ref="B48">if(A48="","",index(SETUP!C:C,match(A48,SETUP!A:A,0)))</f>
        <v>19</v>
      </c>
      <c r="C48" s="17"/>
      <c r="D48" s="35">
        <f>if(Scorecards!D48="","",Scorecards!D48-IF(Scorecards!$B48&gt;0,FLOOR(Scorecards!$B48/18,1),0)-IF(AND(MOD(Scorecards!$B48,18)&gt;=Scorecards!D$41,Scorecards!$B48&gt;0),1,0)+IF(Scorecards!D$41-18&gt;Scorecards!$B48,1,0))</f>
        <v>4</v>
      </c>
      <c r="E48" s="35">
        <f>if(Scorecards!E48="","",Scorecards!E48-IF(Scorecards!$B48&gt;0,FLOOR(Scorecards!$B48/18,1),0)-IF(AND(MOD(Scorecards!$B48,18)&gt;=Scorecards!E$41,Scorecards!$B48&gt;0),1,0)+IF(Scorecards!E$41-18&gt;Scorecards!$B48,1,0))</f>
        <v>3</v>
      </c>
      <c r="F48" s="35">
        <f>if(Scorecards!F48="","",Scorecards!F48-IF(Scorecards!$B48&gt;0,FLOOR(Scorecards!$B48/18,1),0)-IF(AND(MOD(Scorecards!$B48,18)&gt;=Scorecards!F$41,Scorecards!$B48&gt;0),1,0)+IF(Scorecards!F$41-18&gt;Scorecards!$B48,1,0))</f>
        <v>4</v>
      </c>
      <c r="G48" s="35">
        <f>if(Scorecards!G48="","",Scorecards!G48-IF(Scorecards!$B48&gt;0,FLOOR(Scorecards!$B48/18,1),0)-IF(AND(MOD(Scorecards!$B48,18)&gt;=Scorecards!G$41,Scorecards!$B48&gt;0),1,0)+IF(Scorecards!G$41-18&gt;Scorecards!$B48,1,0))</f>
        <v>2</v>
      </c>
      <c r="H48" s="35">
        <f>if(Scorecards!H48="","",Scorecards!H48-IF(Scorecards!$B48&gt;0,FLOOR(Scorecards!$B48/18,1),0)-IF(AND(MOD(Scorecards!$B48,18)&gt;=Scorecards!H$41,Scorecards!$B48&gt;0),1,0)+IF(Scorecards!H$41-18&gt;Scorecards!$B48,1,0))</f>
        <v>5</v>
      </c>
      <c r="I48" s="35">
        <f>if(Scorecards!I48="","",Scorecards!I48-IF(Scorecards!$B48&gt;0,FLOOR(Scorecards!$B48/18,1),0)-IF(AND(MOD(Scorecards!$B48,18)&gt;=Scorecards!I$41,Scorecards!$B48&gt;0),1,0)+IF(Scorecards!I$41-18&gt;Scorecards!$B48,1,0))</f>
        <v>4</v>
      </c>
      <c r="J48" s="35">
        <f>if(Scorecards!J48="","",Scorecards!J48-IF(Scorecards!$B48&gt;0,FLOOR(Scorecards!$B48/18,1),0)-IF(AND(MOD(Scorecards!$B48,18)&gt;=Scorecards!J$41,Scorecards!$B48&gt;0),1,0)+IF(Scorecards!J$41-18&gt;Scorecards!$B48,1,0))</f>
        <v>6</v>
      </c>
      <c r="K48" s="35">
        <f>if(Scorecards!K48="","",Scorecards!K48-IF(Scorecards!$B48&gt;0,FLOOR(Scorecards!$B48/18,1),0)-IF(AND(MOD(Scorecards!$B48,18)&gt;=Scorecards!K$41,Scorecards!$B48&gt;0),1,0)+IF(Scorecards!K$41-18&gt;Scorecards!$B48,1,0))</f>
        <v>6</v>
      </c>
      <c r="L48" s="35">
        <f>if(Scorecards!L48="","",Scorecards!L48-IF(Scorecards!$B48&gt;0,FLOOR(Scorecards!$B48/18,1),0)-IF(AND(MOD(Scorecards!$B48,18)&gt;=Scorecards!L$41,Scorecards!$B48&gt;0),1,0)+IF(Scorecards!L$41-18&gt;Scorecards!$B48,1,0))</f>
        <v>5</v>
      </c>
      <c r="M48" s="35">
        <f>if(Scorecards!M48="","",Scorecards!M48-IF(Scorecards!$B48&gt;0,FLOOR(Scorecards!$B48/18,1),0)-IF(AND(MOD(Scorecards!$B48,18)&gt;=Scorecards!M$41,Scorecards!$B48&gt;0),1,0)+IF(Scorecards!M$41-18&gt;Scorecards!$B48,1,0))</f>
        <v>5</v>
      </c>
      <c r="N48" s="35">
        <f>if(Scorecards!N48="","",Scorecards!N48-IF(Scorecards!$B48&gt;0,FLOOR(Scorecards!$B48/18,1),0)-IF(AND(MOD(Scorecards!$B48,18)&gt;=Scorecards!N$41,Scorecards!$B48&gt;0),1,0)+IF(Scorecards!N$41-18&gt;Scorecards!$B48,1,0))</f>
        <v>5</v>
      </c>
      <c r="O48" s="35">
        <f>if(Scorecards!O48="","",Scorecards!O48-IF(Scorecards!$B48&gt;0,FLOOR(Scorecards!$B48/18,1),0)-IF(AND(MOD(Scorecards!$B48,18)&gt;=Scorecards!O$41,Scorecards!$B48&gt;0),1,0)+IF(Scorecards!O$41-18&gt;Scorecards!$B48,1,0))</f>
        <v>3</v>
      </c>
      <c r="P48" s="35">
        <f>if(Scorecards!P48="","",Scorecards!P48-IF(Scorecards!$B48&gt;0,FLOOR(Scorecards!$B48/18,1),0)-IF(AND(MOD(Scorecards!$B48,18)&gt;=Scorecards!P$41,Scorecards!$B48&gt;0),1,0)+IF(Scorecards!P$41-18&gt;Scorecards!$B48,1,0))</f>
        <v>4</v>
      </c>
      <c r="Q48" s="35">
        <f>if(Scorecards!Q48="","",Scorecards!Q48-IF(Scorecards!$B48&gt;0,FLOOR(Scorecards!$B48/18,1),0)-IF(AND(MOD(Scorecards!$B48,18)&gt;=Scorecards!Q$41,Scorecards!$B48&gt;0),1,0)+IF(Scorecards!Q$41-18&gt;Scorecards!$B48,1,0))</f>
        <v>4</v>
      </c>
      <c r="R48" s="35">
        <f>if(Scorecards!R48="","",Scorecards!R48-IF(Scorecards!$B48&gt;0,FLOOR(Scorecards!$B48/18,1),0)-IF(AND(MOD(Scorecards!$B48,18)&gt;=Scorecards!R$41,Scorecards!$B48&gt;0),1,0)+IF(Scorecards!R$41-18&gt;Scorecards!$B48,1,0))</f>
        <v>5</v>
      </c>
      <c r="S48" s="35">
        <f>if(Scorecards!S48="","",Scorecards!S48-IF(Scorecards!$B48&gt;0,FLOOR(Scorecards!$B48/18,1),0)-IF(AND(MOD(Scorecards!$B48,18)&gt;=Scorecards!S$41,Scorecards!$B48&gt;0),1,0)+IF(Scorecards!S$41-18&gt;Scorecards!$B48,1,0))</f>
        <v>4</v>
      </c>
      <c r="T48" s="35">
        <f>if(Scorecards!T48="","",Scorecards!T48-IF(Scorecards!$B48&gt;0,FLOOR(Scorecards!$B48/18,1),0)-IF(AND(MOD(Scorecards!$B48,18)&gt;=Scorecards!T$41,Scorecards!$B48&gt;0),1,0)+IF(Scorecards!T$41-18&gt;Scorecards!$B48,1,0))</f>
        <v>2</v>
      </c>
      <c r="U48" s="35">
        <f>if(Scorecards!U48="","",Scorecards!U48-IF(Scorecards!$B48&gt;0,FLOOR(Scorecards!$B48/18,1),0)-IF(AND(MOD(Scorecards!$B48,18)&gt;=Scorecards!U$41,Scorecards!$B48&gt;0),1,0)+IF(Scorecards!U$41-18&gt;Scorecards!$B48,1,0))</f>
        <v>3</v>
      </c>
      <c r="V48" s="36">
        <f t="shared" si="11"/>
        <v>39</v>
      </c>
      <c r="W48" s="36">
        <f t="shared" si="12"/>
        <v>35</v>
      </c>
      <c r="X48" s="36">
        <f t="shared" si="13"/>
        <v>74</v>
      </c>
      <c r="Y48" s="37">
        <f t="shared" si="14"/>
        <v>55</v>
      </c>
      <c r="Z48" s="38">
        <f t="array" ref="Z48">sum(if(D48-$D$42=-3,1,0),if(E48-$E$42=-3,1,0),if(F48-$F$42=-3,1,0),if(G48-$G$42=-3,1,0),if(H48-$H$42=-3,1,0),if(I48-$I$42=-3,1,0),if(J48-$J$42=-3,1,0),if(K48-$K$42=-3,1,0),if(L48-$L$42=-3,1,0),if(M48-$M$42=-3,1,0),if(N48-$N$42=-3,1,0),if(O48-$O$42=-3,1,0),if(P48-$P$42=-3,1,0),if(Q48-$Q$42=-3,1,0),if(R48-$R$42=-3,1,0),if(S48-$S$42=-3,1,0),if(T48-$T$42=-3,1,0),if(U48-$U$42=-3,1,0))</f>
        <v>0</v>
      </c>
      <c r="AA48" s="38">
        <f t="array" ref="AA48">sum(if(D48-$D$42=-2,1,0),if(E48-$E$42=-2,1,0),if(F48-$F$42=-2,1,0),if(G48-$G$42=-2,1,0),if(H48-$H$42=-2,1,0),if(I48-$I$42=-2,1,0),if(J48-$J$42=-2,1,0),if(K48-$K$42=-2,1,0),if(L48-$L$42=-2,1,0),if(M48-$M$42=-2,1,0),if(N48-$N$42=-2,1,0),if(O48-$O$42=-2,1,0),if(P48-$P$42=-2,1,0),if(Q48-$Q$42=-2,1,0),if(R48-$R$42=-2,1,0),if(S48-$S$42=-2,1,0),if(T48-$T$42=-2,1,0),if(U48-$U$42=-2,1,0))</f>
        <v>1</v>
      </c>
      <c r="AB48" s="38">
        <f t="array" ref="AB48">sum(if(D48-$D$42=-1,1,0),if(E48-$E$42=-1,1,0),if(F48-$F$42=-1,1,0),if(G48-$G$42=-1,1,0),if(H48-$H$42=-1,1,0),if(I48-$I$42=-1,1,0),if(J48-$J$42=-1,1,0),if(K48-$K$42=-1,1,0),if(L48-$L$42=-1,1,0),if(M48-$M$42=-1,1,0),if(N48-$N$42=-1,1,0),if(O48-$O$42=-1,1,0),if(P48-$P$42=-1,1,0),if(Q48-$Q$42=-1,1,0),if(R48-$R$42=-1,1,0),if(S48-$S$42=-1,1,0),if(T48-$T$42=-1,1,0),if(U48-$U$42=-1,1,0))</f>
        <v>4</v>
      </c>
      <c r="AC48" s="38">
        <f t="array" ref="AC48">sum(if(D48-$D$42=0,1,0),if(E48-$E$42=0,1,0),if(F48-$F$42=0,1,0),if(G48-$G$42=0,1,0),if(H48-$H$42=0,1,0),if(I48-$I$42=0,1,0),if(J48-$J$42=0,1,0),if(K48-$K$42=0,1,0),if(L48-$L$42=0,1,0),if(M48-$M$42=0,1,0),if(N48-$N$42=0,1,0),if(O48-$O$42=0,1,0),if(P48-$P$42=0,1,0),if(Q48-$Q$42=0,1,0),if(R48-$R$42=0,1,0),if(S48-$S$42=0,1,0),if(T48-$T$42=0,1,0),if(U48-$U$42=0,1,0))</f>
        <v>7</v>
      </c>
      <c r="AD48" s="38">
        <f t="array" ref="AD48">sum(if(D48-$D$42=1,1,0),if(E48-$E$42=1,1,0),if(F48-$F$42=1,1,0),if(G48-$G$42=1,1,0),if(H48-$H$42=1,1,0),if(I48-$I$42=1,1,0),if(J48-$J$42=1,1,0),if(K48-$K$42=1,1,0),if(L48-$L$42=1,1,0),if(M48-$M$42=1,1,0),if(N48-$N$42=1,1,0),if(O48-$O$42=1,1,0),if(P48-$P$42=1,1,0),if(Q48-$Q$42=1,1,0),if(R48-$R$42=1,1,0),if(S48-$S$42=1,1,0),if(T48-$T$42=1,1,0),if(U48-$U$42=1,1,0))</f>
        <v>4</v>
      </c>
      <c r="AE48" s="38">
        <f t="array" ref="AE48">sum(if(D48-$D$42=2,1,0),if(E48-$E$42=2,1,0),if(F48-$F$42=2,1,0),if(G48-$G$42=2,1,0),if(H48-$H$42=2,1,0),if(I48-$I$42=2,1,0),if(J48-$J$42=2,1,0),if(K48-$K$42=2,1,0),if(L48-$L$42=2,1,0),if(M48-$M$42=2,1,0),if(N48-$N$42=2,1,0),if(O48-$O$42=2,1,0),if(P48-$P$42=2,1,0),if(Q48-$Q$42=2,1,0),if(R48-$R$42=2,1,0),if(S48-$S$42=2,1,0),if(T48-$T$42=2,1,0),if(U48-$U$42=2,1,0))</f>
        <v>2</v>
      </c>
      <c r="AF48" s="38">
        <f t="array" ref="AF48">sum(if(D48-$D$42=3,1,0),if(E48-$E$42=3,1,0),if(F48-$F$42=3,1,0),if(G48-$G$42=3,1,0),if(H48-$H$42=3,1,0),if(I48-$I$42=3,1,0),if(J48-$J$42=3,1,0),if(K48-$K$42=3,1,0),if(L48-$L$42=3,1,0),if(M48-$M$42=3,1,0),if(N48-$N$42=3,1,0),if(O48-$O$42=3,1,0),if(P48-$P$42=3,1,0),if(Q48-$Q$42=3,1,0),if(R48-$R$42=3,1,0),if(S48-$S$42=3,1,0),if(T48-$T$42=3,1,0),if(U48-$U$42=3,1,0))</f>
        <v>0</v>
      </c>
      <c r="AG48" s="38">
        <f t="array" ref="AG48">sum(if(D48-$D$42&gt;3,1,0),if(E48-$E$42&gt;3,1,0),if(F48-$F$42&gt;3,1,0),if(G48-$G$42&gt;3,1,0),if(H48-$H$42&gt;3,1,0),if(I48-$I$42&gt;3,1,0),if(J48-$J$42&gt;3,1,0),if(K48-$K$42&gt;3,1,0),if(L48-$L$42&gt;3,1,0),if(M48-$M$42&gt;3,1,0),if(N48-$N$42&gt;3,1,0),if(O48-$O$42&gt;3,1,0),if(P48-$P$42&gt;3,1,0),if(Q48-$Q$42&gt;3,1,0),if(R48-$R$42&gt;3,1,0),if(S48-$S$42&gt;3,1,0),if(T48-$T$42&gt;3,1,0),if(U48-$U$42&gt;3,1,0))</f>
        <v>0</v>
      </c>
      <c r="AH48" s="38">
        <f t="shared" si="15"/>
        <v>18</v>
      </c>
    </row>
    <row r="49" ht="12.75" customHeight="1">
      <c r="A49" s="32" t="str">
        <f>SETUP!A11</f>
        <v>Jeff B</v>
      </c>
      <c r="B49" s="33">
        <f t="array" ref="B49">if(A49="","",index(SETUP!C:C,match(A49,SETUP!A:A,0)))</f>
        <v>22</v>
      </c>
      <c r="C49" s="17"/>
      <c r="D49" s="35">
        <f>if(Scorecards!D49="","",Scorecards!D49-IF(Scorecards!$B49&gt;0,FLOOR(Scorecards!$B49/18,1),0)-IF(AND(MOD(Scorecards!$B49,18)&gt;=Scorecards!D$41,Scorecards!$B49&gt;0),1,0)+IF(Scorecards!D$41-18&gt;Scorecards!$B49,1,0))</f>
        <v>6</v>
      </c>
      <c r="E49" s="35">
        <f>if(Scorecards!E49="","",Scorecards!E49-IF(Scorecards!$B49&gt;0,FLOOR(Scorecards!$B49/18,1),0)-IF(AND(MOD(Scorecards!$B49,18)&gt;=Scorecards!E$41,Scorecards!$B49&gt;0),1,0)+IF(Scorecards!E$41-18&gt;Scorecards!$B49,1,0))</f>
        <v>3</v>
      </c>
      <c r="F49" s="35">
        <f>if(Scorecards!F49="","",Scorecards!F49-IF(Scorecards!$B49&gt;0,FLOOR(Scorecards!$B49/18,1),0)-IF(AND(MOD(Scorecards!$B49,18)&gt;=Scorecards!F$41,Scorecards!$B49&gt;0),1,0)+IF(Scorecards!F$41-18&gt;Scorecards!$B49,1,0))</f>
        <v>6</v>
      </c>
      <c r="G49" s="35">
        <f>if(Scorecards!G49="","",Scorecards!G49-IF(Scorecards!$B49&gt;0,FLOOR(Scorecards!$B49/18,1),0)-IF(AND(MOD(Scorecards!$B49,18)&gt;=Scorecards!G$41,Scorecards!$B49&gt;0),1,0)+IF(Scorecards!G$41-18&gt;Scorecards!$B49,1,0))</f>
        <v>3</v>
      </c>
      <c r="H49" s="35">
        <f>if(Scorecards!H49="","",Scorecards!H49-IF(Scorecards!$B49&gt;0,FLOOR(Scorecards!$B49/18,1),0)-IF(AND(MOD(Scorecards!$B49,18)&gt;=Scorecards!H$41,Scorecards!$B49&gt;0),1,0)+IF(Scorecards!H$41-18&gt;Scorecards!$B49,1,0))</f>
        <v>4</v>
      </c>
      <c r="I49" s="35">
        <f>if(Scorecards!I49="","",Scorecards!I49-IF(Scorecards!$B49&gt;0,FLOOR(Scorecards!$B49/18,1),0)-IF(AND(MOD(Scorecards!$B49,18)&gt;=Scorecards!I$41,Scorecards!$B49&gt;0),1,0)+IF(Scorecards!I$41-18&gt;Scorecards!$B49,1,0))</f>
        <v>2</v>
      </c>
      <c r="J49" s="35">
        <f>if(Scorecards!J49="","",Scorecards!J49-IF(Scorecards!$B49&gt;0,FLOOR(Scorecards!$B49/18,1),0)-IF(AND(MOD(Scorecards!$B49,18)&gt;=Scorecards!J$41,Scorecards!$B49&gt;0),1,0)+IF(Scorecards!J$41-18&gt;Scorecards!$B49,1,0))</f>
        <v>6</v>
      </c>
      <c r="K49" s="35">
        <f>if(Scorecards!K49="","",Scorecards!K49-IF(Scorecards!$B49&gt;0,FLOOR(Scorecards!$B49/18,1),0)-IF(AND(MOD(Scorecards!$B49,18)&gt;=Scorecards!K$41,Scorecards!$B49&gt;0),1,0)+IF(Scorecards!K$41-18&gt;Scorecards!$B49,1,0))</f>
        <v>4</v>
      </c>
      <c r="L49" s="35">
        <f>if(Scorecards!L49="","",Scorecards!L49-IF(Scorecards!$B49&gt;0,FLOOR(Scorecards!$B49/18,1),0)-IF(AND(MOD(Scorecards!$B49,18)&gt;=Scorecards!L$41,Scorecards!$B49&gt;0),1,0)+IF(Scorecards!L$41-18&gt;Scorecards!$B49,1,0))</f>
        <v>3</v>
      </c>
      <c r="M49" s="35">
        <f>if(Scorecards!M49="","",Scorecards!M49-IF(Scorecards!$B49&gt;0,FLOOR(Scorecards!$B49/18,1),0)-IF(AND(MOD(Scorecards!$B49,18)&gt;=Scorecards!M$41,Scorecards!$B49&gt;0),1,0)+IF(Scorecards!M$41-18&gt;Scorecards!$B49,1,0))</f>
        <v>5</v>
      </c>
      <c r="N49" s="35">
        <f>if(Scorecards!N49="","",Scorecards!N49-IF(Scorecards!$B49&gt;0,FLOOR(Scorecards!$B49/18,1),0)-IF(AND(MOD(Scorecards!$B49,18)&gt;=Scorecards!N$41,Scorecards!$B49&gt;0),1,0)+IF(Scorecards!N$41-18&gt;Scorecards!$B49,1,0))</f>
        <v>7</v>
      </c>
      <c r="O49" s="35">
        <f>if(Scorecards!O49="","",Scorecards!O49-IF(Scorecards!$B49&gt;0,FLOOR(Scorecards!$B49/18,1),0)-IF(AND(MOD(Scorecards!$B49,18)&gt;=Scorecards!O$41,Scorecards!$B49&gt;0),1,0)+IF(Scorecards!O$41-18&gt;Scorecards!$B49,1,0))</f>
        <v>4</v>
      </c>
      <c r="P49" s="35">
        <f>if(Scorecards!P49="","",Scorecards!P49-IF(Scorecards!$B49&gt;0,FLOOR(Scorecards!$B49/18,1),0)-IF(AND(MOD(Scorecards!$B49,18)&gt;=Scorecards!P$41,Scorecards!$B49&gt;0),1,0)+IF(Scorecards!P$41-18&gt;Scorecards!$B49,1,0))</f>
        <v>6</v>
      </c>
      <c r="Q49" s="35">
        <f>if(Scorecards!Q49="","",Scorecards!Q49-IF(Scorecards!$B49&gt;0,FLOOR(Scorecards!$B49/18,1),0)-IF(AND(MOD(Scorecards!$B49,18)&gt;=Scorecards!Q$41,Scorecards!$B49&gt;0),1,0)+IF(Scorecards!Q$41-18&gt;Scorecards!$B49,1,0))</f>
        <v>4</v>
      </c>
      <c r="R49" s="35">
        <f>if(Scorecards!R49="","",Scorecards!R49-IF(Scorecards!$B49&gt;0,FLOOR(Scorecards!$B49/18,1),0)-IF(AND(MOD(Scorecards!$B49,18)&gt;=Scorecards!R$41,Scorecards!$B49&gt;0),1,0)+IF(Scorecards!R$41-18&gt;Scorecards!$B49,1,0))</f>
        <v>3</v>
      </c>
      <c r="S49" s="35">
        <f>if(Scorecards!S49="","",Scorecards!S49-IF(Scorecards!$B49&gt;0,FLOOR(Scorecards!$B49/18,1),0)-IF(AND(MOD(Scorecards!$B49,18)&gt;=Scorecards!S$41,Scorecards!$B49&gt;0),1,0)+IF(Scorecards!S$41-18&gt;Scorecards!$B49,1,0))</f>
        <v>4</v>
      </c>
      <c r="T49" s="35">
        <f>if(Scorecards!T49="","",Scorecards!T49-IF(Scorecards!$B49&gt;0,FLOOR(Scorecards!$B49/18,1),0)-IF(AND(MOD(Scorecards!$B49,18)&gt;=Scorecards!T$41,Scorecards!$B49&gt;0),1,0)+IF(Scorecards!T$41-18&gt;Scorecards!$B49,1,0))</f>
        <v>2</v>
      </c>
      <c r="U49" s="35">
        <f>if(Scorecards!U49="","",Scorecards!U49-IF(Scorecards!$B49&gt;0,FLOOR(Scorecards!$B49/18,1),0)-IF(AND(MOD(Scorecards!$B49,18)&gt;=Scorecards!U$41,Scorecards!$B49&gt;0),1,0)+IF(Scorecards!U$41-18&gt;Scorecards!$B49,1,0))</f>
        <v>4</v>
      </c>
      <c r="V49" s="36">
        <f t="shared" si="11"/>
        <v>37</v>
      </c>
      <c r="W49" s="36">
        <f t="shared" si="12"/>
        <v>39</v>
      </c>
      <c r="X49" s="36">
        <f t="shared" si="13"/>
        <v>76</v>
      </c>
      <c r="Y49" s="37">
        <f t="shared" si="14"/>
        <v>54</v>
      </c>
      <c r="Z49" s="38">
        <f t="array" ref="Z49">sum(if(D49-$D$42=-3,1,0),if(E49-$E$42=-3,1,0),if(F49-$F$42=-3,1,0),if(G49-$G$42=-3,1,0),if(H49-$H$42=-3,1,0),if(I49-$I$42=-3,1,0),if(J49-$J$42=-3,1,0),if(K49-$K$42=-3,1,0),if(L49-$L$42=-3,1,0),if(M49-$M$42=-3,1,0),if(N49-$N$42=-3,1,0),if(O49-$O$42=-3,1,0),if(P49-$P$42=-3,1,0),if(Q49-$Q$42=-3,1,0),if(R49-$R$42=-3,1,0),if(S49-$S$42=-3,1,0),if(T49-$T$42=-3,1,0),if(U49-$U$42=-3,1,0))</f>
        <v>0</v>
      </c>
      <c r="AA49" s="38">
        <f t="array" ref="AA49">sum(if(D49-$D$42=-2,1,0),if(E49-$E$42=-2,1,0),if(F49-$F$42=-2,1,0),if(G49-$G$42=-2,1,0),if(H49-$H$42=-2,1,0),if(I49-$I$42=-2,1,0),if(J49-$J$42=-2,1,0),if(K49-$K$42=-2,1,0),if(L49-$L$42=-2,1,0),if(M49-$M$42=-2,1,0),if(N49-$N$42=-2,1,0),if(O49-$O$42=-2,1,0),if(P49-$P$42=-2,1,0),if(Q49-$Q$42=-2,1,0),if(R49-$R$42=-2,1,0),if(S49-$S$42=-2,1,0),if(T49-$T$42=-2,1,0),if(U49-$U$42=-2,1,0))</f>
        <v>2</v>
      </c>
      <c r="AB49" s="38">
        <f t="array" ref="AB49">sum(if(D49-$D$42=-1,1,0),if(E49-$E$42=-1,1,0),if(F49-$F$42=-1,1,0),if(G49-$G$42=-1,1,0),if(H49-$H$42=-1,1,0),if(I49-$I$42=-1,1,0),if(J49-$J$42=-1,1,0),if(K49-$K$42=-1,1,0),if(L49-$L$42=-1,1,0),if(M49-$M$42=-1,1,0),if(N49-$N$42=-1,1,0),if(O49-$O$42=-1,1,0),if(P49-$P$42=-1,1,0),if(Q49-$Q$42=-1,1,0),if(R49-$R$42=-1,1,0),if(S49-$S$42=-1,1,0),if(T49-$T$42=-1,1,0),if(U49-$U$42=-1,1,0))</f>
        <v>3</v>
      </c>
      <c r="AC49" s="38">
        <f t="array" ref="AC49">sum(if(D49-$D$42=0,1,0),if(E49-$E$42=0,1,0),if(F49-$F$42=0,1,0),if(G49-$G$42=0,1,0),if(H49-$H$42=0,1,0),if(I49-$I$42=0,1,0),if(J49-$J$42=0,1,0),if(K49-$K$42=0,1,0),if(L49-$L$42=0,1,0),if(M49-$M$42=0,1,0),if(N49-$N$42=0,1,0),if(O49-$O$42=0,1,0),if(P49-$P$42=0,1,0),if(Q49-$Q$42=0,1,0),if(R49-$R$42=0,1,0),if(S49-$S$42=0,1,0),if(T49-$T$42=0,1,0),if(U49-$U$42=0,1,0))</f>
        <v>5</v>
      </c>
      <c r="AD49" s="38">
        <f t="array" ref="AD49">sum(if(D49-$D$42=1,1,0),if(E49-$E$42=1,1,0),if(F49-$F$42=1,1,0),if(G49-$G$42=1,1,0),if(H49-$H$42=1,1,0),if(I49-$I$42=1,1,0),if(J49-$J$42=1,1,0),if(K49-$K$42=1,1,0),if(L49-$L$42=1,1,0),if(M49-$M$42=1,1,0),if(N49-$N$42=1,1,0),if(O49-$O$42=1,1,0),if(P49-$P$42=1,1,0),if(Q49-$Q$42=1,1,0),if(R49-$R$42=1,1,0),if(S49-$S$42=1,1,0),if(T49-$T$42=1,1,0),if(U49-$U$42=1,1,0))</f>
        <v>5</v>
      </c>
      <c r="AE49" s="38">
        <f t="array" ref="AE49">sum(if(D49-$D$42=2,1,0),if(E49-$E$42=2,1,0),if(F49-$F$42=2,1,0),if(G49-$G$42=2,1,0),if(H49-$H$42=2,1,0),if(I49-$I$42=2,1,0),if(J49-$J$42=2,1,0),if(K49-$K$42=2,1,0),if(L49-$L$42=2,1,0),if(M49-$M$42=2,1,0),if(N49-$N$42=2,1,0),if(O49-$O$42=2,1,0),if(P49-$P$42=2,1,0),if(Q49-$Q$42=2,1,0),if(R49-$R$42=2,1,0),if(S49-$S$42=2,1,0),if(T49-$T$42=2,1,0),if(U49-$U$42=2,1,0))</f>
        <v>3</v>
      </c>
      <c r="AF49" s="38">
        <f t="array" ref="AF49">sum(if(D49-$D$42=3,1,0),if(E49-$E$42=3,1,0),if(F49-$F$42=3,1,0),if(G49-$G$42=3,1,0),if(H49-$H$42=3,1,0),if(I49-$I$42=3,1,0),if(J49-$J$42=3,1,0),if(K49-$K$42=3,1,0),if(L49-$L$42=3,1,0),if(M49-$M$42=3,1,0),if(N49-$N$42=3,1,0),if(O49-$O$42=3,1,0),if(P49-$P$42=3,1,0),if(Q49-$Q$42=3,1,0),if(R49-$R$42=3,1,0),if(S49-$S$42=3,1,0),if(T49-$T$42=3,1,0),if(U49-$U$42=3,1,0))</f>
        <v>0</v>
      </c>
      <c r="AG49" s="38">
        <f t="array" ref="AG49">sum(if(D49-$D$42&gt;3,1,0),if(E49-$E$42&gt;3,1,0),if(F49-$F$42&gt;3,1,0),if(G49-$G$42&gt;3,1,0),if(H49-$H$42&gt;3,1,0),if(I49-$I$42&gt;3,1,0),if(J49-$J$42&gt;3,1,0),if(K49-$K$42&gt;3,1,0),if(L49-$L$42&gt;3,1,0),if(M49-$M$42&gt;3,1,0),if(N49-$N$42&gt;3,1,0),if(O49-$O$42&gt;3,1,0),if(P49-$P$42&gt;3,1,0),if(Q49-$Q$42&gt;3,1,0),if(R49-$R$42&gt;3,1,0),if(S49-$S$42&gt;3,1,0),if(T49-$T$42&gt;3,1,0),if(U49-$U$42&gt;3,1,0))</f>
        <v>0</v>
      </c>
      <c r="AH49" s="38">
        <f t="shared" si="15"/>
        <v>18</v>
      </c>
    </row>
    <row r="50" ht="12.75" customHeight="1">
      <c r="A50" s="32" t="str">
        <f>SETUP!A12</f>
        <v>Joe S</v>
      </c>
      <c r="B50" s="33">
        <f t="array" ref="B50">if(A50="","",index(SETUP!C:C,match(A50,SETUP!A:A,0)))</f>
        <v>15</v>
      </c>
      <c r="C50" s="17"/>
      <c r="D50" s="35">
        <f>if(Scorecards!D50="","",Scorecards!D50-IF(Scorecards!$B50&gt;0,FLOOR(Scorecards!$B50/18,1),0)-IF(AND(MOD(Scorecards!$B50,18)&gt;=Scorecards!D$41,Scorecards!$B50&gt;0),1,0)+IF(Scorecards!D$41-18&gt;Scorecards!$B50,1,0))</f>
        <v>7</v>
      </c>
      <c r="E50" s="35">
        <f>if(Scorecards!E50="","",Scorecards!E50-IF(Scorecards!$B50&gt;0,FLOOR(Scorecards!$B50/18,1),0)-IF(AND(MOD(Scorecards!$B50,18)&gt;=Scorecards!E$41,Scorecards!$B50&gt;0),1,0)+IF(Scorecards!E$41-18&gt;Scorecards!$B50,1,0))</f>
        <v>5</v>
      </c>
      <c r="F50" s="35">
        <f>if(Scorecards!F50="","",Scorecards!F50-IF(Scorecards!$B50&gt;0,FLOOR(Scorecards!$B50/18,1),0)-IF(AND(MOD(Scorecards!$B50,18)&gt;=Scorecards!F$41,Scorecards!$B50&gt;0),1,0)+IF(Scorecards!F$41-18&gt;Scorecards!$B50,1,0))</f>
        <v>5</v>
      </c>
      <c r="G50" s="35">
        <f>if(Scorecards!G50="","",Scorecards!G50-IF(Scorecards!$B50&gt;0,FLOOR(Scorecards!$B50/18,1),0)-IF(AND(MOD(Scorecards!$B50,18)&gt;=Scorecards!G$41,Scorecards!$B50&gt;0),1,0)+IF(Scorecards!G$41-18&gt;Scorecards!$B50,1,0))</f>
        <v>3</v>
      </c>
      <c r="H50" s="35">
        <f>if(Scorecards!H50="","",Scorecards!H50-IF(Scorecards!$B50&gt;0,FLOOR(Scorecards!$B50/18,1),0)-IF(AND(MOD(Scorecards!$B50,18)&gt;=Scorecards!H$41,Scorecards!$B50&gt;0),1,0)+IF(Scorecards!H$41-18&gt;Scorecards!$B50,1,0))</f>
        <v>5</v>
      </c>
      <c r="I50" s="35">
        <f>if(Scorecards!I50="","",Scorecards!I50-IF(Scorecards!$B50&gt;0,FLOOR(Scorecards!$B50/18,1),0)-IF(AND(MOD(Scorecards!$B50,18)&gt;=Scorecards!I$41,Scorecards!$B50&gt;0),1,0)+IF(Scorecards!I$41-18&gt;Scorecards!$B50,1,0))</f>
        <v>4</v>
      </c>
      <c r="J50" s="35">
        <f>if(Scorecards!J50="","",Scorecards!J50-IF(Scorecards!$B50&gt;0,FLOOR(Scorecards!$B50/18,1),0)-IF(AND(MOD(Scorecards!$B50,18)&gt;=Scorecards!J$41,Scorecards!$B50&gt;0),1,0)+IF(Scorecards!J$41-18&gt;Scorecards!$B50,1,0))</f>
        <v>5</v>
      </c>
      <c r="K50" s="35">
        <f>if(Scorecards!K50="","",Scorecards!K50-IF(Scorecards!$B50&gt;0,FLOOR(Scorecards!$B50/18,1),0)-IF(AND(MOD(Scorecards!$B50,18)&gt;=Scorecards!K$41,Scorecards!$B50&gt;0),1,0)+IF(Scorecards!K$41-18&gt;Scorecards!$B50,1,0))</f>
        <v>4</v>
      </c>
      <c r="L50" s="35">
        <f>if(Scorecards!L50="","",Scorecards!L50-IF(Scorecards!$B50&gt;0,FLOOR(Scorecards!$B50/18,1),0)-IF(AND(MOD(Scorecards!$B50,18)&gt;=Scorecards!L$41,Scorecards!$B50&gt;0),1,0)+IF(Scorecards!L$41-18&gt;Scorecards!$B50,1,0))</f>
        <v>1</v>
      </c>
      <c r="M50" s="35">
        <f>if(Scorecards!M50="","",Scorecards!M50-IF(Scorecards!$B50&gt;0,FLOOR(Scorecards!$B50/18,1),0)-IF(AND(MOD(Scorecards!$B50,18)&gt;=Scorecards!M$41,Scorecards!$B50&gt;0),1,0)+IF(Scorecards!M$41-18&gt;Scorecards!$B50,1,0))</f>
        <v>5</v>
      </c>
      <c r="N50" s="35">
        <f>if(Scorecards!N50="","",Scorecards!N50-IF(Scorecards!$B50&gt;0,FLOOR(Scorecards!$B50/18,1),0)-IF(AND(MOD(Scorecards!$B50,18)&gt;=Scorecards!N$41,Scorecards!$B50&gt;0),1,0)+IF(Scorecards!N$41-18&gt;Scorecards!$B50,1,0))</f>
        <v>5</v>
      </c>
      <c r="O50" s="35">
        <f>if(Scorecards!O50="","",Scorecards!O50-IF(Scorecards!$B50&gt;0,FLOOR(Scorecards!$B50/18,1),0)-IF(AND(MOD(Scorecards!$B50,18)&gt;=Scorecards!O$41,Scorecards!$B50&gt;0),1,0)+IF(Scorecards!O$41-18&gt;Scorecards!$B50,1,0))</f>
        <v>4</v>
      </c>
      <c r="P50" s="35">
        <f>if(Scorecards!P50="","",Scorecards!P50-IF(Scorecards!$B50&gt;0,FLOOR(Scorecards!$B50/18,1),0)-IF(AND(MOD(Scorecards!$B50,18)&gt;=Scorecards!P$41,Scorecards!$B50&gt;0),1,0)+IF(Scorecards!P$41-18&gt;Scorecards!$B50,1,0))</f>
        <v>5</v>
      </c>
      <c r="Q50" s="35">
        <f>if(Scorecards!Q50="","",Scorecards!Q50-IF(Scorecards!$B50&gt;0,FLOOR(Scorecards!$B50/18,1),0)-IF(AND(MOD(Scorecards!$B50,18)&gt;=Scorecards!Q$41,Scorecards!$B50&gt;0),1,0)+IF(Scorecards!Q$41-18&gt;Scorecards!$B50,1,0))</f>
        <v>3</v>
      </c>
      <c r="R50" s="35">
        <f>if(Scorecards!R50="","",Scorecards!R50-IF(Scorecards!$B50&gt;0,FLOOR(Scorecards!$B50/18,1),0)-IF(AND(MOD(Scorecards!$B50,18)&gt;=Scorecards!R$41,Scorecards!$B50&gt;0),1,0)+IF(Scorecards!R$41-18&gt;Scorecards!$B50,1,0))</f>
        <v>3</v>
      </c>
      <c r="S50" s="35">
        <f>if(Scorecards!S50="","",Scorecards!S50-IF(Scorecards!$B50&gt;0,FLOOR(Scorecards!$B50/18,1),0)-IF(AND(MOD(Scorecards!$B50,18)&gt;=Scorecards!S$41,Scorecards!$B50&gt;0),1,0)+IF(Scorecards!S$41-18&gt;Scorecards!$B50,1,0))</f>
        <v>4</v>
      </c>
      <c r="T50" s="35">
        <f>if(Scorecards!T50="","",Scorecards!T50-IF(Scorecards!$B50&gt;0,FLOOR(Scorecards!$B50/18,1),0)-IF(AND(MOD(Scorecards!$B50,18)&gt;=Scorecards!T$41,Scorecards!$B50&gt;0),1,0)+IF(Scorecards!T$41-18&gt;Scorecards!$B50,1,0))</f>
        <v>5</v>
      </c>
      <c r="U50" s="35">
        <f>if(Scorecards!U50="","",Scorecards!U50-IF(Scorecards!$B50&gt;0,FLOOR(Scorecards!$B50/18,1),0)-IF(AND(MOD(Scorecards!$B50,18)&gt;=Scorecards!U$41,Scorecards!$B50&gt;0),1,0)+IF(Scorecards!U$41-18&gt;Scorecards!$B50,1,0))</f>
        <v>6</v>
      </c>
      <c r="V50" s="36">
        <f t="shared" si="11"/>
        <v>39</v>
      </c>
      <c r="W50" s="36">
        <f t="shared" si="12"/>
        <v>40</v>
      </c>
      <c r="X50" s="36">
        <f t="shared" si="13"/>
        <v>79</v>
      </c>
      <c r="Y50" s="37">
        <f t="shared" si="14"/>
        <v>64</v>
      </c>
      <c r="Z50" s="38">
        <f t="array" ref="Z50">sum(if(D50-$D$42=-3,1,0),if(E50-$E$42=-3,1,0),if(F50-$F$42=-3,1,0),if(G50-$G$42=-3,1,0),if(H50-$H$42=-3,1,0),if(I50-$I$42=-3,1,0),if(J50-$J$42=-3,1,0),if(K50-$K$42=-3,1,0),if(L50-$L$42=-3,1,0),if(M50-$M$42=-3,1,0),if(N50-$N$42=-3,1,0),if(O50-$O$42=-3,1,0),if(P50-$P$42=-3,1,0),if(Q50-$Q$42=-3,1,0),if(R50-$R$42=-3,1,0),if(S50-$S$42=-3,1,0),if(T50-$T$42=-3,1,0),if(U50-$U$42=-3,1,0))</f>
        <v>0</v>
      </c>
      <c r="AA50" s="38">
        <f t="array" ref="AA50">sum(if(D50-$D$42=-2,1,0),if(E50-$E$42=-2,1,0),if(F50-$F$42=-2,1,0),if(G50-$G$42=-2,1,0),if(H50-$H$42=-2,1,0),if(I50-$I$42=-2,1,0),if(J50-$J$42=-2,1,0),if(K50-$K$42=-2,1,0),if(L50-$L$42=-2,1,0),if(M50-$M$42=-2,1,0),if(N50-$N$42=-2,1,0),if(O50-$O$42=-2,1,0),if(P50-$P$42=-2,1,0),if(Q50-$Q$42=-2,1,0),if(R50-$R$42=-2,1,0),if(S50-$S$42=-2,1,0),if(T50-$T$42=-2,1,0),if(U50-$U$42=-2,1,0))</f>
        <v>1</v>
      </c>
      <c r="AB50" s="38">
        <f t="array" ref="AB50">sum(if(D50-$D$42=-1,1,0),if(E50-$E$42=-1,1,0),if(F50-$F$42=-1,1,0),if(G50-$G$42=-1,1,0),if(H50-$H$42=-1,1,0),if(I50-$I$42=-1,1,0),if(J50-$J$42=-1,1,0),if(K50-$K$42=-1,1,0),if(L50-$L$42=-1,1,0),if(M50-$M$42=-1,1,0),if(N50-$N$42=-1,1,0),if(O50-$O$42=-1,1,0),if(P50-$P$42=-1,1,0),if(Q50-$Q$42=-1,1,0),if(R50-$R$42=-1,1,0),if(S50-$S$42=-1,1,0),if(T50-$T$42=-1,1,0),if(U50-$U$42=-1,1,0))</f>
        <v>2</v>
      </c>
      <c r="AC50" s="38">
        <f t="array" ref="AC50">sum(if(D50-$D$42=0,1,0),if(E50-$E$42=0,1,0),if(F50-$F$42=0,1,0),if(G50-$G$42=0,1,0),if(H50-$H$42=0,1,0),if(I50-$I$42=0,1,0),if(J50-$J$42=0,1,0),if(K50-$K$42=0,1,0),if(L50-$L$42=0,1,0),if(M50-$M$42=0,1,0),if(N50-$N$42=0,1,0),if(O50-$O$42=0,1,0),if(P50-$P$42=0,1,0),if(Q50-$Q$42=0,1,0),if(R50-$R$42=0,1,0),if(S50-$S$42=0,1,0),if(T50-$T$42=0,1,0),if(U50-$U$42=0,1,0))</f>
        <v>8</v>
      </c>
      <c r="AD50" s="38">
        <f t="array" ref="AD50">sum(if(D50-$D$42=1,1,0),if(E50-$E$42=1,1,0),if(F50-$F$42=1,1,0),if(G50-$G$42=1,1,0),if(H50-$H$42=1,1,0),if(I50-$I$42=1,1,0),if(J50-$J$42=1,1,0),if(K50-$K$42=1,1,0),if(L50-$L$42=1,1,0),if(M50-$M$42=1,1,0),if(N50-$N$42=1,1,0),if(O50-$O$42=1,1,0),if(P50-$P$42=1,1,0),if(Q50-$Q$42=1,1,0),if(R50-$R$42=1,1,0),if(S50-$S$42=1,1,0),if(T50-$T$42=1,1,0),if(U50-$U$42=1,1,0))</f>
        <v>4</v>
      </c>
      <c r="AE50" s="38">
        <f t="array" ref="AE50">sum(if(D50-$D$42=2,1,0),if(E50-$E$42=2,1,0),if(F50-$F$42=2,1,0),if(G50-$G$42=2,1,0),if(H50-$H$42=2,1,0),if(I50-$I$42=2,1,0),if(J50-$J$42=2,1,0),if(K50-$K$42=2,1,0),if(L50-$L$42=2,1,0),if(M50-$M$42=2,1,0),if(N50-$N$42=2,1,0),if(O50-$O$42=2,1,0),if(P50-$P$42=2,1,0),if(Q50-$Q$42=2,1,0),if(R50-$R$42=2,1,0),if(S50-$S$42=2,1,0),if(T50-$T$42=2,1,0),if(U50-$U$42=2,1,0))</f>
        <v>2</v>
      </c>
      <c r="AF50" s="38">
        <f t="array" ref="AF50">sum(if(D50-$D$42=3,1,0),if(E50-$E$42=3,1,0),if(F50-$F$42=3,1,0),if(G50-$G$42=3,1,0),if(H50-$H$42=3,1,0),if(I50-$I$42=3,1,0),if(J50-$J$42=3,1,0),if(K50-$K$42=3,1,0),if(L50-$L$42=3,1,0),if(M50-$M$42=3,1,0),if(N50-$N$42=3,1,0),if(O50-$O$42=3,1,0),if(P50-$P$42=3,1,0),if(Q50-$Q$42=3,1,0),if(R50-$R$42=3,1,0),if(S50-$S$42=3,1,0),if(T50-$T$42=3,1,0),if(U50-$U$42=3,1,0))</f>
        <v>1</v>
      </c>
      <c r="AG50" s="38">
        <f t="array" ref="AG50">sum(if(D50-$D$42&gt;3,1,0),if(E50-$E$42&gt;3,1,0),if(F50-$F$42&gt;3,1,0),if(G50-$G$42&gt;3,1,0),if(H50-$H$42&gt;3,1,0),if(I50-$I$42&gt;3,1,0),if(J50-$J$42&gt;3,1,0),if(K50-$K$42&gt;3,1,0),if(L50-$L$42&gt;3,1,0),if(M50-$M$42&gt;3,1,0),if(N50-$N$42&gt;3,1,0),if(O50-$O$42&gt;3,1,0),if(P50-$P$42&gt;3,1,0),if(Q50-$Q$42&gt;3,1,0),if(R50-$R$42&gt;3,1,0),if(S50-$S$42&gt;3,1,0),if(T50-$T$42&gt;3,1,0),if(U50-$U$42&gt;3,1,0))</f>
        <v>0</v>
      </c>
      <c r="AH50" s="38">
        <f t="shared" si="15"/>
        <v>18</v>
      </c>
    </row>
    <row r="51" ht="12.75" customHeight="1">
      <c r="A51" s="32" t="str">
        <f>SETUP!A13</f>
        <v>John C</v>
      </c>
      <c r="B51" s="33">
        <f t="array" ref="B51">if(A51="","",index(SETUP!C:C,match(A51,SETUP!A:A,0)))</f>
        <v>23</v>
      </c>
      <c r="C51" s="17"/>
      <c r="D51" s="35">
        <f>if(Scorecards!D51="","",Scorecards!D51-IF(Scorecards!$B51&gt;0,FLOOR(Scorecards!$B51/18,1),0)-IF(AND(MOD(Scorecards!$B51,18)&gt;=Scorecards!D$41,Scorecards!$B51&gt;0),1,0)+IF(Scorecards!D$41-18&gt;Scorecards!$B51,1,0))</f>
        <v>3</v>
      </c>
      <c r="E51" s="35">
        <f>if(Scorecards!E51="","",Scorecards!E51-IF(Scorecards!$B51&gt;0,FLOOR(Scorecards!$B51/18,1),0)-IF(AND(MOD(Scorecards!$B51,18)&gt;=Scorecards!E$41,Scorecards!$B51&gt;0),1,0)+IF(Scorecards!E$41-18&gt;Scorecards!$B51,1,0))</f>
        <v>2</v>
      </c>
      <c r="F51" s="35">
        <f>if(Scorecards!F51="","",Scorecards!F51-IF(Scorecards!$B51&gt;0,FLOOR(Scorecards!$B51/18,1),0)-IF(AND(MOD(Scorecards!$B51,18)&gt;=Scorecards!F$41,Scorecards!$B51&gt;0),1,0)+IF(Scorecards!F$41-18&gt;Scorecards!$B51,1,0))</f>
        <v>5</v>
      </c>
      <c r="G51" s="35">
        <f>if(Scorecards!G51="","",Scorecards!G51-IF(Scorecards!$B51&gt;0,FLOOR(Scorecards!$B51/18,1),0)-IF(AND(MOD(Scorecards!$B51,18)&gt;=Scorecards!G$41,Scorecards!$B51&gt;0),1,0)+IF(Scorecards!G$41-18&gt;Scorecards!$B51,1,0))</f>
        <v>5</v>
      </c>
      <c r="H51" s="35">
        <f>if(Scorecards!H51="","",Scorecards!H51-IF(Scorecards!$B51&gt;0,FLOOR(Scorecards!$B51/18,1),0)-IF(AND(MOD(Scorecards!$B51,18)&gt;=Scorecards!H$41,Scorecards!$B51&gt;0),1,0)+IF(Scorecards!H$41-18&gt;Scorecards!$B51,1,0))</f>
        <v>4</v>
      </c>
      <c r="I51" s="35">
        <f>if(Scorecards!I51="","",Scorecards!I51-IF(Scorecards!$B51&gt;0,FLOOR(Scorecards!$B51/18,1),0)-IF(AND(MOD(Scorecards!$B51,18)&gt;=Scorecards!I$41,Scorecards!$B51&gt;0),1,0)+IF(Scorecards!I$41-18&gt;Scorecards!$B51,1,0))</f>
        <v>5</v>
      </c>
      <c r="J51" s="35">
        <f>if(Scorecards!J51="","",Scorecards!J51-IF(Scorecards!$B51&gt;0,FLOOR(Scorecards!$B51/18,1),0)-IF(AND(MOD(Scorecards!$B51,18)&gt;=Scorecards!J$41,Scorecards!$B51&gt;0),1,0)+IF(Scorecards!J$41-18&gt;Scorecards!$B51,1,0))</f>
        <v>5</v>
      </c>
      <c r="K51" s="35">
        <f>if(Scorecards!K51="","",Scorecards!K51-IF(Scorecards!$B51&gt;0,FLOOR(Scorecards!$B51/18,1),0)-IF(AND(MOD(Scorecards!$B51,18)&gt;=Scorecards!K$41,Scorecards!$B51&gt;0),1,0)+IF(Scorecards!K$41-18&gt;Scorecards!$B51,1,0))</f>
        <v>6</v>
      </c>
      <c r="L51" s="35">
        <f>if(Scorecards!L51="","",Scorecards!L51-IF(Scorecards!$B51&gt;0,FLOOR(Scorecards!$B51/18,1),0)-IF(AND(MOD(Scorecards!$B51,18)&gt;=Scorecards!L$41,Scorecards!$B51&gt;0),1,0)+IF(Scorecards!L$41-18&gt;Scorecards!$B51,1,0))</f>
        <v>2</v>
      </c>
      <c r="M51" s="35">
        <f>if(Scorecards!M51="","",Scorecards!M51-IF(Scorecards!$B51&gt;0,FLOOR(Scorecards!$B51/18,1),0)-IF(AND(MOD(Scorecards!$B51,18)&gt;=Scorecards!M$41,Scorecards!$B51&gt;0),1,0)+IF(Scorecards!M$41-18&gt;Scorecards!$B51,1,0))</f>
        <v>4</v>
      </c>
      <c r="N51" s="35">
        <f>if(Scorecards!N51="","",Scorecards!N51-IF(Scorecards!$B51&gt;0,FLOOR(Scorecards!$B51/18,1),0)-IF(AND(MOD(Scorecards!$B51,18)&gt;=Scorecards!N$41,Scorecards!$B51&gt;0),1,0)+IF(Scorecards!N$41-18&gt;Scorecards!$B51,1,0))</f>
        <v>4</v>
      </c>
      <c r="O51" s="35">
        <f>if(Scorecards!O51="","",Scorecards!O51-IF(Scorecards!$B51&gt;0,FLOOR(Scorecards!$B51/18,1),0)-IF(AND(MOD(Scorecards!$B51,18)&gt;=Scorecards!O$41,Scorecards!$B51&gt;0),1,0)+IF(Scorecards!O$41-18&gt;Scorecards!$B51,1,0))</f>
        <v>4</v>
      </c>
      <c r="P51" s="35">
        <f>if(Scorecards!P51="","",Scorecards!P51-IF(Scorecards!$B51&gt;0,FLOOR(Scorecards!$B51/18,1),0)-IF(AND(MOD(Scorecards!$B51,18)&gt;=Scorecards!P$41,Scorecards!$B51&gt;0),1,0)+IF(Scorecards!P$41-18&gt;Scorecards!$B51,1,0))</f>
        <v>5</v>
      </c>
      <c r="Q51" s="35">
        <f>if(Scorecards!Q51="","",Scorecards!Q51-IF(Scorecards!$B51&gt;0,FLOOR(Scorecards!$B51/18,1),0)-IF(AND(MOD(Scorecards!$B51,18)&gt;=Scorecards!Q$41,Scorecards!$B51&gt;0),1,0)+IF(Scorecards!Q$41-18&gt;Scorecards!$B51,1,0))</f>
        <v>4</v>
      </c>
      <c r="R51" s="35">
        <f>if(Scorecards!R51="","",Scorecards!R51-IF(Scorecards!$B51&gt;0,FLOOR(Scorecards!$B51/18,1),0)-IF(AND(MOD(Scorecards!$B51,18)&gt;=Scorecards!R$41,Scorecards!$B51&gt;0),1,0)+IF(Scorecards!R$41-18&gt;Scorecards!$B51,1,0))</f>
        <v>4</v>
      </c>
      <c r="S51" s="35">
        <f>if(Scorecards!S51="","",Scorecards!S51-IF(Scorecards!$B51&gt;0,FLOOR(Scorecards!$B51/18,1),0)-IF(AND(MOD(Scorecards!$B51,18)&gt;=Scorecards!S$41,Scorecards!$B51&gt;0),1,0)+IF(Scorecards!S$41-18&gt;Scorecards!$B51,1,0))</f>
        <v>5</v>
      </c>
      <c r="T51" s="35">
        <f>if(Scorecards!T51="","",Scorecards!T51-IF(Scorecards!$B51&gt;0,FLOOR(Scorecards!$B51/18,1),0)-IF(AND(MOD(Scorecards!$B51,18)&gt;=Scorecards!T$41,Scorecards!$B51&gt;0),1,0)+IF(Scorecards!T$41-18&gt;Scorecards!$B51,1,0))</f>
        <v>4</v>
      </c>
      <c r="U51" s="35">
        <f>if(Scorecards!U51="","",Scorecards!U51-IF(Scorecards!$B51&gt;0,FLOOR(Scorecards!$B51/18,1),0)-IF(AND(MOD(Scorecards!$B51,18)&gt;=Scorecards!U$41,Scorecards!$B51&gt;0),1,0)+IF(Scorecards!U$41-18&gt;Scorecards!$B51,1,0))</f>
        <v>5</v>
      </c>
      <c r="V51" s="36">
        <f t="shared" si="11"/>
        <v>37</v>
      </c>
      <c r="W51" s="36">
        <f t="shared" si="12"/>
        <v>39</v>
      </c>
      <c r="X51" s="36">
        <f t="shared" si="13"/>
        <v>76</v>
      </c>
      <c r="Y51" s="37">
        <f t="shared" si="14"/>
        <v>53</v>
      </c>
      <c r="Z51" s="38">
        <f t="array" ref="Z51">sum(if(D51-$D$42=-3,1,0),if(E51-$E$42=-3,1,0),if(F51-$F$42=-3,1,0),if(G51-$G$42=-3,1,0),if(H51-$H$42=-3,1,0),if(I51-$I$42=-3,1,0),if(J51-$J$42=-3,1,0),if(K51-$K$42=-3,1,0),if(L51-$L$42=-3,1,0),if(M51-$M$42=-3,1,0),if(N51-$N$42=-3,1,0),if(O51-$O$42=-3,1,0),if(P51-$P$42=-3,1,0),if(Q51-$Q$42=-3,1,0),if(R51-$R$42=-3,1,0),if(S51-$S$42=-3,1,0),if(T51-$T$42=-3,1,0),if(U51-$U$42=-3,1,0))</f>
        <v>0</v>
      </c>
      <c r="AA51" s="38">
        <f t="array" ref="AA51">sum(if(D51-$D$42=-2,1,0),if(E51-$E$42=-2,1,0),if(F51-$F$42=-2,1,0),if(G51-$G$42=-2,1,0),if(H51-$H$42=-2,1,0),if(I51-$I$42=-2,1,0),if(J51-$J$42=-2,1,0),if(K51-$K$42=-2,1,0),if(L51-$L$42=-2,1,0),if(M51-$M$42=-2,1,0),if(N51-$N$42=-2,1,0),if(O51-$O$42=-2,1,0),if(P51-$P$42=-2,1,0),if(Q51-$Q$42=-2,1,0),if(R51-$R$42=-2,1,0),if(S51-$S$42=-2,1,0),if(T51-$T$42=-2,1,0),if(U51-$U$42=-2,1,0))</f>
        <v>0</v>
      </c>
      <c r="AB51" s="38">
        <f t="array" ref="AB51">sum(if(D51-$D$42=-1,1,0),if(E51-$E$42=-1,1,0),if(F51-$F$42=-1,1,0),if(G51-$G$42=-1,1,0),if(H51-$H$42=-1,1,0),if(I51-$I$42=-1,1,0),if(J51-$J$42=-1,1,0),if(K51-$K$42=-1,1,0),if(L51-$L$42=-1,1,0),if(M51-$M$42=-1,1,0),if(N51-$N$42=-1,1,0),if(O51-$O$42=-1,1,0),if(P51-$P$42=-1,1,0),if(Q51-$Q$42=-1,1,0),if(R51-$R$42=-1,1,0),if(S51-$S$42=-1,1,0),if(T51-$T$42=-1,1,0),if(U51-$U$42=-1,1,0))</f>
        <v>5</v>
      </c>
      <c r="AC51" s="38">
        <f t="array" ref="AC51">sum(if(D51-$D$42=0,1,0),if(E51-$E$42=0,1,0),if(F51-$F$42=0,1,0),if(G51-$G$42=0,1,0),if(H51-$H$42=0,1,0),if(I51-$I$42=0,1,0),if(J51-$J$42=0,1,0),if(K51-$K$42=0,1,0),if(L51-$L$42=0,1,0),if(M51-$M$42=0,1,0),if(N51-$N$42=0,1,0),if(O51-$O$42=0,1,0),if(P51-$P$42=0,1,0),if(Q51-$Q$42=0,1,0),if(R51-$R$42=0,1,0),if(S51-$S$42=0,1,0),if(T51-$T$42=0,1,0),if(U51-$U$42=0,1,0))</f>
        <v>5</v>
      </c>
      <c r="AD51" s="38">
        <f t="array" ref="AD51">sum(if(D51-$D$42=1,1,0),if(E51-$E$42=1,1,0),if(F51-$F$42=1,1,0),if(G51-$G$42=1,1,0),if(H51-$H$42=1,1,0),if(I51-$I$42=1,1,0),if(J51-$J$42=1,1,0),if(K51-$K$42=1,1,0),if(L51-$L$42=1,1,0),if(M51-$M$42=1,1,0),if(N51-$N$42=1,1,0),if(O51-$O$42=1,1,0),if(P51-$P$42=1,1,0),if(Q51-$Q$42=1,1,0),if(R51-$R$42=1,1,0),if(S51-$S$42=1,1,0),if(T51-$T$42=1,1,0),if(U51-$U$42=1,1,0))</f>
        <v>7</v>
      </c>
      <c r="AE51" s="38">
        <f t="array" ref="AE51">sum(if(D51-$D$42=2,1,0),if(E51-$E$42=2,1,0),if(F51-$F$42=2,1,0),if(G51-$G$42=2,1,0),if(H51-$H$42=2,1,0),if(I51-$I$42=2,1,0),if(J51-$J$42=2,1,0),if(K51-$K$42=2,1,0),if(L51-$L$42=2,1,0),if(M51-$M$42=2,1,0),if(N51-$N$42=2,1,0),if(O51-$O$42=2,1,0),if(P51-$P$42=2,1,0),if(Q51-$Q$42=2,1,0),if(R51-$R$42=2,1,0),if(S51-$S$42=2,1,0),if(T51-$T$42=2,1,0),if(U51-$U$42=2,1,0))</f>
        <v>1</v>
      </c>
      <c r="AF51" s="38">
        <f t="array" ref="AF51">sum(if(D51-$D$42=3,1,0),if(E51-$E$42=3,1,0),if(F51-$F$42=3,1,0),if(G51-$G$42=3,1,0),if(H51-$H$42=3,1,0),if(I51-$I$42=3,1,0),if(J51-$J$42=3,1,0),if(K51-$K$42=3,1,0),if(L51-$L$42=3,1,0),if(M51-$M$42=3,1,0),if(N51-$N$42=3,1,0),if(O51-$O$42=3,1,0),if(P51-$P$42=3,1,0),if(Q51-$Q$42=3,1,0),if(R51-$R$42=3,1,0),if(S51-$S$42=3,1,0),if(T51-$T$42=3,1,0),if(U51-$U$42=3,1,0))</f>
        <v>0</v>
      </c>
      <c r="AG51" s="38">
        <f t="array" ref="AG51">sum(if(D51-$D$42&gt;3,1,0),if(E51-$E$42&gt;3,1,0),if(F51-$F$42&gt;3,1,0),if(G51-$G$42&gt;3,1,0),if(H51-$H$42&gt;3,1,0),if(I51-$I$42&gt;3,1,0),if(J51-$J$42&gt;3,1,0),if(K51-$K$42&gt;3,1,0),if(L51-$L$42&gt;3,1,0),if(M51-$M$42&gt;3,1,0),if(N51-$N$42&gt;3,1,0),if(O51-$O$42&gt;3,1,0),if(P51-$P$42&gt;3,1,0),if(Q51-$Q$42&gt;3,1,0),if(R51-$R$42&gt;3,1,0),if(S51-$S$42&gt;3,1,0),if(T51-$T$42&gt;3,1,0),if(U51-$U$42&gt;3,1,0))</f>
        <v>0</v>
      </c>
      <c r="AH51" s="38">
        <f t="shared" si="15"/>
        <v>18</v>
      </c>
    </row>
    <row r="52" ht="12.75" customHeight="1">
      <c r="A52" s="32" t="str">
        <f>SETUP!A14</f>
        <v>Ray H</v>
      </c>
      <c r="B52" s="33">
        <f t="array" ref="B52">if(A52="","",index(SETUP!C:C,match(A52,SETUP!A:A,0)))</f>
        <v>23</v>
      </c>
      <c r="C52" s="17"/>
      <c r="D52" s="35">
        <f>if(Scorecards!D52="","",Scorecards!D52-IF(Scorecards!$B52&gt;0,FLOOR(Scorecards!$B52/18,1),0)-IF(AND(MOD(Scorecards!$B52,18)&gt;=Scorecards!D$41,Scorecards!$B52&gt;0),1,0)+IF(Scorecards!D$41-18&gt;Scorecards!$B52,1,0))</f>
        <v>4</v>
      </c>
      <c r="E52" s="35">
        <f>if(Scorecards!E52="","",Scorecards!E52-IF(Scorecards!$B52&gt;0,FLOOR(Scorecards!$B52/18,1),0)-IF(AND(MOD(Scorecards!$B52,18)&gt;=Scorecards!E$41,Scorecards!$B52&gt;0),1,0)+IF(Scorecards!E$41-18&gt;Scorecards!$B52,1,0))</f>
        <v>3</v>
      </c>
      <c r="F52" s="35">
        <f>if(Scorecards!F52="","",Scorecards!F52-IF(Scorecards!$B52&gt;0,FLOOR(Scorecards!$B52/18,1),0)-IF(AND(MOD(Scorecards!$B52,18)&gt;=Scorecards!F$41,Scorecards!$B52&gt;0),1,0)+IF(Scorecards!F$41-18&gt;Scorecards!$B52,1,0))</f>
        <v>6</v>
      </c>
      <c r="G52" s="35">
        <f>if(Scorecards!G52="","",Scorecards!G52-IF(Scorecards!$B52&gt;0,FLOOR(Scorecards!$B52/18,1),0)-IF(AND(MOD(Scorecards!$B52,18)&gt;=Scorecards!G$41,Scorecards!$B52&gt;0),1,0)+IF(Scorecards!G$41-18&gt;Scorecards!$B52,1,0))</f>
        <v>3</v>
      </c>
      <c r="H52" s="35">
        <f>if(Scorecards!H52="","",Scorecards!H52-IF(Scorecards!$B52&gt;0,FLOOR(Scorecards!$B52/18,1),0)-IF(AND(MOD(Scorecards!$B52,18)&gt;=Scorecards!H$41,Scorecards!$B52&gt;0),1,0)+IF(Scorecards!H$41-18&gt;Scorecards!$B52,1,0))</f>
        <v>5</v>
      </c>
      <c r="I52" s="35">
        <f>if(Scorecards!I52="","",Scorecards!I52-IF(Scorecards!$B52&gt;0,FLOOR(Scorecards!$B52/18,1),0)-IF(AND(MOD(Scorecards!$B52,18)&gt;=Scorecards!I$41,Scorecards!$B52&gt;0),1,0)+IF(Scorecards!I$41-18&gt;Scorecards!$B52,1,0))</f>
        <v>5</v>
      </c>
      <c r="J52" s="35">
        <f>if(Scorecards!J52="","",Scorecards!J52-IF(Scorecards!$B52&gt;0,FLOOR(Scorecards!$B52/18,1),0)-IF(AND(MOD(Scorecards!$B52,18)&gt;=Scorecards!J$41,Scorecards!$B52&gt;0),1,0)+IF(Scorecards!J$41-18&gt;Scorecards!$B52,1,0))</f>
        <v>4</v>
      </c>
      <c r="K52" s="35">
        <f>if(Scorecards!K52="","",Scorecards!K52-IF(Scorecards!$B52&gt;0,FLOOR(Scorecards!$B52/18,1),0)-IF(AND(MOD(Scorecards!$B52,18)&gt;=Scorecards!K$41,Scorecards!$B52&gt;0),1,0)+IF(Scorecards!K$41-18&gt;Scorecards!$B52,1,0))</f>
        <v>5</v>
      </c>
      <c r="L52" s="35">
        <f>if(Scorecards!L52="","",Scorecards!L52-IF(Scorecards!$B52&gt;0,FLOOR(Scorecards!$B52/18,1),0)-IF(AND(MOD(Scorecards!$B52,18)&gt;=Scorecards!L$41,Scorecards!$B52&gt;0),1,0)+IF(Scorecards!L$41-18&gt;Scorecards!$B52,1,0))</f>
        <v>2</v>
      </c>
      <c r="M52" s="35">
        <f>if(Scorecards!M52="","",Scorecards!M52-IF(Scorecards!$B52&gt;0,FLOOR(Scorecards!$B52/18,1),0)-IF(AND(MOD(Scorecards!$B52,18)&gt;=Scorecards!M$41,Scorecards!$B52&gt;0),1,0)+IF(Scorecards!M$41-18&gt;Scorecards!$B52,1,0))</f>
        <v>4</v>
      </c>
      <c r="N52" s="35">
        <f>if(Scorecards!N52="","",Scorecards!N52-IF(Scorecards!$B52&gt;0,FLOOR(Scorecards!$B52/18,1),0)-IF(AND(MOD(Scorecards!$B52,18)&gt;=Scorecards!N$41,Scorecards!$B52&gt;0),1,0)+IF(Scorecards!N$41-18&gt;Scorecards!$B52,1,0))</f>
        <v>6</v>
      </c>
      <c r="O52" s="35">
        <f>if(Scorecards!O52="","",Scorecards!O52-IF(Scorecards!$B52&gt;0,FLOOR(Scorecards!$B52/18,1),0)-IF(AND(MOD(Scorecards!$B52,18)&gt;=Scorecards!O$41,Scorecards!$B52&gt;0),1,0)+IF(Scorecards!O$41-18&gt;Scorecards!$B52,1,0))</f>
        <v>3</v>
      </c>
      <c r="P52" s="35">
        <f>if(Scorecards!P52="","",Scorecards!P52-IF(Scorecards!$B52&gt;0,FLOOR(Scorecards!$B52/18,1),0)-IF(AND(MOD(Scorecards!$B52,18)&gt;=Scorecards!P$41,Scorecards!$B52&gt;0),1,0)+IF(Scorecards!P$41-18&gt;Scorecards!$B52,1,0))</f>
        <v>5</v>
      </c>
      <c r="Q52" s="35">
        <f>if(Scorecards!Q52="","",Scorecards!Q52-IF(Scorecards!$B52&gt;0,FLOOR(Scorecards!$B52/18,1),0)-IF(AND(MOD(Scorecards!$B52,18)&gt;=Scorecards!Q$41,Scorecards!$B52&gt;0),1,0)+IF(Scorecards!Q$41-18&gt;Scorecards!$B52,1,0))</f>
        <v>5</v>
      </c>
      <c r="R52" s="35">
        <f>if(Scorecards!R52="","",Scorecards!R52-IF(Scorecards!$B52&gt;0,FLOOR(Scorecards!$B52/18,1),0)-IF(AND(MOD(Scorecards!$B52,18)&gt;=Scorecards!R$41,Scorecards!$B52&gt;0),1,0)+IF(Scorecards!R$41-18&gt;Scorecards!$B52,1,0))</f>
        <v>5</v>
      </c>
      <c r="S52" s="35">
        <f>if(Scorecards!S52="","",Scorecards!S52-IF(Scorecards!$B52&gt;0,FLOOR(Scorecards!$B52/18,1),0)-IF(AND(MOD(Scorecards!$B52,18)&gt;=Scorecards!S$41,Scorecards!$B52&gt;0),1,0)+IF(Scorecards!S$41-18&gt;Scorecards!$B52,1,0))</f>
        <v>5</v>
      </c>
      <c r="T52" s="35">
        <f>if(Scorecards!T52="","",Scorecards!T52-IF(Scorecards!$B52&gt;0,FLOOR(Scorecards!$B52/18,1),0)-IF(AND(MOD(Scorecards!$B52,18)&gt;=Scorecards!T$41,Scorecards!$B52&gt;0),1,0)+IF(Scorecards!T$41-18&gt;Scorecards!$B52,1,0))</f>
        <v>3</v>
      </c>
      <c r="U52" s="35">
        <f>if(Scorecards!U52="","",Scorecards!U52-IF(Scorecards!$B52&gt;0,FLOOR(Scorecards!$B52/18,1),0)-IF(AND(MOD(Scorecards!$B52,18)&gt;=Scorecards!U$41,Scorecards!$B52&gt;0),1,0)+IF(Scorecards!U$41-18&gt;Scorecards!$B52,1,0))</f>
        <v>4</v>
      </c>
      <c r="V52" s="51">
        <f t="shared" si="11"/>
        <v>37</v>
      </c>
      <c r="W52" s="51">
        <f t="shared" si="12"/>
        <v>40</v>
      </c>
      <c r="X52" s="36">
        <f t="shared" si="13"/>
        <v>77</v>
      </c>
      <c r="Y52" s="37">
        <f t="shared" si="14"/>
        <v>54</v>
      </c>
      <c r="Z52" s="38">
        <f t="array" ref="Z52">sum(if(D52-$D$42=-3,1,0),if(E52-$E$42=-3,1,0),if(F52-$F$42=-3,1,0),if(G52-$G$42=-3,1,0),if(H52-$H$42=-3,1,0),if(I52-$I$42=-3,1,0),if(J52-$J$42=-3,1,0),if(K52-$K$42=-3,1,0),if(L52-$L$42=-3,1,0),if(M52-$M$42=-3,1,0),if(N52-$N$42=-3,1,0),if(O52-$O$42=-3,1,0),if(P52-$P$42=-3,1,0),if(Q52-$Q$42=-3,1,0),if(R52-$R$42=-3,1,0),if(S52-$S$42=-3,1,0),if(T52-$T$42=-3,1,0),if(U52-$U$42=-3,1,0))</f>
        <v>0</v>
      </c>
      <c r="AA52" s="38">
        <f t="array" ref="AA52">sum(if(D52-$D$42=-2,1,0),if(E52-$E$42=-2,1,0),if(F52-$F$42=-2,1,0),if(G52-$G$42=-2,1,0),if(H52-$H$42=-2,1,0),if(I52-$I$42=-2,1,0),if(J52-$J$42=-2,1,0),if(K52-$K$42=-2,1,0),if(L52-$L$42=-2,1,0),if(M52-$M$42=-2,1,0),if(N52-$N$42=-2,1,0),if(O52-$O$42=-2,1,0),if(P52-$P$42=-2,1,0),if(Q52-$Q$42=-2,1,0),if(R52-$R$42=-2,1,0),if(S52-$S$42=-2,1,0),if(T52-$T$42=-2,1,0),if(U52-$U$42=-2,1,0))</f>
        <v>0</v>
      </c>
      <c r="AB52" s="38">
        <f t="array" ref="AB52">sum(if(D52-$D$42=-1,1,0),if(E52-$E$42=-1,1,0),if(F52-$F$42=-1,1,0),if(G52-$G$42=-1,1,0),if(H52-$H$42=-1,1,0),if(I52-$I$42=-1,1,0),if(J52-$J$42=-1,1,0),if(K52-$K$42=-1,1,0),if(L52-$L$42=-1,1,0),if(M52-$M$42=-1,1,0),if(N52-$N$42=-1,1,0),if(O52-$O$42=-1,1,0),if(P52-$P$42=-1,1,0),if(Q52-$Q$42=-1,1,0),if(R52-$R$42=-1,1,0),if(S52-$S$42=-1,1,0),if(T52-$T$42=-1,1,0),if(U52-$U$42=-1,1,0))</f>
        <v>2</v>
      </c>
      <c r="AC52" s="38">
        <f t="array" ref="AC52">sum(if(D52-$D$42=0,1,0),if(E52-$E$42=0,1,0),if(F52-$F$42=0,1,0),if(G52-$G$42=0,1,0),if(H52-$H$42=0,1,0),if(I52-$I$42=0,1,0),if(J52-$J$42=0,1,0),if(K52-$K$42=0,1,0),if(L52-$L$42=0,1,0),if(M52-$M$42=0,1,0),if(N52-$N$42=0,1,0),if(O52-$O$42=0,1,0),if(P52-$P$42=0,1,0),if(Q52-$Q$42=0,1,0),if(R52-$R$42=0,1,0),if(S52-$S$42=0,1,0),if(T52-$T$42=0,1,0),if(U52-$U$42=0,1,0))</f>
        <v>10</v>
      </c>
      <c r="AD52" s="38">
        <f t="array" ref="AD52">sum(if(D52-$D$42=1,1,0),if(E52-$E$42=1,1,0),if(F52-$F$42=1,1,0),if(G52-$G$42=1,1,0),if(H52-$H$42=1,1,0),if(I52-$I$42=1,1,0),if(J52-$J$42=1,1,0),if(K52-$K$42=1,1,0),if(L52-$L$42=1,1,0),if(M52-$M$42=1,1,0),if(N52-$N$42=1,1,0),if(O52-$O$42=1,1,0),if(P52-$P$42=1,1,0),if(Q52-$Q$42=1,1,0),if(R52-$R$42=1,1,0),if(S52-$S$42=1,1,0),if(T52-$T$42=1,1,0),if(U52-$U$42=1,1,0))</f>
        <v>5</v>
      </c>
      <c r="AE52" s="38">
        <f t="array" ref="AE52">sum(if(D52-$D$42=2,1,0),if(E52-$E$42=2,1,0),if(F52-$F$42=2,1,0),if(G52-$G$42=2,1,0),if(H52-$H$42=2,1,0),if(I52-$I$42=2,1,0),if(J52-$J$42=2,1,0),if(K52-$K$42=2,1,0),if(L52-$L$42=2,1,0),if(M52-$M$42=2,1,0),if(N52-$N$42=2,1,0),if(O52-$O$42=2,1,0),if(P52-$P$42=2,1,0),if(Q52-$Q$42=2,1,0),if(R52-$R$42=2,1,0),if(S52-$S$42=2,1,0),if(T52-$T$42=2,1,0),if(U52-$U$42=2,1,0))</f>
        <v>1</v>
      </c>
      <c r="AF52" s="38">
        <f t="array" ref="AF52">sum(if(D52-$D$42=3,1,0),if(E52-$E$42=3,1,0),if(F52-$F$42=3,1,0),if(G52-$G$42=3,1,0),if(H52-$H$42=3,1,0),if(I52-$I$42=3,1,0),if(J52-$J$42=3,1,0),if(K52-$K$42=3,1,0),if(L52-$L$42=3,1,0),if(M52-$M$42=3,1,0),if(N52-$N$42=3,1,0),if(O52-$O$42=3,1,0),if(P52-$P$42=3,1,0),if(Q52-$Q$42=3,1,0),if(R52-$R$42=3,1,0),if(S52-$S$42=3,1,0),if(T52-$T$42=3,1,0),if(U52-$U$42=3,1,0))</f>
        <v>0</v>
      </c>
      <c r="AG52" s="38">
        <f t="array" ref="AG52">sum(if(D52-$D$42&gt;3,1,0),if(E52-$E$42&gt;3,1,0),if(F52-$F$42&gt;3,1,0),if(G52-$G$42&gt;3,1,0),if(H52-$H$42&gt;3,1,0),if(I52-$I$42&gt;3,1,0),if(J52-$J$42&gt;3,1,0),if(K52-$K$42&gt;3,1,0),if(L52-$L$42&gt;3,1,0),if(M52-$M$42&gt;3,1,0),if(N52-$N$42&gt;3,1,0),if(O52-$O$42&gt;3,1,0),if(P52-$P$42&gt;3,1,0),if(Q52-$Q$42&gt;3,1,0),if(R52-$R$42&gt;3,1,0),if(S52-$S$42&gt;3,1,0),if(T52-$T$42&gt;3,1,0),if(U52-$U$42&gt;3,1,0))</f>
        <v>0</v>
      </c>
      <c r="AH52" s="38">
        <f t="shared" si="15"/>
        <v>18</v>
      </c>
    </row>
    <row r="53" ht="12.75" customHeight="1">
      <c r="A53" s="32" t="str">
        <f>SETUP!A15</f>
        <v>Russ W</v>
      </c>
      <c r="B53" s="33">
        <f t="array" ref="B53">if(A53="","",index(SETUP!C:C,match(A53,SETUP!A:A,0)))</f>
        <v>17</v>
      </c>
      <c r="C53" s="50"/>
      <c r="D53" s="35">
        <f>if(Scorecards!D53="","",Scorecards!D53-IF(Scorecards!$B53&gt;0,FLOOR(Scorecards!$B53/18,1),0)-IF(AND(MOD(Scorecards!$B53,18)&gt;=Scorecards!D$41,Scorecards!$B53&gt;0),1,0)+IF(Scorecards!D$41-18&gt;Scorecards!$B53,1,0))</f>
        <v>7</v>
      </c>
      <c r="E53" s="35">
        <f>if(Scorecards!E53="","",Scorecards!E53-IF(Scorecards!$B53&gt;0,FLOOR(Scorecards!$B53/18,1),0)-IF(AND(MOD(Scorecards!$B53,18)&gt;=Scorecards!E$41,Scorecards!$B53&gt;0),1,0)+IF(Scorecards!E$41-18&gt;Scorecards!$B53,1,0))</f>
        <v>5</v>
      </c>
      <c r="F53" s="35">
        <f>if(Scorecards!F53="","",Scorecards!F53-IF(Scorecards!$B53&gt;0,FLOOR(Scorecards!$B53/18,1),0)-IF(AND(MOD(Scorecards!$B53,18)&gt;=Scorecards!F$41,Scorecards!$B53&gt;0),1,0)+IF(Scorecards!F$41-18&gt;Scorecards!$B53,1,0))</f>
        <v>8</v>
      </c>
      <c r="G53" s="35">
        <f>if(Scorecards!G53="","",Scorecards!G53-IF(Scorecards!$B53&gt;0,FLOOR(Scorecards!$B53/18,1),0)-IF(AND(MOD(Scorecards!$B53,18)&gt;=Scorecards!G$41,Scorecards!$B53&gt;0),1,0)+IF(Scorecards!G$41-18&gt;Scorecards!$B53,1,0))</f>
        <v>5</v>
      </c>
      <c r="H53" s="35">
        <f>if(Scorecards!H53="","",Scorecards!H53-IF(Scorecards!$B53&gt;0,FLOOR(Scorecards!$B53/18,1),0)-IF(AND(MOD(Scorecards!$B53,18)&gt;=Scorecards!H$41,Scorecards!$B53&gt;0),1,0)+IF(Scorecards!H$41-18&gt;Scorecards!$B53,1,0))</f>
        <v>6</v>
      </c>
      <c r="I53" s="35">
        <f>if(Scorecards!I53="","",Scorecards!I53-IF(Scorecards!$B53&gt;0,FLOOR(Scorecards!$B53/18,1),0)-IF(AND(MOD(Scorecards!$B53,18)&gt;=Scorecards!I$41,Scorecards!$B53&gt;0),1,0)+IF(Scorecards!I$41-18&gt;Scorecards!$B53,1,0))</f>
        <v>5</v>
      </c>
      <c r="J53" s="35">
        <f>if(Scorecards!J53="","",Scorecards!J53-IF(Scorecards!$B53&gt;0,FLOOR(Scorecards!$B53/18,1),0)-IF(AND(MOD(Scorecards!$B53,18)&gt;=Scorecards!J$41,Scorecards!$B53&gt;0),1,0)+IF(Scorecards!J$41-18&gt;Scorecards!$B53,1,0))</f>
        <v>4</v>
      </c>
      <c r="K53" s="35">
        <f>if(Scorecards!K53="","",Scorecards!K53-IF(Scorecards!$B53&gt;0,FLOOR(Scorecards!$B53/18,1),0)-IF(AND(MOD(Scorecards!$B53,18)&gt;=Scorecards!K$41,Scorecards!$B53&gt;0),1,0)+IF(Scorecards!K$41-18&gt;Scorecards!$B53,1,0))</f>
        <v>4</v>
      </c>
      <c r="L53" s="35">
        <f>if(Scorecards!L53="","",Scorecards!L53-IF(Scorecards!$B53&gt;0,FLOOR(Scorecards!$B53/18,1),0)-IF(AND(MOD(Scorecards!$B53,18)&gt;=Scorecards!L$41,Scorecards!$B53&gt;0),1,0)+IF(Scorecards!L$41-18&gt;Scorecards!$B53,1,0))</f>
        <v>4</v>
      </c>
      <c r="M53" s="35">
        <f>if(Scorecards!M53="","",Scorecards!M53-IF(Scorecards!$B53&gt;0,FLOOR(Scorecards!$B53/18,1),0)-IF(AND(MOD(Scorecards!$B53,18)&gt;=Scorecards!M$41,Scorecards!$B53&gt;0),1,0)+IF(Scorecards!M$41-18&gt;Scorecards!$B53,1,0))</f>
        <v>4</v>
      </c>
      <c r="N53" s="35">
        <f>if(Scorecards!N53="","",Scorecards!N53-IF(Scorecards!$B53&gt;0,FLOOR(Scorecards!$B53/18,1),0)-IF(AND(MOD(Scorecards!$B53,18)&gt;=Scorecards!N$41,Scorecards!$B53&gt;0),1,0)+IF(Scorecards!N$41-18&gt;Scorecards!$B53,1,0))</f>
        <v>5</v>
      </c>
      <c r="O53" s="35">
        <f>if(Scorecards!O53="","",Scorecards!O53-IF(Scorecards!$B53&gt;0,FLOOR(Scorecards!$B53/18,1),0)-IF(AND(MOD(Scorecards!$B53,18)&gt;=Scorecards!O$41,Scorecards!$B53&gt;0),1,0)+IF(Scorecards!O$41-18&gt;Scorecards!$B53,1,0))</f>
        <v>4</v>
      </c>
      <c r="P53" s="35">
        <f>if(Scorecards!P53="","",Scorecards!P53-IF(Scorecards!$B53&gt;0,FLOOR(Scorecards!$B53/18,1),0)-IF(AND(MOD(Scorecards!$B53,18)&gt;=Scorecards!P$41,Scorecards!$B53&gt;0),1,0)+IF(Scorecards!P$41-18&gt;Scorecards!$B53,1,0))</f>
        <v>4</v>
      </c>
      <c r="Q53" s="35">
        <f>if(Scorecards!Q53="","",Scorecards!Q53-IF(Scorecards!$B53&gt;0,FLOOR(Scorecards!$B53/18,1),0)-IF(AND(MOD(Scorecards!$B53,18)&gt;=Scorecards!Q$41,Scorecards!$B53&gt;0),1,0)+IF(Scorecards!Q$41-18&gt;Scorecards!$B53,1,0))</f>
        <v>4</v>
      </c>
      <c r="R53" s="35">
        <f>if(Scorecards!R53="","",Scorecards!R53-IF(Scorecards!$B53&gt;0,FLOOR(Scorecards!$B53/18,1),0)-IF(AND(MOD(Scorecards!$B53,18)&gt;=Scorecards!R$41,Scorecards!$B53&gt;0),1,0)+IF(Scorecards!R$41-18&gt;Scorecards!$B53,1,0))</f>
        <v>6</v>
      </c>
      <c r="S53" s="35">
        <f>if(Scorecards!S53="","",Scorecards!S53-IF(Scorecards!$B53&gt;0,FLOOR(Scorecards!$B53/18,1),0)-IF(AND(MOD(Scorecards!$B53,18)&gt;=Scorecards!S$41,Scorecards!$B53&gt;0),1,0)+IF(Scorecards!S$41-18&gt;Scorecards!$B53,1,0))</f>
        <v>3</v>
      </c>
      <c r="T53" s="35">
        <f>if(Scorecards!T53="","",Scorecards!T53-IF(Scorecards!$B53&gt;0,FLOOR(Scorecards!$B53/18,1),0)-IF(AND(MOD(Scorecards!$B53,18)&gt;=Scorecards!T$41,Scorecards!$B53&gt;0),1,0)+IF(Scorecards!T$41-18&gt;Scorecards!$B53,1,0))</f>
        <v>3</v>
      </c>
      <c r="U53" s="35">
        <f>if(Scorecards!U53="","",Scorecards!U53-IF(Scorecards!$B53&gt;0,FLOOR(Scorecards!$B53/18,1),0)-IF(AND(MOD(Scorecards!$B53,18)&gt;=Scorecards!U$41,Scorecards!$B53&gt;0),1,0)+IF(Scorecards!U$41-18&gt;Scorecards!$B53,1,0))</f>
        <v>4</v>
      </c>
      <c r="V53" s="51">
        <f t="shared" si="11"/>
        <v>48</v>
      </c>
      <c r="W53" s="51">
        <f t="shared" si="12"/>
        <v>37</v>
      </c>
      <c r="X53" s="36">
        <f t="shared" si="13"/>
        <v>85</v>
      </c>
      <c r="Y53" s="37">
        <f t="shared" si="14"/>
        <v>68</v>
      </c>
      <c r="Z53" s="38">
        <f t="array" ref="Z53">sum(if(D53-$D$42=-3,1,0),if(E53-$E$42=-3,1,0),if(F53-$F$42=-3,1,0),if(G53-$G$42=-3,1,0),if(H53-$H$42=-3,1,0),if(I53-$I$42=-3,1,0),if(J53-$J$42=-3,1,0),if(K53-$K$42=-3,1,0),if(L53-$L$42=-3,1,0),if(M53-$M$42=-3,1,0),if(N53-$N$42=-3,1,0),if(O53-$O$42=-3,1,0),if(P53-$P$42=-3,1,0),if(Q53-$Q$42=-3,1,0),if(R53-$R$42=-3,1,0),if(S53-$S$42=-3,1,0),if(T53-$T$42=-3,1,0),if(U53-$U$42=-3,1,0))</f>
        <v>0</v>
      </c>
      <c r="AA53" s="38">
        <f t="array" ref="AA53">sum(if(D53-$D$42=-2,1,0),if(E53-$E$42=-2,1,0),if(F53-$F$42=-2,1,0),if(G53-$G$42=-2,1,0),if(H53-$H$42=-2,1,0),if(I53-$I$42=-2,1,0),if(J53-$J$42=-2,1,0),if(K53-$K$42=-2,1,0),if(L53-$L$42=-2,1,0),if(M53-$M$42=-2,1,0),if(N53-$N$42=-2,1,0),if(O53-$O$42=-2,1,0),if(P53-$P$42=-2,1,0),if(Q53-$Q$42=-2,1,0),if(R53-$R$42=-2,1,0),if(S53-$S$42=-2,1,0),if(T53-$T$42=-2,1,0),if(U53-$U$42=-2,1,0))</f>
        <v>0</v>
      </c>
      <c r="AB53" s="38">
        <f t="array" ref="AB53">sum(if(D53-$D$42=-1,1,0),if(E53-$E$42=-1,1,0),if(F53-$F$42=-1,1,0),if(G53-$G$42=-1,1,0),if(H53-$H$42=-1,1,0),if(I53-$I$42=-1,1,0),if(J53-$J$42=-1,1,0),if(K53-$K$42=-1,1,0),if(L53-$L$42=-1,1,0),if(M53-$M$42=-1,1,0),if(N53-$N$42=-1,1,0),if(O53-$O$42=-1,1,0),if(P53-$P$42=-1,1,0),if(Q53-$Q$42=-1,1,0),if(R53-$R$42=-1,1,0),if(S53-$S$42=-1,1,0),if(T53-$T$42=-1,1,0),if(U53-$U$42=-1,1,0))</f>
        <v>4</v>
      </c>
      <c r="AC53" s="38">
        <f t="array" ref="AC53">sum(if(D53-$D$42=0,1,0),if(E53-$E$42=0,1,0),if(F53-$F$42=0,1,0),if(G53-$G$42=0,1,0),if(H53-$H$42=0,1,0),if(I53-$I$42=0,1,0),if(J53-$J$42=0,1,0),if(K53-$K$42=0,1,0),if(L53-$L$42=0,1,0),if(M53-$M$42=0,1,0),if(N53-$N$42=0,1,0),if(O53-$O$42=0,1,0),if(P53-$P$42=0,1,0),if(Q53-$Q$42=0,1,0),if(R53-$R$42=0,1,0),if(S53-$S$42=0,1,0),if(T53-$T$42=0,1,0),if(U53-$U$42=0,1,0))</f>
        <v>4</v>
      </c>
      <c r="AD53" s="38">
        <f t="array" ref="AD53">sum(if(D53-$D$42=1,1,0),if(E53-$E$42=1,1,0),if(F53-$F$42=1,1,0),if(G53-$G$42=1,1,0),if(H53-$H$42=1,1,0),if(I53-$I$42=1,1,0),if(J53-$J$42=1,1,0),if(K53-$K$42=1,1,0),if(L53-$L$42=1,1,0),if(M53-$M$42=1,1,0),if(N53-$N$42=1,1,0),if(O53-$O$42=1,1,0),if(P53-$P$42=1,1,0),if(Q53-$Q$42=1,1,0),if(R53-$R$42=1,1,0),if(S53-$S$42=1,1,0),if(T53-$T$42=1,1,0),if(U53-$U$42=1,1,0))</f>
        <v>5</v>
      </c>
      <c r="AE53" s="38">
        <f t="array" ref="AE53">sum(if(D53-$D$42=2,1,0),if(E53-$E$42=2,1,0),if(F53-$F$42=2,1,0),if(G53-$G$42=2,1,0),if(H53-$H$42=2,1,0),if(I53-$I$42=2,1,0),if(J53-$J$42=2,1,0),if(K53-$K$42=2,1,0),if(L53-$L$42=2,1,0),if(M53-$M$42=2,1,0),if(N53-$N$42=2,1,0),if(O53-$O$42=2,1,0),if(P53-$P$42=2,1,0),if(Q53-$Q$42=2,1,0),if(R53-$R$42=2,1,0),if(S53-$S$42=2,1,0),if(T53-$T$42=2,1,0),if(U53-$U$42=2,1,0))</f>
        <v>3</v>
      </c>
      <c r="AF53" s="38">
        <f t="array" ref="AF53">sum(if(D53-$D$42=3,1,0),if(E53-$E$42=3,1,0),if(F53-$F$42=3,1,0),if(G53-$G$42=3,1,0),if(H53-$H$42=3,1,0),if(I53-$I$42=3,1,0),if(J53-$J$42=3,1,0),if(K53-$K$42=3,1,0),if(L53-$L$42=3,1,0),if(M53-$M$42=3,1,0),if(N53-$N$42=3,1,0),if(O53-$O$42=3,1,0),if(P53-$P$42=3,1,0),if(Q53-$Q$42=3,1,0),if(R53-$R$42=3,1,0),if(S53-$S$42=3,1,0),if(T53-$T$42=3,1,0),if(U53-$U$42=3,1,0))</f>
        <v>2</v>
      </c>
      <c r="AG53" s="38">
        <f t="array" ref="AG53">sum(if(D53-$D$42&gt;3,1,0),if(E53-$E$42&gt;3,1,0),if(F53-$F$42&gt;3,1,0),if(G53-$G$42&gt;3,1,0),if(H53-$H$42&gt;3,1,0),if(I53-$I$42&gt;3,1,0),if(J53-$J$42&gt;3,1,0),if(K53-$K$42&gt;3,1,0),if(L53-$L$42&gt;3,1,0),if(M53-$M$42&gt;3,1,0),if(N53-$N$42&gt;3,1,0),if(O53-$O$42&gt;3,1,0),if(P53-$P$42&gt;3,1,0),if(Q53-$Q$42&gt;3,1,0),if(R53-$R$42&gt;3,1,0),if(S53-$S$42&gt;3,1,0),if(T53-$T$42&gt;3,1,0),if(U53-$U$42&gt;3,1,0))</f>
        <v>0</v>
      </c>
      <c r="AH53" s="38">
        <f t="shared" si="15"/>
        <v>18</v>
      </c>
    </row>
    <row r="54" ht="12.75" customHeight="1">
      <c r="A54" s="32" t="str">
        <f>SETUP!A16</f>
        <v>Scott R</v>
      </c>
      <c r="B54" s="33">
        <f t="array" ref="B54">if(A54="","",index(SETUP!C:C,match(A54,SETUP!A:A,0)))</f>
        <v>10</v>
      </c>
      <c r="C54" s="50"/>
      <c r="D54" s="35">
        <f>if(Scorecards!D54="","",Scorecards!D54-IF(Scorecards!$B54&gt;0,FLOOR(Scorecards!$B54/18,1),0)-IF(AND(MOD(Scorecards!$B54,18)&gt;=Scorecards!D$41,Scorecards!$B54&gt;0),1,0)+IF(Scorecards!D$41-18&gt;Scorecards!$B54,1,0))</f>
        <v>4</v>
      </c>
      <c r="E54" s="35">
        <f>if(Scorecards!E54="","",Scorecards!E54-IF(Scorecards!$B54&gt;0,FLOOR(Scorecards!$B54/18,1),0)-IF(AND(MOD(Scorecards!$B54,18)&gt;=Scorecards!E$41,Scorecards!$B54&gt;0),1,0)+IF(Scorecards!E$41-18&gt;Scorecards!$B54,1,0))</f>
        <v>3</v>
      </c>
      <c r="F54" s="35">
        <f>if(Scorecards!F54="","",Scorecards!F54-IF(Scorecards!$B54&gt;0,FLOOR(Scorecards!$B54/18,1),0)-IF(AND(MOD(Scorecards!$B54,18)&gt;=Scorecards!F$41,Scorecards!$B54&gt;0),1,0)+IF(Scorecards!F$41-18&gt;Scorecards!$B54,1,0))</f>
        <v>4</v>
      </c>
      <c r="G54" s="35">
        <f>if(Scorecards!G54="","",Scorecards!G54-IF(Scorecards!$B54&gt;0,FLOOR(Scorecards!$B54/18,1),0)-IF(AND(MOD(Scorecards!$B54,18)&gt;=Scorecards!G$41,Scorecards!$B54&gt;0),1,0)+IF(Scorecards!G$41-18&gt;Scorecards!$B54,1,0))</f>
        <v>2</v>
      </c>
      <c r="H54" s="35">
        <f>if(Scorecards!H54="","",Scorecards!H54-IF(Scorecards!$B54&gt;0,FLOOR(Scorecards!$B54/18,1),0)-IF(AND(MOD(Scorecards!$B54,18)&gt;=Scorecards!H$41,Scorecards!$B54&gt;0),1,0)+IF(Scorecards!H$41-18&gt;Scorecards!$B54,1,0))</f>
        <v>3</v>
      </c>
      <c r="I54" s="35">
        <f>if(Scorecards!I54="","",Scorecards!I54-IF(Scorecards!$B54&gt;0,FLOOR(Scorecards!$B54/18,1),0)-IF(AND(MOD(Scorecards!$B54,18)&gt;=Scorecards!I$41,Scorecards!$B54&gt;0),1,0)+IF(Scorecards!I$41-18&gt;Scorecards!$B54,1,0))</f>
        <v>5</v>
      </c>
      <c r="J54" s="35">
        <f>if(Scorecards!J54="","",Scorecards!J54-IF(Scorecards!$B54&gt;0,FLOOR(Scorecards!$B54/18,1),0)-IF(AND(MOD(Scorecards!$B54,18)&gt;=Scorecards!J$41,Scorecards!$B54&gt;0),1,0)+IF(Scorecards!J$41-18&gt;Scorecards!$B54,1,0))</f>
        <v>3</v>
      </c>
      <c r="K54" s="35">
        <f>if(Scorecards!K54="","",Scorecards!K54-IF(Scorecards!$B54&gt;0,FLOOR(Scorecards!$B54/18,1),0)-IF(AND(MOD(Scorecards!$B54,18)&gt;=Scorecards!K$41,Scorecards!$B54&gt;0),1,0)+IF(Scorecards!K$41-18&gt;Scorecards!$B54,1,0))</f>
        <v>7</v>
      </c>
      <c r="L54" s="35">
        <f>if(Scorecards!L54="","",Scorecards!L54-IF(Scorecards!$B54&gt;0,FLOOR(Scorecards!$B54/18,1),0)-IF(AND(MOD(Scorecards!$B54,18)&gt;=Scorecards!L$41,Scorecards!$B54&gt;0),1,0)+IF(Scorecards!L$41-18&gt;Scorecards!$B54,1,0))</f>
        <v>5</v>
      </c>
      <c r="M54" s="35">
        <f>if(Scorecards!M54="","",Scorecards!M54-IF(Scorecards!$B54&gt;0,FLOOR(Scorecards!$B54/18,1),0)-IF(AND(MOD(Scorecards!$B54,18)&gt;=Scorecards!M$41,Scorecards!$B54&gt;0),1,0)+IF(Scorecards!M$41-18&gt;Scorecards!$B54,1,0))</f>
        <v>5</v>
      </c>
      <c r="N54" s="35">
        <f>if(Scorecards!N54="","",Scorecards!N54-IF(Scorecards!$B54&gt;0,FLOOR(Scorecards!$B54/18,1),0)-IF(AND(MOD(Scorecards!$B54,18)&gt;=Scorecards!N$41,Scorecards!$B54&gt;0),1,0)+IF(Scorecards!N$41-18&gt;Scorecards!$B54,1,0))</f>
        <v>5</v>
      </c>
      <c r="O54" s="35">
        <f>if(Scorecards!O54="","",Scorecards!O54-IF(Scorecards!$B54&gt;0,FLOOR(Scorecards!$B54/18,1),0)-IF(AND(MOD(Scorecards!$B54,18)&gt;=Scorecards!O$41,Scorecards!$B54&gt;0),1,0)+IF(Scorecards!O$41-18&gt;Scorecards!$B54,1,0))</f>
        <v>4</v>
      </c>
      <c r="P54" s="35">
        <f>if(Scorecards!P54="","",Scorecards!P54-IF(Scorecards!$B54&gt;0,FLOOR(Scorecards!$B54/18,1),0)-IF(AND(MOD(Scorecards!$B54,18)&gt;=Scorecards!P$41,Scorecards!$B54&gt;0),1,0)+IF(Scorecards!P$41-18&gt;Scorecards!$B54,1,0))</f>
        <v>4</v>
      </c>
      <c r="Q54" s="35">
        <f>if(Scorecards!Q54="","",Scorecards!Q54-IF(Scorecards!$B54&gt;0,FLOOR(Scorecards!$B54/18,1),0)-IF(AND(MOD(Scorecards!$B54,18)&gt;=Scorecards!Q$41,Scorecards!$B54&gt;0),1,0)+IF(Scorecards!Q$41-18&gt;Scorecards!$B54,1,0))</f>
        <v>4</v>
      </c>
      <c r="R54" s="35">
        <f>if(Scorecards!R54="","",Scorecards!R54-IF(Scorecards!$B54&gt;0,FLOOR(Scorecards!$B54/18,1),0)-IF(AND(MOD(Scorecards!$B54,18)&gt;=Scorecards!R$41,Scorecards!$B54&gt;0),1,0)+IF(Scorecards!R$41-18&gt;Scorecards!$B54,1,0))</f>
        <v>3</v>
      </c>
      <c r="S54" s="35">
        <f>if(Scorecards!S54="","",Scorecards!S54-IF(Scorecards!$B54&gt;0,FLOOR(Scorecards!$B54/18,1),0)-IF(AND(MOD(Scorecards!$B54,18)&gt;=Scorecards!S$41,Scorecards!$B54&gt;0),1,0)+IF(Scorecards!S$41-18&gt;Scorecards!$B54,1,0))</f>
        <v>4</v>
      </c>
      <c r="T54" s="35">
        <f>if(Scorecards!T54="","",Scorecards!T54-IF(Scorecards!$B54&gt;0,FLOOR(Scorecards!$B54/18,1),0)-IF(AND(MOD(Scorecards!$B54,18)&gt;=Scorecards!T$41,Scorecards!$B54&gt;0),1,0)+IF(Scorecards!T$41-18&gt;Scorecards!$B54,1,0))</f>
        <v>3</v>
      </c>
      <c r="U54" s="35">
        <f>if(Scorecards!U54="","",Scorecards!U54-IF(Scorecards!$B54&gt;0,FLOOR(Scorecards!$B54/18,1),0)-IF(AND(MOD(Scorecards!$B54,18)&gt;=Scorecards!U$41,Scorecards!$B54&gt;0),1,0)+IF(Scorecards!U$41-18&gt;Scorecards!$B54,1,0))</f>
        <v>7</v>
      </c>
      <c r="V54" s="51">
        <f t="shared" si="11"/>
        <v>36</v>
      </c>
      <c r="W54" s="51">
        <f t="shared" si="12"/>
        <v>39</v>
      </c>
      <c r="X54" s="36">
        <f t="shared" si="13"/>
        <v>75</v>
      </c>
      <c r="Y54" s="37">
        <f t="shared" si="14"/>
        <v>65</v>
      </c>
      <c r="Z54" s="38">
        <f t="array" ref="Z54">sum(if(D54-$D$42=-3,1,0),if(E54-$E$42=-3,1,0),if(F54-$F$42=-3,1,0),if(G54-$G$42=-3,1,0),if(H54-$H$42=-3,1,0),if(I54-$I$42=-3,1,0),if(J54-$J$42=-3,1,0),if(K54-$K$42=-3,1,0),if(L54-$L$42=-3,1,0),if(M54-$M$42=-3,1,0),if(N54-$N$42=-3,1,0),if(O54-$O$42=-3,1,0),if(P54-$P$42=-3,1,0),if(Q54-$Q$42=-3,1,0),if(R54-$R$42=-3,1,0),if(S54-$S$42=-3,1,0),if(T54-$T$42=-3,1,0),if(U54-$U$42=-3,1,0))</f>
        <v>0</v>
      </c>
      <c r="AA54" s="38">
        <f t="array" ref="AA54">sum(if(D54-$D$42=-2,1,0),if(E54-$E$42=-2,1,0),if(F54-$F$42=-2,1,0),if(G54-$G$42=-2,1,0),if(H54-$H$42=-2,1,0),if(I54-$I$42=-2,1,0),if(J54-$J$42=-2,1,0),if(K54-$K$42=-2,1,0),if(L54-$L$42=-2,1,0),if(M54-$M$42=-2,1,0),if(N54-$N$42=-2,1,0),if(O54-$O$42=-2,1,0),if(P54-$P$42=-2,1,0),if(Q54-$Q$42=-2,1,0),if(R54-$R$42=-2,1,0),if(S54-$S$42=-2,1,0),if(T54-$T$42=-2,1,0),if(U54-$U$42=-2,1,0))</f>
        <v>1</v>
      </c>
      <c r="AB54" s="38">
        <f t="array" ref="AB54">sum(if(D54-$D$42=-1,1,0),if(E54-$E$42=-1,1,0),if(F54-$F$42=-1,1,0),if(G54-$G$42=-1,1,0),if(H54-$H$42=-1,1,0),if(I54-$I$42=-1,1,0),if(J54-$J$42=-1,1,0),if(K54-$K$42=-1,1,0),if(L54-$L$42=-1,1,0),if(M54-$M$42=-1,1,0),if(N54-$N$42=-1,1,0),if(O54-$O$42=-1,1,0),if(P54-$P$42=-1,1,0),if(Q54-$Q$42=-1,1,0),if(R54-$R$42=-1,1,0),if(S54-$S$42=-1,1,0),if(T54-$T$42=-1,1,0),if(U54-$U$42=-1,1,0))</f>
        <v>6</v>
      </c>
      <c r="AC54" s="38">
        <f t="array" ref="AC54">sum(if(D54-$D$42=0,1,0),if(E54-$E$42=0,1,0),if(F54-$F$42=0,1,0),if(G54-$G$42=0,1,0),if(H54-$H$42=0,1,0),if(I54-$I$42=0,1,0),if(J54-$J$42=0,1,0),if(K54-$K$42=0,1,0),if(L54-$L$42=0,1,0),if(M54-$M$42=0,1,0),if(N54-$N$42=0,1,0),if(O54-$O$42=0,1,0),if(P54-$P$42=0,1,0),if(Q54-$Q$42=0,1,0),if(R54-$R$42=0,1,0),if(S54-$S$42=0,1,0),if(T54-$T$42=0,1,0),if(U54-$U$42=0,1,0))</f>
        <v>4</v>
      </c>
      <c r="AD54" s="38">
        <f t="array" ref="AD54">sum(if(D54-$D$42=1,1,0),if(E54-$E$42=1,1,0),if(F54-$F$42=1,1,0),if(G54-$G$42=1,1,0),if(H54-$H$42=1,1,0),if(I54-$I$42=1,1,0),if(J54-$J$42=1,1,0),if(K54-$K$42=1,1,0),if(L54-$L$42=1,1,0),if(M54-$M$42=1,1,0),if(N54-$N$42=1,1,0),if(O54-$O$42=1,1,0),if(P54-$P$42=1,1,0),if(Q54-$Q$42=1,1,0),if(R54-$R$42=1,1,0),if(S54-$S$42=1,1,0),if(T54-$T$42=1,1,0),if(U54-$U$42=1,1,0))</f>
        <v>4</v>
      </c>
      <c r="AE54" s="38">
        <f t="array" ref="AE54">sum(if(D54-$D$42=2,1,0),if(E54-$E$42=2,1,0),if(F54-$F$42=2,1,0),if(G54-$G$42=2,1,0),if(H54-$H$42=2,1,0),if(I54-$I$42=2,1,0),if(J54-$J$42=2,1,0),if(K54-$K$42=2,1,0),if(L54-$L$42=2,1,0),if(M54-$M$42=2,1,0),if(N54-$N$42=2,1,0),if(O54-$O$42=2,1,0),if(P54-$P$42=2,1,0),if(Q54-$Q$42=2,1,0),if(R54-$R$42=2,1,0),if(S54-$S$42=2,1,0),if(T54-$T$42=2,1,0),if(U54-$U$42=2,1,0))</f>
        <v>2</v>
      </c>
      <c r="AF54" s="38">
        <f t="array" ref="AF54">sum(if(D54-$D$42=3,1,0),if(E54-$E$42=3,1,0),if(F54-$F$42=3,1,0),if(G54-$G$42=3,1,0),if(H54-$H$42=3,1,0),if(I54-$I$42=3,1,0),if(J54-$J$42=3,1,0),if(K54-$K$42=3,1,0),if(L54-$L$42=3,1,0),if(M54-$M$42=3,1,0),if(N54-$N$42=3,1,0),if(O54-$O$42=3,1,0),if(P54-$P$42=3,1,0),if(Q54-$Q$42=3,1,0),if(R54-$R$42=3,1,0),if(S54-$S$42=3,1,0),if(T54-$T$42=3,1,0),if(U54-$U$42=3,1,0))</f>
        <v>1</v>
      </c>
      <c r="AG54" s="38">
        <f t="array" ref="AG54">sum(if(D54-$D$42&gt;3,1,0),if(E54-$E$42&gt;3,1,0),if(F54-$F$42&gt;3,1,0),if(G54-$G$42&gt;3,1,0),if(H54-$H$42&gt;3,1,0),if(I54-$I$42&gt;3,1,0),if(J54-$J$42&gt;3,1,0),if(K54-$K$42&gt;3,1,0),if(L54-$L$42&gt;3,1,0),if(M54-$M$42&gt;3,1,0),if(N54-$N$42&gt;3,1,0),if(O54-$O$42&gt;3,1,0),if(P54-$P$42&gt;3,1,0),if(Q54-$Q$42&gt;3,1,0),if(R54-$R$42&gt;3,1,0),if(S54-$S$42&gt;3,1,0),if(T54-$T$42&gt;3,1,0),if(U54-$U$42&gt;3,1,0))</f>
        <v>0</v>
      </c>
      <c r="AH54" s="38">
        <f t="shared" si="15"/>
        <v>18</v>
      </c>
    </row>
    <row r="55" ht="12.75" customHeight="1">
      <c r="A55" s="10"/>
      <c r="B55" s="11"/>
      <c r="C55" s="41" t="s">
        <v>19</v>
      </c>
      <c r="D55" s="42" t="str">
        <f t="array" ref="D55">IF(SUM(IF(IF('Betting SETUP'!$D$5:$D$16="Y", D43:D54, 10)=MIN(IF('Betting SETUP'!$D$5:$D$16="Y", D43:D54, 10)), 1, 0)) &gt; 1, "", INDEX('Betting SETUP'!$A$5:$A$16,MATCH(MIN(IF('Betting SETUP'!$D$5:$D$16="Y",D43:D54,10)),IF('Betting SETUP'!$D$5:$D$16="Y",D43:D54,10),0)))</f>
        <v>John C</v>
      </c>
      <c r="E55" s="42" t="str">
        <f t="array" ref="E55">IF(SUM(IF(IF('Betting SETUP'!$D$5:$D$16="Y", E43:E54, 10)=MIN(IF('Betting SETUP'!$D$5:$D$16="Y", E43:E54, 10)), 1, 0)) &gt; 1, "", INDEX('Betting SETUP'!$A$5:$A$16,MATCH(MIN(IF('Betting SETUP'!$D$5:$D$16="Y",E43:E54,10)),IF('Betting SETUP'!$D$5:$D$16="Y",E43:E54,10),0)))</f>
        <v/>
      </c>
      <c r="F55" s="42" t="str">
        <f t="array" ref="F55">IF(SUM(IF(IF('Betting SETUP'!$D$5:$D$16="Y", F43:F54, 10)=MIN(IF('Betting SETUP'!$D$5:$D$16="Y", F43:F54, 10)), 1, 0)) &gt; 1, "", INDEX('Betting SETUP'!$A$5:$A$16,MATCH(MIN(IF('Betting SETUP'!$D$5:$D$16="Y",F43:F54,10)),IF('Betting SETUP'!$D$5:$D$16="Y",F43:F54,10),0)))</f>
        <v>Dave K</v>
      </c>
      <c r="G55" s="42" t="str">
        <f t="array" ref="G55">IF(SUM(IF(IF('Betting SETUP'!$D$5:$D$16="Y", G43:G54, 10)=MIN(IF('Betting SETUP'!$D$5:$D$16="Y", G43:G54, 10)), 1, 0)) &gt; 1, "", INDEX('Betting SETUP'!$A$5:$A$16,MATCH(MIN(IF('Betting SETUP'!$D$5:$D$16="Y",G43:G54,10)),IF('Betting SETUP'!$D$5:$D$16="Y",G43:G54,10),0)))</f>
        <v/>
      </c>
      <c r="H55" s="42" t="str">
        <f t="array" ref="H55">IF(SUM(IF(IF('Betting SETUP'!$D$5:$D$16="Y", H43:H54, 10)=MIN(IF('Betting SETUP'!$D$5:$D$16="Y", H43:H54, 10)), 1, 0)) &gt; 1, "", INDEX('Betting SETUP'!$A$5:$A$16,MATCH(MIN(IF('Betting SETUP'!$D$5:$D$16="Y",H43:H54,10)),IF('Betting SETUP'!$D$5:$D$16="Y",H43:H54,10),0)))</f>
        <v>Andy V</v>
      </c>
      <c r="I55" s="42" t="str">
        <f t="array" ref="I55">IF(SUM(IF(IF('Betting SETUP'!$D$5:$D$16="Y", I43:I54, 10)=MIN(IF('Betting SETUP'!$D$5:$D$16="Y", I43:I54, 10)), 1, 0)) &gt; 1, "", INDEX('Betting SETUP'!$A$5:$A$16,MATCH(MIN(IF('Betting SETUP'!$D$5:$D$16="Y",I43:I54,10)),IF('Betting SETUP'!$D$5:$D$16="Y",I43:I54,10),0)))</f>
        <v>Jeff B</v>
      </c>
      <c r="J55" s="42" t="str">
        <f t="array" ref="J55">IF(SUM(IF(IF('Betting SETUP'!$D$5:$D$16="Y", J43:J54, 10)=MIN(IF('Betting SETUP'!$D$5:$D$16="Y", J43:J54, 10)), 1, 0)) &gt; 1, "", INDEX('Betting SETUP'!$A$5:$A$16,MATCH(MIN(IF('Betting SETUP'!$D$5:$D$16="Y",J43:J54,10)),IF('Betting SETUP'!$D$5:$D$16="Y",J43:J54,10),0)))</f>
        <v/>
      </c>
      <c r="K55" s="42" t="str">
        <f t="array" ref="K55">IF(SUM(IF(IF('Betting SETUP'!$D$5:$D$16="Y", K43:K54, 10)=MIN(IF('Betting SETUP'!$D$5:$D$16="Y", K43:K54, 10)), 1, 0)) &gt; 1, "", INDEX('Betting SETUP'!$A$5:$A$16,MATCH(MIN(IF('Betting SETUP'!$D$5:$D$16="Y",K43:K54,10)),IF('Betting SETUP'!$D$5:$D$16="Y",K43:K54,10),0)))</f>
        <v/>
      </c>
      <c r="L55" s="42" t="str">
        <f t="array" ref="L55">IF(SUM(IF(IF('Betting SETUP'!$D$5:$D$16="Y", L43:L54, 10)=MIN(IF('Betting SETUP'!$D$5:$D$16="Y", L43:L54, 10)), 1, 0)) &gt; 1, "", INDEX('Betting SETUP'!$A$5:$A$16,MATCH(MIN(IF('Betting SETUP'!$D$5:$D$16="Y",L43:L54,10)),IF('Betting SETUP'!$D$5:$D$16="Y",L43:L54,10),0)))</f>
        <v>Joe S</v>
      </c>
      <c r="M55" s="42" t="str">
        <f t="array" ref="M55">IF(SUM(IF(IF('Betting SETUP'!$D$5:$D$16="Y", M43:M54, 10)=MIN(IF('Betting SETUP'!$D$5:$D$16="Y", M43:M54, 10)), 1, 0)) &gt; 1, "", INDEX('Betting SETUP'!$A$5:$A$16,MATCH(MIN(IF('Betting SETUP'!$D$5:$D$16="Y",M43:M54,10)),IF('Betting SETUP'!$D$5:$D$16="Y",M43:M54,10),0)))</f>
        <v/>
      </c>
      <c r="N55" s="42" t="str">
        <f t="array" ref="N55">IF(SUM(IF(IF('Betting SETUP'!$D$5:$D$16="Y", N43:N54, 10)=MIN(IF('Betting SETUP'!$D$5:$D$16="Y", N43:N54, 10)), 1, 0)) &gt; 1, "", INDEX('Betting SETUP'!$A$5:$A$16,MATCH(MIN(IF('Betting SETUP'!$D$5:$D$16="Y",N43:N54,10)),IF('Betting SETUP'!$D$5:$D$16="Y",N43:N54,10),0)))</f>
        <v>Bob B</v>
      </c>
      <c r="O55" s="42" t="str">
        <f t="array" ref="O55">IF(SUM(IF(IF('Betting SETUP'!$D$5:$D$16="Y", O43:O54, 10)=MIN(IF('Betting SETUP'!$D$5:$D$16="Y", O43:O54, 10)), 1, 0)) &gt; 1, "", INDEX('Betting SETUP'!$A$5:$A$16,MATCH(MIN(IF('Betting SETUP'!$D$5:$D$16="Y",O43:O54,10)),IF('Betting SETUP'!$D$5:$D$16="Y",O43:O54,10),0)))</f>
        <v/>
      </c>
      <c r="P55" s="42" t="str">
        <f t="array" ref="P55">IF(SUM(IF(IF('Betting SETUP'!$D$5:$D$16="Y", P43:P54, 10)=MIN(IF('Betting SETUP'!$D$5:$D$16="Y", P43:P54, 10)), 1, 0)) &gt; 1, "", INDEX('Betting SETUP'!$A$5:$A$16,MATCH(MIN(IF('Betting SETUP'!$D$5:$D$16="Y",P43:P54,10)),IF('Betting SETUP'!$D$5:$D$16="Y",P43:P54,10),0)))</f>
        <v/>
      </c>
      <c r="Q55" s="42" t="str">
        <f t="array" ref="Q55">IF(SUM(IF(IF('Betting SETUP'!$D$5:$D$16="Y", Q43:Q54, 10)=MIN(IF('Betting SETUP'!$D$5:$D$16="Y", Q43:Q54, 10)), 1, 0)) &gt; 1, "", INDEX('Betting SETUP'!$A$5:$A$16,MATCH(MIN(IF('Betting SETUP'!$D$5:$D$16="Y",Q43:Q54,10)),IF('Betting SETUP'!$D$5:$D$16="Y",Q43:Q54,10),0)))</f>
        <v>Bob B</v>
      </c>
      <c r="R55" s="42" t="str">
        <f t="array" ref="R55">IF(SUM(IF(IF('Betting SETUP'!$D$5:$D$16="Y", R43:R54, 10)=MIN(IF('Betting SETUP'!$D$5:$D$16="Y", R43:R54, 10)), 1, 0)) &gt; 1, "", INDEX('Betting SETUP'!$A$5:$A$16,MATCH(MIN(IF('Betting SETUP'!$D$5:$D$16="Y",R43:R54,10)),IF('Betting SETUP'!$D$5:$D$16="Y",R43:R54,10),0)))</f>
        <v/>
      </c>
      <c r="S55" s="42" t="str">
        <f t="array" ref="S55">IF(SUM(IF(IF('Betting SETUP'!$D$5:$D$16="Y", S43:S54, 10)=MIN(IF('Betting SETUP'!$D$5:$D$16="Y", S43:S54, 10)), 1, 0)) &gt; 1, "", INDEX('Betting SETUP'!$A$5:$A$16,MATCH(MIN(IF('Betting SETUP'!$D$5:$D$16="Y",S43:S54,10)),IF('Betting SETUP'!$D$5:$D$16="Y",S43:S54,10),0)))</f>
        <v>Russ W</v>
      </c>
      <c r="T55" s="42" t="str">
        <f t="array" ref="T55">IF(SUM(IF(IF('Betting SETUP'!$D$5:$D$16="Y", T43:T54, 10)=MIN(IF('Betting SETUP'!$D$5:$D$16="Y", T43:T54, 10)), 1, 0)) &gt; 1, "", INDEX('Betting SETUP'!$A$5:$A$16,MATCH(MIN(IF('Betting SETUP'!$D$5:$D$16="Y",T43:T54,10)),IF('Betting SETUP'!$D$5:$D$16="Y",T43:T54,10),0)))</f>
        <v/>
      </c>
      <c r="U55" s="42" t="str">
        <f t="array" ref="U55">IF(SUM(IF(IF('Betting SETUP'!$D$5:$D$16="Y", U43:U54, 10)=MIN(IF('Betting SETUP'!$D$5:$D$16="Y", U43:U54, 10)), 1, 0)) &gt; 1, "", INDEX('Betting SETUP'!$A$5:$A$16,MATCH(MIN(IF('Betting SETUP'!$D$5:$D$16="Y",U43:U54,10)),IF('Betting SETUP'!$D$5:$D$16="Y",U43:U54,10),0)))</f>
        <v/>
      </c>
      <c r="V55" s="14"/>
      <c r="W55" s="15"/>
      <c r="X55" s="42">
        <f>18-COUNTBLANK(D55:U55)</f>
        <v>8</v>
      </c>
      <c r="Y55" s="43"/>
      <c r="Z55" s="44"/>
      <c r="AA55" s="44"/>
      <c r="AB55" s="44"/>
      <c r="AC55" s="44"/>
      <c r="AD55" s="44"/>
      <c r="AE55" s="44"/>
      <c r="AF55" s="44"/>
      <c r="AG55" s="44"/>
      <c r="AH55" s="44"/>
    </row>
    <row r="56" ht="12.75" customHeight="1">
      <c r="A56" s="10"/>
      <c r="B56" s="11"/>
      <c r="C56" s="41" t="s">
        <v>20</v>
      </c>
      <c r="D56" s="42"/>
      <c r="E56" s="45"/>
      <c r="F56" s="45"/>
      <c r="G56" s="42"/>
      <c r="H56" s="45"/>
      <c r="I56" s="45"/>
      <c r="J56" s="45"/>
      <c r="K56" s="42"/>
      <c r="L56" s="45"/>
      <c r="M56" s="42"/>
      <c r="N56" s="45"/>
      <c r="O56" s="45"/>
      <c r="P56" s="45"/>
      <c r="Q56" s="45"/>
      <c r="R56" s="45"/>
      <c r="S56" s="42"/>
      <c r="T56" s="45"/>
      <c r="U56" s="42"/>
      <c r="V56" s="42"/>
      <c r="W56" s="42"/>
      <c r="X56" s="42">
        <f>COUNTA(D56:U56)</f>
        <v>0</v>
      </c>
      <c r="Y56" s="43"/>
      <c r="Z56" s="44"/>
      <c r="AA56" s="44"/>
      <c r="AB56" s="44"/>
      <c r="AC56" s="44"/>
      <c r="AD56" s="44"/>
      <c r="AE56" s="44"/>
      <c r="AF56" s="44"/>
      <c r="AG56" s="44"/>
      <c r="AH56" s="44"/>
    </row>
    <row r="57" ht="12.75" customHeight="1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12.75" customHeight="1">
      <c r="A58" s="10"/>
      <c r="B58" s="11"/>
      <c r="C58" s="12" t="str">
        <f>SETUP!F1</f>
        <v>THE LAKES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15"/>
      <c r="X58" s="16">
        <f>SETUP!F2</f>
        <v>70.8</v>
      </c>
      <c r="Y58" s="17">
        <f>SETUP!F3</f>
        <v>136</v>
      </c>
      <c r="Z58" s="18"/>
      <c r="AA58" s="18"/>
      <c r="AB58" s="18"/>
      <c r="AC58" s="18"/>
      <c r="AD58" s="18"/>
      <c r="AE58" s="18"/>
      <c r="AF58" s="18"/>
      <c r="AG58" s="18"/>
      <c r="AH58" s="18"/>
    </row>
    <row r="59" ht="12.75" customHeight="1">
      <c r="A59" s="10"/>
      <c r="B59" s="11"/>
      <c r="C59" s="17" t="s">
        <v>5</v>
      </c>
      <c r="D59" s="19">
        <v>1.0</v>
      </c>
      <c r="E59" s="19">
        <v>2.0</v>
      </c>
      <c r="F59" s="19">
        <v>3.0</v>
      </c>
      <c r="G59" s="19">
        <v>4.0</v>
      </c>
      <c r="H59" s="19">
        <v>5.0</v>
      </c>
      <c r="I59" s="19">
        <v>6.0</v>
      </c>
      <c r="J59" s="19">
        <v>7.0</v>
      </c>
      <c r="K59" s="19">
        <v>8.0</v>
      </c>
      <c r="L59" s="19">
        <v>9.0</v>
      </c>
      <c r="M59" s="19">
        <v>10.0</v>
      </c>
      <c r="N59" s="19">
        <v>11.0</v>
      </c>
      <c r="O59" s="19">
        <v>12.0</v>
      </c>
      <c r="P59" s="19">
        <v>13.0</v>
      </c>
      <c r="Q59" s="19">
        <v>14.0</v>
      </c>
      <c r="R59" s="19">
        <v>15.0</v>
      </c>
      <c r="S59" s="19">
        <v>16.0</v>
      </c>
      <c r="T59" s="19">
        <v>17.0</v>
      </c>
      <c r="U59" s="19">
        <v>18.0</v>
      </c>
      <c r="V59" s="19" t="s">
        <v>6</v>
      </c>
      <c r="W59" s="19" t="s">
        <v>7</v>
      </c>
      <c r="X59" s="19" t="s">
        <v>8</v>
      </c>
      <c r="Y59" s="19" t="s">
        <v>9</v>
      </c>
      <c r="Z59" s="20"/>
      <c r="AA59" s="20"/>
      <c r="AB59" s="20"/>
      <c r="AC59" s="20"/>
      <c r="AD59" s="20"/>
      <c r="AE59" s="20"/>
      <c r="AF59" s="20"/>
      <c r="AG59" s="20"/>
      <c r="AH59" s="20"/>
    </row>
    <row r="60" ht="12.75" customHeight="1">
      <c r="A60" s="21"/>
      <c r="B60" s="22"/>
      <c r="C60" s="23" t="s">
        <v>10</v>
      </c>
      <c r="D60" s="19">
        <f>Scorecards!D60</f>
        <v>13</v>
      </c>
      <c r="E60" s="19">
        <f>Scorecards!E60</f>
        <v>7</v>
      </c>
      <c r="F60" s="19">
        <f>Scorecards!F60</f>
        <v>11</v>
      </c>
      <c r="G60" s="19">
        <f>Scorecards!G60</f>
        <v>1</v>
      </c>
      <c r="H60" s="19">
        <f>Scorecards!H60</f>
        <v>5</v>
      </c>
      <c r="I60" s="19">
        <f>Scorecards!I60</f>
        <v>15</v>
      </c>
      <c r="J60" s="19">
        <f>Scorecards!J60</f>
        <v>17</v>
      </c>
      <c r="K60" s="19">
        <f>Scorecards!K60</f>
        <v>9</v>
      </c>
      <c r="L60" s="19">
        <f>Scorecards!L60</f>
        <v>3</v>
      </c>
      <c r="M60" s="19">
        <f>Scorecards!M60</f>
        <v>18</v>
      </c>
      <c r="N60" s="19">
        <f>Scorecards!N60</f>
        <v>14</v>
      </c>
      <c r="O60" s="19">
        <f>Scorecards!O60</f>
        <v>12</v>
      </c>
      <c r="P60" s="19">
        <f>Scorecards!P60</f>
        <v>6</v>
      </c>
      <c r="Q60" s="19">
        <f>Scorecards!Q60</f>
        <v>10</v>
      </c>
      <c r="R60" s="19">
        <f>Scorecards!R60</f>
        <v>8</v>
      </c>
      <c r="S60" s="19">
        <f>Scorecards!S60</f>
        <v>2</v>
      </c>
      <c r="T60" s="19">
        <f>Scorecards!T60</f>
        <v>16</v>
      </c>
      <c r="U60" s="19">
        <f>Scorecards!U60</f>
        <v>4</v>
      </c>
      <c r="V60" s="26"/>
      <c r="W60" s="26"/>
      <c r="X60" s="26"/>
      <c r="Y60" s="26"/>
      <c r="Z60" s="27"/>
      <c r="AA60" s="27"/>
      <c r="AB60" s="27"/>
      <c r="AC60" s="27"/>
      <c r="AD60" s="27"/>
      <c r="AE60" s="27"/>
      <c r="AF60" s="27"/>
      <c r="AG60" s="27"/>
      <c r="AH60" s="27"/>
    </row>
    <row r="61" ht="12.75" customHeight="1">
      <c r="A61" s="28" t="s">
        <v>24</v>
      </c>
      <c r="B61" s="29" t="s">
        <v>10</v>
      </c>
      <c r="C61" s="17" t="s">
        <v>11</v>
      </c>
      <c r="D61" s="49">
        <f>Scorecards!D61</f>
        <v>4</v>
      </c>
      <c r="E61" s="49">
        <f>Scorecards!E61</f>
        <v>5</v>
      </c>
      <c r="F61" s="49">
        <f>Scorecards!F61</f>
        <v>3</v>
      </c>
      <c r="G61" s="49">
        <f>Scorecards!G61</f>
        <v>4</v>
      </c>
      <c r="H61" s="49">
        <f>Scorecards!H61</f>
        <v>5</v>
      </c>
      <c r="I61" s="49">
        <f>Scorecards!I61</f>
        <v>3</v>
      </c>
      <c r="J61" s="49">
        <f>Scorecards!J61</f>
        <v>4</v>
      </c>
      <c r="K61" s="49">
        <f>Scorecards!K61</f>
        <v>4</v>
      </c>
      <c r="L61" s="49">
        <f>Scorecards!L61</f>
        <v>5</v>
      </c>
      <c r="M61" s="49">
        <f>Scorecards!M61</f>
        <v>3</v>
      </c>
      <c r="N61" s="49">
        <f>Scorecards!N61</f>
        <v>5</v>
      </c>
      <c r="O61" s="49">
        <f>Scorecards!O61</f>
        <v>3</v>
      </c>
      <c r="P61" s="49">
        <f>Scorecards!P61</f>
        <v>4</v>
      </c>
      <c r="Q61" s="49">
        <f>Scorecards!Q61</f>
        <v>4</v>
      </c>
      <c r="R61" s="49">
        <f>Scorecards!R61</f>
        <v>4</v>
      </c>
      <c r="S61" s="49">
        <f>Scorecards!S61</f>
        <v>4</v>
      </c>
      <c r="T61" s="49">
        <f>Scorecards!T61</f>
        <v>3</v>
      </c>
      <c r="U61" s="49">
        <f>Scorecards!U61</f>
        <v>5</v>
      </c>
      <c r="V61" s="30">
        <f t="shared" ref="V61:V73" si="16">SUM(D61:L61)</f>
        <v>37</v>
      </c>
      <c r="W61" s="30">
        <f t="shared" ref="W61:W73" si="17">SUM(M61:U61)</f>
        <v>35</v>
      </c>
      <c r="X61" s="30">
        <f>V61+W61</f>
        <v>72</v>
      </c>
      <c r="Y61" s="30"/>
      <c r="Z61" s="31" t="s">
        <v>12</v>
      </c>
      <c r="AA61" s="31" t="s">
        <v>13</v>
      </c>
      <c r="AB61" s="31" t="s">
        <v>14</v>
      </c>
      <c r="AC61" s="31" t="s">
        <v>11</v>
      </c>
      <c r="AD61" s="31" t="s">
        <v>15</v>
      </c>
      <c r="AE61" s="31" t="s">
        <v>16</v>
      </c>
      <c r="AF61" s="31" t="s">
        <v>17</v>
      </c>
      <c r="AG61" s="31" t="s">
        <v>18</v>
      </c>
      <c r="AH61" s="27"/>
    </row>
    <row r="62" ht="12.75" customHeight="1">
      <c r="A62" s="32" t="str">
        <f>SETUP!A5</f>
        <v>Aaron J</v>
      </c>
      <c r="B62" s="33">
        <f t="array" ref="B62">if(A62="","",index(SETUP!C:C,match(A62,SETUP!A:A,0)))</f>
        <v>9</v>
      </c>
      <c r="C62" s="17"/>
      <c r="D62" s="35">
        <f>if(Scorecards!D62="","",Scorecards!D62-IF(Scorecards!$B62&gt;0,FLOOR(Scorecards!$B62/18,1),0)-IF(AND(MOD(Scorecards!$B62,18)&gt;=Scorecards!D$60,Scorecards!$B62&gt;0),1,0)+IF(Scorecards!D$60-18&gt;Scorecards!$B62,1,0))</f>
        <v>6</v>
      </c>
      <c r="E62" s="35">
        <f>if(Scorecards!E62="","",Scorecards!E62-IF(Scorecards!$B62&gt;0,FLOOR(Scorecards!$B62/18,1),0)-IF(AND(MOD(Scorecards!$B62,18)&gt;=Scorecards!E$60,Scorecards!$B62&gt;0),1,0)+IF(Scorecards!E$60-18&gt;Scorecards!$B62,1,0))</f>
        <v>3</v>
      </c>
      <c r="F62" s="35">
        <f>if(Scorecards!F62="","",Scorecards!F62-IF(Scorecards!$B62&gt;0,FLOOR(Scorecards!$B62/18,1),0)-IF(AND(MOD(Scorecards!$B62,18)&gt;=Scorecards!F$60,Scorecards!$B62&gt;0),1,0)+IF(Scorecards!F$60-18&gt;Scorecards!$B62,1,0))</f>
        <v>6</v>
      </c>
      <c r="G62" s="35">
        <f>if(Scorecards!G62="","",Scorecards!G62-IF(Scorecards!$B62&gt;0,FLOOR(Scorecards!$B62/18,1),0)-IF(AND(MOD(Scorecards!$B62,18)&gt;=Scorecards!G$60,Scorecards!$B62&gt;0),1,0)+IF(Scorecards!G$60-18&gt;Scorecards!$B62,1,0))</f>
        <v>4</v>
      </c>
      <c r="H62" s="35">
        <f>if(Scorecards!H62="","",Scorecards!H62-IF(Scorecards!$B62&gt;0,FLOOR(Scorecards!$B62/18,1),0)-IF(AND(MOD(Scorecards!$B62,18)&gt;=Scorecards!H$60,Scorecards!$B62&gt;0),1,0)+IF(Scorecards!H$60-18&gt;Scorecards!$B62,1,0))</f>
        <v>5</v>
      </c>
      <c r="I62" s="35">
        <f>if(Scorecards!I62="","",Scorecards!I62-IF(Scorecards!$B62&gt;0,FLOOR(Scorecards!$B62/18,1),0)-IF(AND(MOD(Scorecards!$B62,18)&gt;=Scorecards!I$60,Scorecards!$B62&gt;0),1,0)+IF(Scorecards!I$60-18&gt;Scorecards!$B62,1,0))</f>
        <v>4</v>
      </c>
      <c r="J62" s="35">
        <f>if(Scorecards!J62="","",Scorecards!J62-IF(Scorecards!$B62&gt;0,FLOOR(Scorecards!$B62/18,1),0)-IF(AND(MOD(Scorecards!$B62,18)&gt;=Scorecards!J$60,Scorecards!$B62&gt;0),1,0)+IF(Scorecards!J$60-18&gt;Scorecards!$B62,1,0))</f>
        <v>5</v>
      </c>
      <c r="K62" s="35">
        <f>if(Scorecards!K62="","",Scorecards!K62-IF(Scorecards!$B62&gt;0,FLOOR(Scorecards!$B62/18,1),0)-IF(AND(MOD(Scorecards!$B62,18)&gt;=Scorecards!K$60,Scorecards!$B62&gt;0),1,0)+IF(Scorecards!K$60-18&gt;Scorecards!$B62,1,0))</f>
        <v>6</v>
      </c>
      <c r="L62" s="35">
        <f>if(Scorecards!L62="","",Scorecards!L62-IF(Scorecards!$B62&gt;0,FLOOR(Scorecards!$B62/18,1),0)-IF(AND(MOD(Scorecards!$B62,18)&gt;=Scorecards!L$60,Scorecards!$B62&gt;0),1,0)+IF(Scorecards!L$60-18&gt;Scorecards!$B62,1,0))</f>
        <v>5</v>
      </c>
      <c r="M62" s="35">
        <f>if(Scorecards!M62="","",Scorecards!M62-IF(Scorecards!$B62&gt;0,FLOOR(Scorecards!$B62/18,1),0)-IF(AND(MOD(Scorecards!$B62,18)&gt;=Scorecards!M$60,Scorecards!$B62&gt;0),1,0)+IF(Scorecards!M$60-18&gt;Scorecards!$B62,1,0))</f>
        <v>3</v>
      </c>
      <c r="N62" s="35">
        <f>if(Scorecards!N62="","",Scorecards!N62-IF(Scorecards!$B62&gt;0,FLOOR(Scorecards!$B62/18,1),0)-IF(AND(MOD(Scorecards!$B62,18)&gt;=Scorecards!N$60,Scorecards!$B62&gt;0),1,0)+IF(Scorecards!N$60-18&gt;Scorecards!$B62,1,0))</f>
        <v>7</v>
      </c>
      <c r="O62" s="35">
        <f>if(Scorecards!O62="","",Scorecards!O62-IF(Scorecards!$B62&gt;0,FLOOR(Scorecards!$B62/18,1),0)-IF(AND(MOD(Scorecards!$B62,18)&gt;=Scorecards!O$60,Scorecards!$B62&gt;0),1,0)+IF(Scorecards!O$60-18&gt;Scorecards!$B62,1,0))</f>
        <v>3</v>
      </c>
      <c r="P62" s="35">
        <f>if(Scorecards!P62="","",Scorecards!P62-IF(Scorecards!$B62&gt;0,FLOOR(Scorecards!$B62/18,1),0)-IF(AND(MOD(Scorecards!$B62,18)&gt;=Scorecards!P$60,Scorecards!$B62&gt;0),1,0)+IF(Scorecards!P$60-18&gt;Scorecards!$B62,1,0))</f>
        <v>3</v>
      </c>
      <c r="Q62" s="35">
        <f>if(Scorecards!Q62="","",Scorecards!Q62-IF(Scorecards!$B62&gt;0,FLOOR(Scorecards!$B62/18,1),0)-IF(AND(MOD(Scorecards!$B62,18)&gt;=Scorecards!Q$60,Scorecards!$B62&gt;0),1,0)+IF(Scorecards!Q$60-18&gt;Scorecards!$B62,1,0))</f>
        <v>5</v>
      </c>
      <c r="R62" s="35">
        <f>if(Scorecards!R62="","",Scorecards!R62-IF(Scorecards!$B62&gt;0,FLOOR(Scorecards!$B62/18,1),0)-IF(AND(MOD(Scorecards!$B62,18)&gt;=Scorecards!R$60,Scorecards!$B62&gt;0),1,0)+IF(Scorecards!R$60-18&gt;Scorecards!$B62,1,0))</f>
        <v>5</v>
      </c>
      <c r="S62" s="35">
        <f>if(Scorecards!S62="","",Scorecards!S62-IF(Scorecards!$B62&gt;0,FLOOR(Scorecards!$B62/18,1),0)-IF(AND(MOD(Scorecards!$B62,18)&gt;=Scorecards!S$60,Scorecards!$B62&gt;0),1,0)+IF(Scorecards!S$60-18&gt;Scorecards!$B62,1,0))</f>
        <v>3</v>
      </c>
      <c r="T62" s="35">
        <f>if(Scorecards!T62="","",Scorecards!T62-IF(Scorecards!$B62&gt;0,FLOOR(Scorecards!$B62/18,1),0)-IF(AND(MOD(Scorecards!$B62,18)&gt;=Scorecards!T$60,Scorecards!$B62&gt;0),1,0)+IF(Scorecards!T$60-18&gt;Scorecards!$B62,1,0))</f>
        <v>3</v>
      </c>
      <c r="U62" s="35">
        <f>if(Scorecards!U62="","",Scorecards!U62-IF(Scorecards!$B62&gt;0,FLOOR(Scorecards!$B62/18,1),0)-IF(AND(MOD(Scorecards!$B62,18)&gt;=Scorecards!U$60,Scorecards!$B62&gt;0),1,0)+IF(Scorecards!U$60-18&gt;Scorecards!$B62,1,0))</f>
        <v>4</v>
      </c>
      <c r="V62" s="36">
        <f t="shared" si="16"/>
        <v>44</v>
      </c>
      <c r="W62" s="36">
        <f t="shared" si="17"/>
        <v>36</v>
      </c>
      <c r="X62" s="36">
        <f t="shared" ref="X62:X73" si="18">IF(W62&gt;0,V62+W62,"")</f>
        <v>80</v>
      </c>
      <c r="Y62" s="37">
        <f t="shared" ref="Y62:Y73" si="19">IF(W62=0,"",X62-B62)</f>
        <v>71</v>
      </c>
      <c r="Z62" s="38">
        <f t="array" ref="Z62">sum(if(D62-$D$61=-3,1,0),if(E62-$E$61=-3,1,0),if(F62-$F$61=-3,1,0),if(G62-$G$61=-3,1,0),if(H62-$H$61=-3,1,0),if(I62-$I$61=-3,1,0),if(J62-$J$61=-3,1,0),if(K62-$K$61=-3,1,0),if(L62-$L$61=-3,1,0),if(M62-$M$61=-3,1,0),if(N62-$N$61=-3,1,0),if(O62-$O$61=-3,1,0),if(P62-$P$61=-3,1,0),if(Q62-$Q$61=-3,1,0),if(R62-$R$61=-3,1,0),if(S62-$S$61=-3,1,0),if(T62-$T$61=-3,1,0),if(U62-$U$61=-3,1,0))</f>
        <v>0</v>
      </c>
      <c r="AA62" s="38">
        <f t="array" ref="AA62">sum(if(D62-$D$61=-2,1,0),if(E62-$E$61=-2,1,0),if(F62-$F$61=-2,1,0),if(G62-$G$61=-2,1,0),if(H62-$H$61=-2,1,0),if(I62-$I$61=-2,1,0),if(J62-$J$61=-2,1,0),if(K62-$K$61=-2,1,0),if(L62-$L$61=-2,1,0),if(M62-$M$61=-2,1,0),if(N62-$N$61=-2,1,0),if(O62-$O$61=-2,1,0),if(P62-$P$61=-2,1,0),if(Q62-$Q$61=-2,1,0),if(R62-$R$61=-2,1,0),if(S62-$S$61=-2,1,0),if(T62-$T$61=-2,1,0),if(U62-$U$61=-2,1,0))</f>
        <v>1</v>
      </c>
      <c r="AB62" s="38">
        <f t="array" ref="AB62">sum(if(D62-$D$61=-1,1,0),if(E62-$E$61=-1,1,0),if(F62-$F$61=-1,1,0),if(G62-$G$61=-1,1,0),if(H62-$H$61=-1,1,0),if(I62-$I$61=-1,1,0),if(J62-$J$61=-1,1,0),if(K62-$K$61=-1,1,0),if(L62-$L$61=-1,1,0),if(M62-$M$61=-1,1,0),if(N62-$N$61=-1,1,0),if(O62-$O$61=-1,1,0),if(P62-$P$61=-1,1,0),if(Q62-$Q$61=-1,1,0),if(R62-$R$61=-1,1,0),if(S62-$S$61=-1,1,0),if(T62-$T$61=-1,1,0),if(U62-$U$61=-1,1,0))</f>
        <v>3</v>
      </c>
      <c r="AC62" s="38">
        <f t="array" ref="AC62">sum(if(D62-$D$61=0,1,0),if(E62-$E$61=0,1,0),if(F62-$F$61=0,1,0),if(G62-$G$61=0,1,0),if(H62-$H$61=0,1,0),if(I62-$I$61=0,1,0),if(J62-$J$61=0,1,0),if(K62-$K$61=0,1,0),if(L62-$L$61=0,1,0),if(M62-$M$61=0,1,0),if(N62-$N$61=0,1,0),if(O62-$O$61=0,1,0),if(P62-$P$61=0,1,0),if(Q62-$Q$61=0,1,0),if(R62-$R$61=0,1,0),if(S62-$S$61=0,1,0),if(T62-$T$61=0,1,0),if(U62-$U$61=0,1,0))</f>
        <v>6</v>
      </c>
      <c r="AD62" s="38">
        <f t="array" ref="AD62">sum(if(D62-$D$61=1,1,0),if(E62-$E$61=1,1,0),if(F62-$F$61=1,1,0),if(G62-$G$61=1,1,0),if(H62-$H$61=1,1,0),if(I62-$I$61=1,1,0),if(J62-$J$61=1,1,0),if(K62-$K$61=1,1,0),if(L62-$L$61=1,1,0),if(M62-$M$61=1,1,0),if(N62-$N$61=1,1,0),if(O62-$O$61=1,1,0),if(P62-$P$61=1,1,0),if(Q62-$Q$61=1,1,0),if(R62-$R$61=1,1,0),if(S62-$S$61=1,1,0),if(T62-$T$61=1,1,0),if(U62-$U$61=1,1,0))</f>
        <v>4</v>
      </c>
      <c r="AE62" s="38">
        <f t="array" ref="AE62">sum(if(D62-$D$61=2,1,0),if(E62-$E$61=2,1,0),if(F62-$F$61=2,1,0),if(G62-$G$61=2,1,0),if(H62-$H$61=2,1,0),if(I62-$I$61=2,1,0),if(J62-$J$61=2,1,0),if(K62-$K$61=2,1,0),if(L62-$L$61=2,1,0),if(M62-$M$61=2,1,0),if(N62-$N$61=2,1,0),if(O62-$O$61=2,1,0),if(P62-$P$61=2,1,0),if(Q62-$Q$61=2,1,0),if(R62-$R$61=2,1,0),if(S62-$S$61=2,1,0),if(T62-$T$61=2,1,0),if(U62-$U$61=2,1,0))</f>
        <v>3</v>
      </c>
      <c r="AF62" s="38">
        <f t="array" ref="AF62">sum(if(D62-$D$61=3,1,0),if(E62-$E$61=3,1,0),if(F62-$F$61=3,1,0),if(G62-$G$61=3,1,0),if(H62-$H$61=3,1,0),if(I62-$I$61=3,1,0),if(J62-$J$61=3,1,0),if(K62-$K$61=3,1,0),if(L62-$L$61=3,1,0),if(M62-$M$61=3,1,0),if(N62-$N$61=3,1,0),if(O62-$O$61=3,1,0),if(P62-$P$61=3,1,0),if(Q62-$Q$61=3,1,0),if(R62-$R$61=3,1,0),if(S62-$S$61=3,1,0),if(T62-$T$61=3,1,0),if(U62-$U$61=3,1,0))</f>
        <v>1</v>
      </c>
      <c r="AG62" s="38">
        <f t="array" ref="AG62">sum(if(D62-$D$61&gt;3,1,0),if(E62-$E$61&gt;3,1,0),if(F62-$F$61&gt;3,1,0),if(G62-$G$61&gt;3,1,0),if(H62-$H$61&gt;3,1,0),if(I62-$I$61&gt;3,1,0),if(J62-$J$61&gt;3,1,0),if(K62-$K$61&gt;3,1,0),if(L62-$L$61&gt;3,1,0),if(M62-$M$61&gt;3,1,0),if(N62-$N$61&gt;3,1,0),if(O62-$O$61&gt;3,1,0),if(P62-$P$61&gt;3,1,0),if(Q62-$Q$61&gt;3,1,0),if(R62-$R$61&gt;3,1,0),if(S62-$S$61&gt;3,1,0),if(T62-$T$61&gt;3,1,0),if(U62-$U$61&gt;3,1,0))</f>
        <v>0</v>
      </c>
      <c r="AH62" s="38">
        <f t="shared" ref="AH62:AH73" si="20">sum(Z62:AG62)</f>
        <v>18</v>
      </c>
    </row>
    <row r="63" ht="12.75" customHeight="1">
      <c r="A63" s="32" t="str">
        <f>SETUP!A6</f>
        <v>Andy V</v>
      </c>
      <c r="B63" s="33">
        <f t="array" ref="B63">if(A63="","",index(SETUP!C:C,match(A63,SETUP!A:A,0)))</f>
        <v>22</v>
      </c>
      <c r="C63" s="17"/>
      <c r="D63" s="35">
        <f>if(Scorecards!D63="","",Scorecards!D63-IF(Scorecards!$B63&gt;0,FLOOR(Scorecards!$B63/18,1),0)-IF(AND(MOD(Scorecards!$B63,18)&gt;=Scorecards!D$60,Scorecards!$B63&gt;0),1,0)+IF(Scorecards!D$60-18&gt;Scorecards!$B63,1,0))</f>
        <v>4</v>
      </c>
      <c r="E63" s="35">
        <f>if(Scorecards!E63="","",Scorecards!E63-IF(Scorecards!$B63&gt;0,FLOOR(Scorecards!$B63/18,1),0)-IF(AND(MOD(Scorecards!$B63,18)&gt;=Scorecards!E$60,Scorecards!$B63&gt;0),1,0)+IF(Scorecards!E$60-18&gt;Scorecards!$B63,1,0))</f>
        <v>6</v>
      </c>
      <c r="F63" s="35">
        <f>if(Scorecards!F63="","",Scorecards!F63-IF(Scorecards!$B63&gt;0,FLOOR(Scorecards!$B63/18,1),0)-IF(AND(MOD(Scorecards!$B63,18)&gt;=Scorecards!F$60,Scorecards!$B63&gt;0),1,0)+IF(Scorecards!F$60-18&gt;Scorecards!$B63,1,0))</f>
        <v>4</v>
      </c>
      <c r="G63" s="35">
        <f>if(Scorecards!G63="","",Scorecards!G63-IF(Scorecards!$B63&gt;0,FLOOR(Scorecards!$B63/18,1),0)-IF(AND(MOD(Scorecards!$B63,18)&gt;=Scorecards!G$60,Scorecards!$B63&gt;0),1,0)+IF(Scorecards!G$60-18&gt;Scorecards!$B63,1,0))</f>
        <v>3</v>
      </c>
      <c r="H63" s="35">
        <f>if(Scorecards!H63="","",Scorecards!H63-IF(Scorecards!$B63&gt;0,FLOOR(Scorecards!$B63/18,1),0)-IF(AND(MOD(Scorecards!$B63,18)&gt;=Scorecards!H$60,Scorecards!$B63&gt;0),1,0)+IF(Scorecards!H$60-18&gt;Scorecards!$B63,1,0))</f>
        <v>5</v>
      </c>
      <c r="I63" s="35">
        <f>if(Scorecards!I63="","",Scorecards!I63-IF(Scorecards!$B63&gt;0,FLOOR(Scorecards!$B63/18,1),0)-IF(AND(MOD(Scorecards!$B63,18)&gt;=Scorecards!I$60,Scorecards!$B63&gt;0),1,0)+IF(Scorecards!I$60-18&gt;Scorecards!$B63,1,0))</f>
        <v>2</v>
      </c>
      <c r="J63" s="35">
        <f>if(Scorecards!J63="","",Scorecards!J63-IF(Scorecards!$B63&gt;0,FLOOR(Scorecards!$B63/18,1),0)-IF(AND(MOD(Scorecards!$B63,18)&gt;=Scorecards!J$60,Scorecards!$B63&gt;0),1,0)+IF(Scorecards!J$60-18&gt;Scorecards!$B63,1,0))</f>
        <v>4</v>
      </c>
      <c r="K63" s="35">
        <f>if(Scorecards!K63="","",Scorecards!K63-IF(Scorecards!$B63&gt;0,FLOOR(Scorecards!$B63/18,1),0)-IF(AND(MOD(Scorecards!$B63,18)&gt;=Scorecards!K$60,Scorecards!$B63&gt;0),1,0)+IF(Scorecards!K$60-18&gt;Scorecards!$B63,1,0))</f>
        <v>6</v>
      </c>
      <c r="L63" s="35">
        <f>if(Scorecards!L63="","",Scorecards!L63-IF(Scorecards!$B63&gt;0,FLOOR(Scorecards!$B63/18,1),0)-IF(AND(MOD(Scorecards!$B63,18)&gt;=Scorecards!L$60,Scorecards!$B63&gt;0),1,0)+IF(Scorecards!L$60-18&gt;Scorecards!$B63,1,0))</f>
        <v>4</v>
      </c>
      <c r="M63" s="35">
        <f>if(Scorecards!M63="","",Scorecards!M63-IF(Scorecards!$B63&gt;0,FLOOR(Scorecards!$B63/18,1),0)-IF(AND(MOD(Scorecards!$B63,18)&gt;=Scorecards!M$60,Scorecards!$B63&gt;0),1,0)+IF(Scorecards!M$60-18&gt;Scorecards!$B63,1,0))</f>
        <v>3</v>
      </c>
      <c r="N63" s="35">
        <f>if(Scorecards!N63="","",Scorecards!N63-IF(Scorecards!$B63&gt;0,FLOOR(Scorecards!$B63/18,1),0)-IF(AND(MOD(Scorecards!$B63,18)&gt;=Scorecards!N$60,Scorecards!$B63&gt;0),1,0)+IF(Scorecards!N$60-18&gt;Scorecards!$B63,1,0))</f>
        <v>5</v>
      </c>
      <c r="O63" s="35">
        <f>if(Scorecards!O63="","",Scorecards!O63-IF(Scorecards!$B63&gt;0,FLOOR(Scorecards!$B63/18,1),0)-IF(AND(MOD(Scorecards!$B63,18)&gt;=Scorecards!O$60,Scorecards!$B63&gt;0),1,0)+IF(Scorecards!O$60-18&gt;Scorecards!$B63,1,0))</f>
        <v>5</v>
      </c>
      <c r="P63" s="35">
        <f>if(Scorecards!P63="","",Scorecards!P63-IF(Scorecards!$B63&gt;0,FLOOR(Scorecards!$B63/18,1),0)-IF(AND(MOD(Scorecards!$B63,18)&gt;=Scorecards!P$60,Scorecards!$B63&gt;0),1,0)+IF(Scorecards!P$60-18&gt;Scorecards!$B63,1,0))</f>
        <v>3</v>
      </c>
      <c r="Q63" s="35">
        <f>if(Scorecards!Q63="","",Scorecards!Q63-IF(Scorecards!$B63&gt;0,FLOOR(Scorecards!$B63/18,1),0)-IF(AND(MOD(Scorecards!$B63,18)&gt;=Scorecards!Q$60,Scorecards!$B63&gt;0),1,0)+IF(Scorecards!Q$60-18&gt;Scorecards!$B63,1,0))</f>
        <v>4</v>
      </c>
      <c r="R63" s="35">
        <f>if(Scorecards!R63="","",Scorecards!R63-IF(Scorecards!$B63&gt;0,FLOOR(Scorecards!$B63/18,1),0)-IF(AND(MOD(Scorecards!$B63,18)&gt;=Scorecards!R$60,Scorecards!$B63&gt;0),1,0)+IF(Scorecards!R$60-18&gt;Scorecards!$B63,1,0))</f>
        <v>5</v>
      </c>
      <c r="S63" s="35">
        <f>if(Scorecards!S63="","",Scorecards!S63-IF(Scorecards!$B63&gt;0,FLOOR(Scorecards!$B63/18,1),0)-IF(AND(MOD(Scorecards!$B63,18)&gt;=Scorecards!S$60,Scorecards!$B63&gt;0),1,0)+IF(Scorecards!S$60-18&gt;Scorecards!$B63,1,0))</f>
        <v>3</v>
      </c>
      <c r="T63" s="35">
        <f>if(Scorecards!T63="","",Scorecards!T63-IF(Scorecards!$B63&gt;0,FLOOR(Scorecards!$B63/18,1),0)-IF(AND(MOD(Scorecards!$B63,18)&gt;=Scorecards!T$60,Scorecards!$B63&gt;0),1,0)+IF(Scorecards!T$60-18&gt;Scorecards!$B63,1,0))</f>
        <v>2</v>
      </c>
      <c r="U63" s="35">
        <f>if(Scorecards!U63="","",Scorecards!U63-IF(Scorecards!$B63&gt;0,FLOOR(Scorecards!$B63/18,1),0)-IF(AND(MOD(Scorecards!$B63,18)&gt;=Scorecards!U$60,Scorecards!$B63&gt;0),1,0)+IF(Scorecards!U$60-18&gt;Scorecards!$B63,1,0))</f>
        <v>6</v>
      </c>
      <c r="V63" s="36">
        <f t="shared" si="16"/>
        <v>38</v>
      </c>
      <c r="W63" s="36">
        <f t="shared" si="17"/>
        <v>36</v>
      </c>
      <c r="X63" s="36">
        <f t="shared" si="18"/>
        <v>74</v>
      </c>
      <c r="Y63" s="37">
        <f t="shared" si="19"/>
        <v>52</v>
      </c>
      <c r="Z63" s="38">
        <f t="array" ref="Z63">sum(if(D63-$D$61=-3,1,0),if(E63-$E$61=-3,1,0),if(F63-$F$61=-3,1,0),if(G63-$G$61=-3,1,0),if(H63-$H$61=-3,1,0),if(I63-$I$61=-3,1,0),if(J63-$J$61=-3,1,0),if(K63-$K$61=-3,1,0),if(L63-$L$61=-3,1,0),if(M63-$M$61=-3,1,0),if(N63-$N$61=-3,1,0),if(O63-$O$61=-3,1,0),if(P63-$P$61=-3,1,0),if(Q63-$Q$61=-3,1,0),if(R63-$R$61=-3,1,0),if(S63-$S$61=-3,1,0),if(T63-$T$61=-3,1,0),if(U63-$U$61=-3,1,0))</f>
        <v>0</v>
      </c>
      <c r="AA63" s="38">
        <f t="array" ref="AA63">sum(if(D63-$D$61=-2,1,0),if(E63-$E$61=-2,1,0),if(F63-$F$61=-2,1,0),if(G63-$G$61=-2,1,0),if(H63-$H$61=-2,1,0),if(I63-$I$61=-2,1,0),if(J63-$J$61=-2,1,0),if(K63-$K$61=-2,1,0),if(L63-$L$61=-2,1,0),if(M63-$M$61=-2,1,0),if(N63-$N$61=-2,1,0),if(O63-$O$61=-2,1,0),if(P63-$P$61=-2,1,0),if(Q63-$Q$61=-2,1,0),if(R63-$R$61=-2,1,0),if(S63-$S$61=-2,1,0),if(T63-$T$61=-2,1,0),if(U63-$U$61=-2,1,0))</f>
        <v>0</v>
      </c>
      <c r="AB63" s="38">
        <f t="array" ref="AB63">sum(if(D63-$D$61=-1,1,0),if(E63-$E$61=-1,1,0),if(F63-$F$61=-1,1,0),if(G63-$G$61=-1,1,0),if(H63-$H$61=-1,1,0),if(I63-$I$61=-1,1,0),if(J63-$J$61=-1,1,0),if(K63-$K$61=-1,1,0),if(L63-$L$61=-1,1,0),if(M63-$M$61=-1,1,0),if(N63-$N$61=-1,1,0),if(O63-$O$61=-1,1,0),if(P63-$P$61=-1,1,0),if(Q63-$Q$61=-1,1,0),if(R63-$R$61=-1,1,0),if(S63-$S$61=-1,1,0),if(T63-$T$61=-1,1,0),if(U63-$U$61=-1,1,0))</f>
        <v>6</v>
      </c>
      <c r="AC63" s="38">
        <f t="array" ref="AC63">sum(if(D63-$D$61=0,1,0),if(E63-$E$61=0,1,0),if(F63-$F$61=0,1,0),if(G63-$G$61=0,1,0),if(H63-$H$61=0,1,0),if(I63-$I$61=0,1,0),if(J63-$J$61=0,1,0),if(K63-$K$61=0,1,0),if(L63-$L$61=0,1,0),if(M63-$M$61=0,1,0),if(N63-$N$61=0,1,0),if(O63-$O$61=0,1,0),if(P63-$P$61=0,1,0),if(Q63-$Q$61=0,1,0),if(R63-$R$61=0,1,0),if(S63-$S$61=0,1,0),if(T63-$T$61=0,1,0),if(U63-$U$61=0,1,0))</f>
        <v>6</v>
      </c>
      <c r="AD63" s="38">
        <f t="array" ref="AD63">sum(if(D63-$D$61=1,1,0),if(E63-$E$61=1,1,0),if(F63-$F$61=1,1,0),if(G63-$G$61=1,1,0),if(H63-$H$61=1,1,0),if(I63-$I$61=1,1,0),if(J63-$J$61=1,1,0),if(K63-$K$61=1,1,0),if(L63-$L$61=1,1,0),if(M63-$M$61=1,1,0),if(N63-$N$61=1,1,0),if(O63-$O$61=1,1,0),if(P63-$P$61=1,1,0),if(Q63-$Q$61=1,1,0),if(R63-$R$61=1,1,0),if(S63-$S$61=1,1,0),if(T63-$T$61=1,1,0),if(U63-$U$61=1,1,0))</f>
        <v>4</v>
      </c>
      <c r="AE63" s="38">
        <f t="array" ref="AE63">sum(if(D63-$D$61=2,1,0),if(E63-$E$61=2,1,0),if(F63-$F$61=2,1,0),if(G63-$G$61=2,1,0),if(H63-$H$61=2,1,0),if(I63-$I$61=2,1,0),if(J63-$J$61=2,1,0),if(K63-$K$61=2,1,0),if(L63-$L$61=2,1,0),if(M63-$M$61=2,1,0),if(N63-$N$61=2,1,0),if(O63-$O$61=2,1,0),if(P63-$P$61=2,1,0),if(Q63-$Q$61=2,1,0),if(R63-$R$61=2,1,0),if(S63-$S$61=2,1,0),if(T63-$T$61=2,1,0),if(U63-$U$61=2,1,0))</f>
        <v>2</v>
      </c>
      <c r="AF63" s="38">
        <f t="array" ref="AF63">sum(if(D63-$D$61=3,1,0),if(E63-$E$61=3,1,0),if(F63-$F$61=3,1,0),if(G63-$G$61=3,1,0),if(H63-$H$61=3,1,0),if(I63-$I$61=3,1,0),if(J63-$J$61=3,1,0),if(K63-$K$61=3,1,0),if(L63-$L$61=3,1,0),if(M63-$M$61=3,1,0),if(N63-$N$61=3,1,0),if(O63-$O$61=3,1,0),if(P63-$P$61=3,1,0),if(Q63-$Q$61=3,1,0),if(R63-$R$61=3,1,0),if(S63-$S$61=3,1,0),if(T63-$T$61=3,1,0),if(U63-$U$61=3,1,0))</f>
        <v>0</v>
      </c>
      <c r="AG63" s="38">
        <f t="array" ref="AG63">sum(if(D63-$D$61&gt;3,1,0),if(E63-$E$61&gt;3,1,0),if(F63-$F$61&gt;3,1,0),if(G63-$G$61&gt;3,1,0),if(H63-$H$61&gt;3,1,0),if(I63-$I$61&gt;3,1,0),if(J63-$J$61&gt;3,1,0),if(K63-$K$61&gt;3,1,0),if(L63-$L$61&gt;3,1,0),if(M63-$M$61&gt;3,1,0),if(N63-$N$61&gt;3,1,0),if(O63-$O$61&gt;3,1,0),if(P63-$P$61&gt;3,1,0),if(Q63-$Q$61&gt;3,1,0),if(R63-$R$61&gt;3,1,0),if(S63-$S$61&gt;3,1,0),if(T63-$T$61&gt;3,1,0),if(U63-$U$61&gt;3,1,0))</f>
        <v>0</v>
      </c>
      <c r="AH63" s="38">
        <f t="shared" si="20"/>
        <v>18</v>
      </c>
    </row>
    <row r="64" ht="12.75" customHeight="1">
      <c r="A64" s="32" t="str">
        <f>SETUP!A7</f>
        <v>Bob B</v>
      </c>
      <c r="B64" s="33">
        <f t="array" ref="B64">if(A64="","",index(SETUP!C:C,match(A64,SETUP!A:A,0)))</f>
        <v>20</v>
      </c>
      <c r="C64" s="17"/>
      <c r="D64" s="35">
        <f>if(Scorecards!D64="","",Scorecards!D64-IF(Scorecards!$B64&gt;0,FLOOR(Scorecards!$B64/18,1),0)-IF(AND(MOD(Scorecards!$B64,18)&gt;=Scorecards!D$60,Scorecards!$B64&gt;0),1,0)+IF(Scorecards!D$60-18&gt;Scorecards!$B64,1,0))</f>
        <v>4</v>
      </c>
      <c r="E64" s="35">
        <f>if(Scorecards!E64="","",Scorecards!E64-IF(Scorecards!$B64&gt;0,FLOOR(Scorecards!$B64/18,1),0)-IF(AND(MOD(Scorecards!$B64,18)&gt;=Scorecards!E$60,Scorecards!$B64&gt;0),1,0)+IF(Scorecards!E$60-18&gt;Scorecards!$B64,1,0))</f>
        <v>5</v>
      </c>
      <c r="F64" s="35">
        <f>if(Scorecards!F64="","",Scorecards!F64-IF(Scorecards!$B64&gt;0,FLOOR(Scorecards!$B64/18,1),0)-IF(AND(MOD(Scorecards!$B64,18)&gt;=Scorecards!F$60,Scorecards!$B64&gt;0),1,0)+IF(Scorecards!F$60-18&gt;Scorecards!$B64,1,0))</f>
        <v>5</v>
      </c>
      <c r="G64" s="35">
        <f>if(Scorecards!G64="","",Scorecards!G64-IF(Scorecards!$B64&gt;0,FLOOR(Scorecards!$B64/18,1),0)-IF(AND(MOD(Scorecards!$B64,18)&gt;=Scorecards!G$60,Scorecards!$B64&gt;0),1,0)+IF(Scorecards!G$60-18&gt;Scorecards!$B64,1,0))</f>
        <v>4</v>
      </c>
      <c r="H64" s="35">
        <f>if(Scorecards!H64="","",Scorecards!H64-IF(Scorecards!$B64&gt;0,FLOOR(Scorecards!$B64/18,1),0)-IF(AND(MOD(Scorecards!$B64,18)&gt;=Scorecards!H$60,Scorecards!$B64&gt;0),1,0)+IF(Scorecards!H$60-18&gt;Scorecards!$B64,1,0))</f>
        <v>4</v>
      </c>
      <c r="I64" s="35">
        <f>if(Scorecards!I64="","",Scorecards!I64-IF(Scorecards!$B64&gt;0,FLOOR(Scorecards!$B64/18,1),0)-IF(AND(MOD(Scorecards!$B64,18)&gt;=Scorecards!I$60,Scorecards!$B64&gt;0),1,0)+IF(Scorecards!I$60-18&gt;Scorecards!$B64,1,0))</f>
        <v>3</v>
      </c>
      <c r="J64" s="35">
        <f>if(Scorecards!J64="","",Scorecards!J64-IF(Scorecards!$B64&gt;0,FLOOR(Scorecards!$B64/18,1),0)-IF(AND(MOD(Scorecards!$B64,18)&gt;=Scorecards!J$60,Scorecards!$B64&gt;0),1,0)+IF(Scorecards!J$60-18&gt;Scorecards!$B64,1,0))</f>
        <v>5</v>
      </c>
      <c r="K64" s="35">
        <f>if(Scorecards!K64="","",Scorecards!K64-IF(Scorecards!$B64&gt;0,FLOOR(Scorecards!$B64/18,1),0)-IF(AND(MOD(Scorecards!$B64,18)&gt;=Scorecards!K$60,Scorecards!$B64&gt;0),1,0)+IF(Scorecards!K$60-18&gt;Scorecards!$B64,1,0))</f>
        <v>3</v>
      </c>
      <c r="L64" s="35">
        <f>if(Scorecards!L64="","",Scorecards!L64-IF(Scorecards!$B64&gt;0,FLOOR(Scorecards!$B64/18,1),0)-IF(AND(MOD(Scorecards!$B64,18)&gt;=Scorecards!L$60,Scorecards!$B64&gt;0),1,0)+IF(Scorecards!L$60-18&gt;Scorecards!$B64,1,0))</f>
        <v>8</v>
      </c>
      <c r="M64" s="35">
        <f>if(Scorecards!M64="","",Scorecards!M64-IF(Scorecards!$B64&gt;0,FLOOR(Scorecards!$B64/18,1),0)-IF(AND(MOD(Scorecards!$B64,18)&gt;=Scorecards!M$60,Scorecards!$B64&gt;0),1,0)+IF(Scorecards!M$60-18&gt;Scorecards!$B64,1,0))</f>
        <v>4</v>
      </c>
      <c r="N64" s="35">
        <f>if(Scorecards!N64="","",Scorecards!N64-IF(Scorecards!$B64&gt;0,FLOOR(Scorecards!$B64/18,1),0)-IF(AND(MOD(Scorecards!$B64,18)&gt;=Scorecards!N$60,Scorecards!$B64&gt;0),1,0)+IF(Scorecards!N$60-18&gt;Scorecards!$B64,1,0))</f>
        <v>4</v>
      </c>
      <c r="O64" s="35">
        <f>if(Scorecards!O64="","",Scorecards!O64-IF(Scorecards!$B64&gt;0,FLOOR(Scorecards!$B64/18,1),0)-IF(AND(MOD(Scorecards!$B64,18)&gt;=Scorecards!O$60,Scorecards!$B64&gt;0),1,0)+IF(Scorecards!O$60-18&gt;Scorecards!$B64,1,0))</f>
        <v>2</v>
      </c>
      <c r="P64" s="35">
        <f>if(Scorecards!P64="","",Scorecards!P64-IF(Scorecards!$B64&gt;0,FLOOR(Scorecards!$B64/18,1),0)-IF(AND(MOD(Scorecards!$B64,18)&gt;=Scorecards!P$60,Scorecards!$B64&gt;0),1,0)+IF(Scorecards!P$60-18&gt;Scorecards!$B64,1,0))</f>
        <v>5</v>
      </c>
      <c r="Q64" s="35">
        <f>if(Scorecards!Q64="","",Scorecards!Q64-IF(Scorecards!$B64&gt;0,FLOOR(Scorecards!$B64/18,1),0)-IF(AND(MOD(Scorecards!$B64,18)&gt;=Scorecards!Q$60,Scorecards!$B64&gt;0),1,0)+IF(Scorecards!Q$60-18&gt;Scorecards!$B64,1,0))</f>
        <v>4</v>
      </c>
      <c r="R64" s="35">
        <f>if(Scorecards!R64="","",Scorecards!R64-IF(Scorecards!$B64&gt;0,FLOOR(Scorecards!$B64/18,1),0)-IF(AND(MOD(Scorecards!$B64,18)&gt;=Scorecards!R$60,Scorecards!$B64&gt;0),1,0)+IF(Scorecards!R$60-18&gt;Scorecards!$B64,1,0))</f>
        <v>4</v>
      </c>
      <c r="S64" s="35">
        <f>if(Scorecards!S64="","",Scorecards!S64-IF(Scorecards!$B64&gt;0,FLOOR(Scorecards!$B64/18,1),0)-IF(AND(MOD(Scorecards!$B64,18)&gt;=Scorecards!S$60,Scorecards!$B64&gt;0),1,0)+IF(Scorecards!S$60-18&gt;Scorecards!$B64,1,0))</f>
        <v>4</v>
      </c>
      <c r="T64" s="35">
        <f>if(Scorecards!T64="","",Scorecards!T64-IF(Scorecards!$B64&gt;0,FLOOR(Scorecards!$B64/18,1),0)-IF(AND(MOD(Scorecards!$B64,18)&gt;=Scorecards!T$60,Scorecards!$B64&gt;0),1,0)+IF(Scorecards!T$60-18&gt;Scorecards!$B64,1,0))</f>
        <v>2</v>
      </c>
      <c r="U64" s="35">
        <f>if(Scorecards!U64="","",Scorecards!U64-IF(Scorecards!$B64&gt;0,FLOOR(Scorecards!$B64/18,1),0)-IF(AND(MOD(Scorecards!$B64,18)&gt;=Scorecards!U$60,Scorecards!$B64&gt;0),1,0)+IF(Scorecards!U$60-18&gt;Scorecards!$B64,1,0))</f>
        <v>7</v>
      </c>
      <c r="V64" s="36">
        <f t="shared" si="16"/>
        <v>41</v>
      </c>
      <c r="W64" s="36">
        <f t="shared" si="17"/>
        <v>36</v>
      </c>
      <c r="X64" s="36">
        <f t="shared" si="18"/>
        <v>77</v>
      </c>
      <c r="Y64" s="37">
        <f t="shared" si="19"/>
        <v>57</v>
      </c>
      <c r="Z64" s="38">
        <f t="array" ref="Z64">sum(if(D64-$D$61=-3,1,0),if(E64-$E$61=-3,1,0),if(F64-$F$61=-3,1,0),if(G64-$G$61=-3,1,0),if(H64-$H$61=-3,1,0),if(I64-$I$61=-3,1,0),if(J64-$J$61=-3,1,0),if(K64-$K$61=-3,1,0),if(L64-$L$61=-3,1,0),if(M64-$M$61=-3,1,0),if(N64-$N$61=-3,1,0),if(O64-$O$61=-3,1,0),if(P64-$P$61=-3,1,0),if(Q64-$Q$61=-3,1,0),if(R64-$R$61=-3,1,0),if(S64-$S$61=-3,1,0),if(T64-$T$61=-3,1,0),if(U64-$U$61=-3,1,0))</f>
        <v>0</v>
      </c>
      <c r="AA64" s="38">
        <f t="array" ref="AA64">sum(if(D64-$D$61=-2,1,0),if(E64-$E$61=-2,1,0),if(F64-$F$61=-2,1,0),if(G64-$G$61=-2,1,0),if(H64-$H$61=-2,1,0),if(I64-$I$61=-2,1,0),if(J64-$J$61=-2,1,0),if(K64-$K$61=-2,1,0),if(L64-$L$61=-2,1,0),if(M64-$M$61=-2,1,0),if(N64-$N$61=-2,1,0),if(O64-$O$61=-2,1,0),if(P64-$P$61=-2,1,0),if(Q64-$Q$61=-2,1,0),if(R64-$R$61=-2,1,0),if(S64-$S$61=-2,1,0),if(T64-$T$61=-2,1,0),if(U64-$U$61=-2,1,0))</f>
        <v>0</v>
      </c>
      <c r="AB64" s="38">
        <f t="array" ref="AB64">sum(if(D64-$D$61=-1,1,0),if(E64-$E$61=-1,1,0),if(F64-$F$61=-1,1,0),if(G64-$G$61=-1,1,0),if(H64-$H$61=-1,1,0),if(I64-$I$61=-1,1,0),if(J64-$J$61=-1,1,0),if(K64-$K$61=-1,1,0),if(L64-$L$61=-1,1,0),if(M64-$M$61=-1,1,0),if(N64-$N$61=-1,1,0),if(O64-$O$61=-1,1,0),if(P64-$P$61=-1,1,0),if(Q64-$Q$61=-1,1,0),if(R64-$R$61=-1,1,0),if(S64-$S$61=-1,1,0),if(T64-$T$61=-1,1,0),if(U64-$U$61=-1,1,0))</f>
        <v>5</v>
      </c>
      <c r="AC64" s="38">
        <f t="array" ref="AC64">sum(if(D64-$D$61=0,1,0),if(E64-$E$61=0,1,0),if(F64-$F$61=0,1,0),if(G64-$G$61=0,1,0),if(H64-$H$61=0,1,0),if(I64-$I$61=0,1,0),if(J64-$J$61=0,1,0),if(K64-$K$61=0,1,0),if(L64-$L$61=0,1,0),if(M64-$M$61=0,1,0),if(N64-$N$61=0,1,0),if(O64-$O$61=0,1,0),if(P64-$P$61=0,1,0),if(Q64-$Q$61=0,1,0),if(R64-$R$61=0,1,0),if(S64-$S$61=0,1,0),if(T64-$T$61=0,1,0),if(U64-$U$61=0,1,0))</f>
        <v>7</v>
      </c>
      <c r="AD64" s="38">
        <f t="array" ref="AD64">sum(if(D64-$D$61=1,1,0),if(E64-$E$61=1,1,0),if(F64-$F$61=1,1,0),if(G64-$G$61=1,1,0),if(H64-$H$61=1,1,0),if(I64-$I$61=1,1,0),if(J64-$J$61=1,1,0),if(K64-$K$61=1,1,0),if(L64-$L$61=1,1,0),if(M64-$M$61=1,1,0),if(N64-$N$61=1,1,0),if(O64-$O$61=1,1,0),if(P64-$P$61=1,1,0),if(Q64-$Q$61=1,1,0),if(R64-$R$61=1,1,0),if(S64-$S$61=1,1,0),if(T64-$T$61=1,1,0),if(U64-$U$61=1,1,0))</f>
        <v>3</v>
      </c>
      <c r="AE64" s="38">
        <f t="array" ref="AE64">sum(if(D64-$D$61=2,1,0),if(E64-$E$61=2,1,0),if(F64-$F$61=2,1,0),if(G64-$G$61=2,1,0),if(H64-$H$61=2,1,0),if(I64-$I$61=2,1,0),if(J64-$J$61=2,1,0),if(K64-$K$61=2,1,0),if(L64-$L$61=2,1,0),if(M64-$M$61=2,1,0),if(N64-$N$61=2,1,0),if(O64-$O$61=2,1,0),if(P64-$P$61=2,1,0),if(Q64-$Q$61=2,1,0),if(R64-$R$61=2,1,0),if(S64-$S$61=2,1,0),if(T64-$T$61=2,1,0),if(U64-$U$61=2,1,0))</f>
        <v>2</v>
      </c>
      <c r="AF64" s="38">
        <f t="array" ref="AF64">sum(if(D64-$D$61=3,1,0),if(E64-$E$61=3,1,0),if(F64-$F$61=3,1,0),if(G64-$G$61=3,1,0),if(H64-$H$61=3,1,0),if(I64-$I$61=3,1,0),if(J64-$J$61=3,1,0),if(K64-$K$61=3,1,0),if(L64-$L$61=3,1,0),if(M64-$M$61=3,1,0),if(N64-$N$61=3,1,0),if(O64-$O$61=3,1,0),if(P64-$P$61=3,1,0),if(Q64-$Q$61=3,1,0),if(R64-$R$61=3,1,0),if(S64-$S$61=3,1,0),if(T64-$T$61=3,1,0),if(U64-$U$61=3,1,0))</f>
        <v>1</v>
      </c>
      <c r="AG64" s="38">
        <f t="array" ref="AG64">sum(if(D64-$D$61&gt;3,1,0),if(E64-$E$61&gt;3,1,0),if(F64-$F$61&gt;3,1,0),if(G64-$G$61&gt;3,1,0),if(H64-$H$61&gt;3,1,0),if(I64-$I$61&gt;3,1,0),if(J64-$J$61&gt;3,1,0),if(K64-$K$61&gt;3,1,0),if(L64-$L$61&gt;3,1,0),if(M64-$M$61&gt;3,1,0),if(N64-$N$61&gt;3,1,0),if(O64-$O$61&gt;3,1,0),if(P64-$P$61&gt;3,1,0),if(Q64-$Q$61&gt;3,1,0),if(R64-$R$61&gt;3,1,0),if(S64-$S$61&gt;3,1,0),if(T64-$T$61&gt;3,1,0),if(U64-$U$61&gt;3,1,0))</f>
        <v>0</v>
      </c>
      <c r="AH64" s="38">
        <f t="shared" si="20"/>
        <v>18</v>
      </c>
    </row>
    <row r="65" ht="12.75" customHeight="1">
      <c r="A65" s="32" t="str">
        <f>SETUP!A8</f>
        <v>Brian K</v>
      </c>
      <c r="B65" s="33">
        <f t="array" ref="B65">if(A65="","",index(SETUP!C:C,match(A65,SETUP!A:A,0)))</f>
        <v>13</v>
      </c>
      <c r="C65" s="17"/>
      <c r="D65" s="35">
        <f>if(Scorecards!D65="","",Scorecards!D65-IF(Scorecards!$B65&gt;0,FLOOR(Scorecards!$B65/18,1),0)-IF(AND(MOD(Scorecards!$B65,18)&gt;=Scorecards!D$60,Scorecards!$B65&gt;0),1,0)+IF(Scorecards!D$60-18&gt;Scorecards!$B65,1,0))</f>
        <v>5</v>
      </c>
      <c r="E65" s="35">
        <f>if(Scorecards!E65="","",Scorecards!E65-IF(Scorecards!$B65&gt;0,FLOOR(Scorecards!$B65/18,1),0)-IF(AND(MOD(Scorecards!$B65,18)&gt;=Scorecards!E$60,Scorecards!$B65&gt;0),1,0)+IF(Scorecards!E$60-18&gt;Scorecards!$B65,1,0))</f>
        <v>4</v>
      </c>
      <c r="F65" s="35">
        <f>if(Scorecards!F65="","",Scorecards!F65-IF(Scorecards!$B65&gt;0,FLOOR(Scorecards!$B65/18,1),0)-IF(AND(MOD(Scorecards!$B65,18)&gt;=Scorecards!F$60,Scorecards!$B65&gt;0),1,0)+IF(Scorecards!F$60-18&gt;Scorecards!$B65,1,0))</f>
        <v>3</v>
      </c>
      <c r="G65" s="35">
        <f>if(Scorecards!G65="","",Scorecards!G65-IF(Scorecards!$B65&gt;0,FLOOR(Scorecards!$B65/18,1),0)-IF(AND(MOD(Scorecards!$B65,18)&gt;=Scorecards!G$60,Scorecards!$B65&gt;0),1,0)+IF(Scorecards!G$60-18&gt;Scorecards!$B65,1,0))</f>
        <v>4</v>
      </c>
      <c r="H65" s="35">
        <f>if(Scorecards!H65="","",Scorecards!H65-IF(Scorecards!$B65&gt;0,FLOOR(Scorecards!$B65/18,1),0)-IF(AND(MOD(Scorecards!$B65,18)&gt;=Scorecards!H$60,Scorecards!$B65&gt;0),1,0)+IF(Scorecards!H$60-18&gt;Scorecards!$B65,1,0))</f>
        <v>5</v>
      </c>
      <c r="I65" s="35">
        <f>if(Scorecards!I65="","",Scorecards!I65-IF(Scorecards!$B65&gt;0,FLOOR(Scorecards!$B65/18,1),0)-IF(AND(MOD(Scorecards!$B65,18)&gt;=Scorecards!I$60,Scorecards!$B65&gt;0),1,0)+IF(Scorecards!I$60-18&gt;Scorecards!$B65,1,0))</f>
        <v>5</v>
      </c>
      <c r="J65" s="35">
        <f>if(Scorecards!J65="","",Scorecards!J65-IF(Scorecards!$B65&gt;0,FLOOR(Scorecards!$B65/18,1),0)-IF(AND(MOD(Scorecards!$B65,18)&gt;=Scorecards!J$60,Scorecards!$B65&gt;0),1,0)+IF(Scorecards!J$60-18&gt;Scorecards!$B65,1,0))</f>
        <v>4</v>
      </c>
      <c r="K65" s="35">
        <f>if(Scorecards!K65="","",Scorecards!K65-IF(Scorecards!$B65&gt;0,FLOOR(Scorecards!$B65/18,1),0)-IF(AND(MOD(Scorecards!$B65,18)&gt;=Scorecards!K$60,Scorecards!$B65&gt;0),1,0)+IF(Scorecards!K$60-18&gt;Scorecards!$B65,1,0))</f>
        <v>3</v>
      </c>
      <c r="L65" s="35">
        <f>if(Scorecards!L65="","",Scorecards!L65-IF(Scorecards!$B65&gt;0,FLOOR(Scorecards!$B65/18,1),0)-IF(AND(MOD(Scorecards!$B65,18)&gt;=Scorecards!L$60,Scorecards!$B65&gt;0),1,0)+IF(Scorecards!L$60-18&gt;Scorecards!$B65,1,0))</f>
        <v>5</v>
      </c>
      <c r="M65" s="35">
        <f>if(Scorecards!M65="","",Scorecards!M65-IF(Scorecards!$B65&gt;0,FLOOR(Scorecards!$B65/18,1),0)-IF(AND(MOD(Scorecards!$B65,18)&gt;=Scorecards!M$60,Scorecards!$B65&gt;0),1,0)+IF(Scorecards!M$60-18&gt;Scorecards!$B65,1,0))</f>
        <v>4</v>
      </c>
      <c r="N65" s="35">
        <f>if(Scorecards!N65="","",Scorecards!N65-IF(Scorecards!$B65&gt;0,FLOOR(Scorecards!$B65/18,1),0)-IF(AND(MOD(Scorecards!$B65,18)&gt;=Scorecards!N$60,Scorecards!$B65&gt;0),1,0)+IF(Scorecards!N$60-18&gt;Scorecards!$B65,1,0))</f>
        <v>5</v>
      </c>
      <c r="O65" s="35">
        <f>if(Scorecards!O65="","",Scorecards!O65-IF(Scorecards!$B65&gt;0,FLOOR(Scorecards!$B65/18,1),0)-IF(AND(MOD(Scorecards!$B65,18)&gt;=Scorecards!O$60,Scorecards!$B65&gt;0),1,0)+IF(Scorecards!O$60-18&gt;Scorecards!$B65,1,0))</f>
        <v>3</v>
      </c>
      <c r="P65" s="35">
        <f>if(Scorecards!P65="","",Scorecards!P65-IF(Scorecards!$B65&gt;0,FLOOR(Scorecards!$B65/18,1),0)-IF(AND(MOD(Scorecards!$B65,18)&gt;=Scorecards!P$60,Scorecards!$B65&gt;0),1,0)+IF(Scorecards!P$60-18&gt;Scorecards!$B65,1,0))</f>
        <v>4</v>
      </c>
      <c r="Q65" s="35">
        <f>if(Scorecards!Q65="","",Scorecards!Q65-IF(Scorecards!$B65&gt;0,FLOOR(Scorecards!$B65/18,1),0)-IF(AND(MOD(Scorecards!$B65,18)&gt;=Scorecards!Q$60,Scorecards!$B65&gt;0),1,0)+IF(Scorecards!Q$60-18&gt;Scorecards!$B65,1,0))</f>
        <v>5</v>
      </c>
      <c r="R65" s="35">
        <f>if(Scorecards!R65="","",Scorecards!R65-IF(Scorecards!$B65&gt;0,FLOOR(Scorecards!$B65/18,1),0)-IF(AND(MOD(Scorecards!$B65,18)&gt;=Scorecards!R$60,Scorecards!$B65&gt;0),1,0)+IF(Scorecards!R$60-18&gt;Scorecards!$B65,1,0))</f>
        <v>8</v>
      </c>
      <c r="S65" s="35">
        <f>if(Scorecards!S65="","",Scorecards!S65-IF(Scorecards!$B65&gt;0,FLOOR(Scorecards!$B65/18,1),0)-IF(AND(MOD(Scorecards!$B65,18)&gt;=Scorecards!S$60,Scorecards!$B65&gt;0),1,0)+IF(Scorecards!S$60-18&gt;Scorecards!$B65,1,0))</f>
        <v>7</v>
      </c>
      <c r="T65" s="35">
        <f>if(Scorecards!T65="","",Scorecards!T65-IF(Scorecards!$B65&gt;0,FLOOR(Scorecards!$B65/18,1),0)-IF(AND(MOD(Scorecards!$B65,18)&gt;=Scorecards!T$60,Scorecards!$B65&gt;0),1,0)+IF(Scorecards!T$60-18&gt;Scorecards!$B65,1,0))</f>
        <v>4</v>
      </c>
      <c r="U65" s="35">
        <f>if(Scorecards!U65="","",Scorecards!U65-IF(Scorecards!$B65&gt;0,FLOOR(Scorecards!$B65/18,1),0)-IF(AND(MOD(Scorecards!$B65,18)&gt;=Scorecards!U$60,Scorecards!$B65&gt;0),1,0)+IF(Scorecards!U$60-18&gt;Scorecards!$B65,1,0))</f>
        <v>5</v>
      </c>
      <c r="V65" s="36">
        <f t="shared" si="16"/>
        <v>38</v>
      </c>
      <c r="W65" s="36">
        <f t="shared" si="17"/>
        <v>45</v>
      </c>
      <c r="X65" s="36">
        <f t="shared" si="18"/>
        <v>83</v>
      </c>
      <c r="Y65" s="37">
        <f t="shared" si="19"/>
        <v>70</v>
      </c>
      <c r="Z65" s="38">
        <f t="array" ref="Z65">sum(if(D65-$D$61=-3,1,0),if(E65-$E$61=-3,1,0),if(F65-$F$61=-3,1,0),if(G65-$G$61=-3,1,0),if(H65-$H$61=-3,1,0),if(I65-$I$61=-3,1,0),if(J65-$J$61=-3,1,0),if(K65-$K$61=-3,1,0),if(L65-$L$61=-3,1,0),if(M65-$M$61=-3,1,0),if(N65-$N$61=-3,1,0),if(O65-$O$61=-3,1,0),if(P65-$P$61=-3,1,0),if(Q65-$Q$61=-3,1,0),if(R65-$R$61=-3,1,0),if(S65-$S$61=-3,1,0),if(T65-$T$61=-3,1,0),if(U65-$U$61=-3,1,0))</f>
        <v>0</v>
      </c>
      <c r="AA65" s="38">
        <f t="array" ref="AA65">sum(if(D65-$D$61=-2,1,0),if(E65-$E$61=-2,1,0),if(F65-$F$61=-2,1,0),if(G65-$G$61=-2,1,0),if(H65-$H$61=-2,1,0),if(I65-$I$61=-2,1,0),if(J65-$J$61=-2,1,0),if(K65-$K$61=-2,1,0),if(L65-$L$61=-2,1,0),if(M65-$M$61=-2,1,0),if(N65-$N$61=-2,1,0),if(O65-$O$61=-2,1,0),if(P65-$P$61=-2,1,0),if(Q65-$Q$61=-2,1,0),if(R65-$R$61=-2,1,0),if(S65-$S$61=-2,1,0),if(T65-$T$61=-2,1,0),if(U65-$U$61=-2,1,0))</f>
        <v>0</v>
      </c>
      <c r="AB65" s="38">
        <f t="array" ref="AB65">sum(if(D65-$D$61=-1,1,0),if(E65-$E$61=-1,1,0),if(F65-$F$61=-1,1,0),if(G65-$G$61=-1,1,0),if(H65-$H$61=-1,1,0),if(I65-$I$61=-1,1,0),if(J65-$J$61=-1,1,0),if(K65-$K$61=-1,1,0),if(L65-$L$61=-1,1,0),if(M65-$M$61=-1,1,0),if(N65-$N$61=-1,1,0),if(O65-$O$61=-1,1,0),if(P65-$P$61=-1,1,0),if(Q65-$Q$61=-1,1,0),if(R65-$R$61=-1,1,0),if(S65-$S$61=-1,1,0),if(T65-$T$61=-1,1,0),if(U65-$U$61=-1,1,0))</f>
        <v>2</v>
      </c>
      <c r="AC65" s="38">
        <f t="array" ref="AC65">sum(if(D65-$D$61=0,1,0),if(E65-$E$61=0,1,0),if(F65-$F$61=0,1,0),if(G65-$G$61=0,1,0),if(H65-$H$61=0,1,0),if(I65-$I$61=0,1,0),if(J65-$J$61=0,1,0),if(K65-$K$61=0,1,0),if(L65-$L$61=0,1,0),if(M65-$M$61=0,1,0),if(N65-$N$61=0,1,0),if(O65-$O$61=0,1,0),if(P65-$P$61=0,1,0),if(Q65-$Q$61=0,1,0),if(R65-$R$61=0,1,0),if(S65-$S$61=0,1,0),if(T65-$T$61=0,1,0),if(U65-$U$61=0,1,0))</f>
        <v>9</v>
      </c>
      <c r="AD65" s="38">
        <f t="array" ref="AD65">sum(if(D65-$D$61=1,1,0),if(E65-$E$61=1,1,0),if(F65-$F$61=1,1,0),if(G65-$G$61=1,1,0),if(H65-$H$61=1,1,0),if(I65-$I$61=1,1,0),if(J65-$J$61=1,1,0),if(K65-$K$61=1,1,0),if(L65-$L$61=1,1,0),if(M65-$M$61=1,1,0),if(N65-$N$61=1,1,0),if(O65-$O$61=1,1,0),if(P65-$P$61=1,1,0),if(Q65-$Q$61=1,1,0),if(R65-$R$61=1,1,0),if(S65-$S$61=1,1,0),if(T65-$T$61=1,1,0),if(U65-$U$61=1,1,0))</f>
        <v>4</v>
      </c>
      <c r="AE65" s="38">
        <f t="array" ref="AE65">sum(if(D65-$D$61=2,1,0),if(E65-$E$61=2,1,0),if(F65-$F$61=2,1,0),if(G65-$G$61=2,1,0),if(H65-$H$61=2,1,0),if(I65-$I$61=2,1,0),if(J65-$J$61=2,1,0),if(K65-$K$61=2,1,0),if(L65-$L$61=2,1,0),if(M65-$M$61=2,1,0),if(N65-$N$61=2,1,0),if(O65-$O$61=2,1,0),if(P65-$P$61=2,1,0),if(Q65-$Q$61=2,1,0),if(R65-$R$61=2,1,0),if(S65-$S$61=2,1,0),if(T65-$T$61=2,1,0),if(U65-$U$61=2,1,0))</f>
        <v>1</v>
      </c>
      <c r="AF65" s="38">
        <f t="array" ref="AF65">sum(if(D65-$D$61=3,1,0),if(E65-$E$61=3,1,0),if(F65-$F$61=3,1,0),if(G65-$G$61=3,1,0),if(H65-$H$61=3,1,0),if(I65-$I$61=3,1,0),if(J65-$J$61=3,1,0),if(K65-$K$61=3,1,0),if(L65-$L$61=3,1,0),if(M65-$M$61=3,1,0),if(N65-$N$61=3,1,0),if(O65-$O$61=3,1,0),if(P65-$P$61=3,1,0),if(Q65-$Q$61=3,1,0),if(R65-$R$61=3,1,0),if(S65-$S$61=3,1,0),if(T65-$T$61=3,1,0),if(U65-$U$61=3,1,0))</f>
        <v>1</v>
      </c>
      <c r="AG65" s="38">
        <f t="array" ref="AG65">sum(if(D65-$D$61&gt;3,1,0),if(E65-$E$61&gt;3,1,0),if(F65-$F$61&gt;3,1,0),if(G65-$G$61&gt;3,1,0),if(H65-$H$61&gt;3,1,0),if(I65-$I$61&gt;3,1,0),if(J65-$J$61&gt;3,1,0),if(K65-$K$61&gt;3,1,0),if(L65-$L$61&gt;3,1,0),if(M65-$M$61&gt;3,1,0),if(N65-$N$61&gt;3,1,0),if(O65-$O$61&gt;3,1,0),if(P65-$P$61&gt;3,1,0),if(Q65-$Q$61&gt;3,1,0),if(R65-$R$61&gt;3,1,0),if(S65-$S$61&gt;3,1,0),if(T65-$T$61&gt;3,1,0),if(U65-$U$61&gt;3,1,0))</f>
        <v>1</v>
      </c>
      <c r="AH65" s="38">
        <f t="shared" si="20"/>
        <v>18</v>
      </c>
    </row>
    <row r="66" ht="12.75" customHeight="1">
      <c r="A66" s="32" t="str">
        <f>SETUP!A9</f>
        <v>Dave K</v>
      </c>
      <c r="B66" s="33">
        <f t="array" ref="B66">if(A66="","",index(SETUP!C:C,match(A66,SETUP!A:A,0)))</f>
        <v>20</v>
      </c>
      <c r="C66" s="17"/>
      <c r="D66" s="35">
        <f>if(Scorecards!D66="","",Scorecards!D66-IF(Scorecards!$B66&gt;0,FLOOR(Scorecards!$B66/18,1),0)-IF(AND(MOD(Scorecards!$B66,18)&gt;=Scorecards!D$60,Scorecards!$B66&gt;0),1,0)+IF(Scorecards!D$60-18&gt;Scorecards!$B66,1,0))</f>
        <v>7</v>
      </c>
      <c r="E66" s="35">
        <f>if(Scorecards!E66="","",Scorecards!E66-IF(Scorecards!$B66&gt;0,FLOOR(Scorecards!$B66/18,1),0)-IF(AND(MOD(Scorecards!$B66,18)&gt;=Scorecards!E$60,Scorecards!$B66&gt;0),1,0)+IF(Scorecards!E$60-18&gt;Scorecards!$B66,1,0))</f>
        <v>7</v>
      </c>
      <c r="F66" s="35">
        <f>if(Scorecards!F66="","",Scorecards!F66-IF(Scorecards!$B66&gt;0,FLOOR(Scorecards!$B66/18,1),0)-IF(AND(MOD(Scorecards!$B66,18)&gt;=Scorecards!F$60,Scorecards!$B66&gt;0),1,0)+IF(Scorecards!F$60-18&gt;Scorecards!$B66,1,0))</f>
        <v>4</v>
      </c>
      <c r="G66" s="35">
        <f>if(Scorecards!G66="","",Scorecards!G66-IF(Scorecards!$B66&gt;0,FLOOR(Scorecards!$B66/18,1),0)-IF(AND(MOD(Scorecards!$B66,18)&gt;=Scorecards!G$60,Scorecards!$B66&gt;0),1,0)+IF(Scorecards!G$60-18&gt;Scorecards!$B66,1,0))</f>
        <v>5</v>
      </c>
      <c r="H66" s="35">
        <f>if(Scorecards!H66="","",Scorecards!H66-IF(Scorecards!$B66&gt;0,FLOOR(Scorecards!$B66/18,1),0)-IF(AND(MOD(Scorecards!$B66,18)&gt;=Scorecards!H$60,Scorecards!$B66&gt;0),1,0)+IF(Scorecards!H$60-18&gt;Scorecards!$B66,1,0))</f>
        <v>6</v>
      </c>
      <c r="I66" s="35">
        <f>if(Scorecards!I66="","",Scorecards!I66-IF(Scorecards!$B66&gt;0,FLOOR(Scorecards!$B66/18,1),0)-IF(AND(MOD(Scorecards!$B66,18)&gt;=Scorecards!I$60,Scorecards!$B66&gt;0),1,0)+IF(Scorecards!I$60-18&gt;Scorecards!$B66,1,0))</f>
        <v>2</v>
      </c>
      <c r="J66" s="35">
        <f>if(Scorecards!J66="","",Scorecards!J66-IF(Scorecards!$B66&gt;0,FLOOR(Scorecards!$B66/18,1),0)-IF(AND(MOD(Scorecards!$B66,18)&gt;=Scorecards!J$60,Scorecards!$B66&gt;0),1,0)+IF(Scorecards!J$60-18&gt;Scorecards!$B66,1,0))</f>
        <v>4</v>
      </c>
      <c r="K66" s="35">
        <f>if(Scorecards!K66="","",Scorecards!K66-IF(Scorecards!$B66&gt;0,FLOOR(Scorecards!$B66/18,1),0)-IF(AND(MOD(Scorecards!$B66,18)&gt;=Scorecards!K$60,Scorecards!$B66&gt;0),1,0)+IF(Scorecards!K$60-18&gt;Scorecards!$B66,1,0))</f>
        <v>4</v>
      </c>
      <c r="L66" s="35">
        <f>if(Scorecards!L66="","",Scorecards!L66-IF(Scorecards!$B66&gt;0,FLOOR(Scorecards!$B66/18,1),0)-IF(AND(MOD(Scorecards!$B66,18)&gt;=Scorecards!L$60,Scorecards!$B66&gt;0),1,0)+IF(Scorecards!L$60-18&gt;Scorecards!$B66,1,0))</f>
        <v>7</v>
      </c>
      <c r="M66" s="35">
        <f>if(Scorecards!M66="","",Scorecards!M66-IF(Scorecards!$B66&gt;0,FLOOR(Scorecards!$B66/18,1),0)-IF(AND(MOD(Scorecards!$B66,18)&gt;=Scorecards!M$60,Scorecards!$B66&gt;0),1,0)+IF(Scorecards!M$60-18&gt;Scorecards!$B66,1,0))</f>
        <v>2</v>
      </c>
      <c r="N66" s="35">
        <f>if(Scorecards!N66="","",Scorecards!N66-IF(Scorecards!$B66&gt;0,FLOOR(Scorecards!$B66/18,1),0)-IF(AND(MOD(Scorecards!$B66,18)&gt;=Scorecards!N$60,Scorecards!$B66&gt;0),1,0)+IF(Scorecards!N$60-18&gt;Scorecards!$B66,1,0))</f>
        <v>5</v>
      </c>
      <c r="O66" s="35">
        <f>if(Scorecards!O66="","",Scorecards!O66-IF(Scorecards!$B66&gt;0,FLOOR(Scorecards!$B66/18,1),0)-IF(AND(MOD(Scorecards!$B66,18)&gt;=Scorecards!O$60,Scorecards!$B66&gt;0),1,0)+IF(Scorecards!O$60-18&gt;Scorecards!$B66,1,0))</f>
        <v>2</v>
      </c>
      <c r="P66" s="35">
        <f>if(Scorecards!P66="","",Scorecards!P66-IF(Scorecards!$B66&gt;0,FLOOR(Scorecards!$B66/18,1),0)-IF(AND(MOD(Scorecards!$B66,18)&gt;=Scorecards!P$60,Scorecards!$B66&gt;0),1,0)+IF(Scorecards!P$60-18&gt;Scorecards!$B66,1,0))</f>
        <v>4</v>
      </c>
      <c r="Q66" s="35">
        <f>if(Scorecards!Q66="","",Scorecards!Q66-IF(Scorecards!$B66&gt;0,FLOOR(Scorecards!$B66/18,1),0)-IF(AND(MOD(Scorecards!$B66,18)&gt;=Scorecards!Q$60,Scorecards!$B66&gt;0),1,0)+IF(Scorecards!Q$60-18&gt;Scorecards!$B66,1,0))</f>
        <v>3</v>
      </c>
      <c r="R66" s="35">
        <f>if(Scorecards!R66="","",Scorecards!R66-IF(Scorecards!$B66&gt;0,FLOOR(Scorecards!$B66/18,1),0)-IF(AND(MOD(Scorecards!$B66,18)&gt;=Scorecards!R$60,Scorecards!$B66&gt;0),1,0)+IF(Scorecards!R$60-18&gt;Scorecards!$B66,1,0))</f>
        <v>4</v>
      </c>
      <c r="S66" s="35">
        <f>if(Scorecards!S66="","",Scorecards!S66-IF(Scorecards!$B66&gt;0,FLOOR(Scorecards!$B66/18,1),0)-IF(AND(MOD(Scorecards!$B66,18)&gt;=Scorecards!S$60,Scorecards!$B66&gt;0),1,0)+IF(Scorecards!S$60-18&gt;Scorecards!$B66,1,0))</f>
        <v>5</v>
      </c>
      <c r="T66" s="35">
        <f>if(Scorecards!T66="","",Scorecards!T66-IF(Scorecards!$B66&gt;0,FLOOR(Scorecards!$B66/18,1),0)-IF(AND(MOD(Scorecards!$B66,18)&gt;=Scorecards!T$60,Scorecards!$B66&gt;0),1,0)+IF(Scorecards!T$60-18&gt;Scorecards!$B66,1,0))</f>
        <v>2</v>
      </c>
      <c r="U66" s="35">
        <f>if(Scorecards!U66="","",Scorecards!U66-IF(Scorecards!$B66&gt;0,FLOOR(Scorecards!$B66/18,1),0)-IF(AND(MOD(Scorecards!$B66,18)&gt;=Scorecards!U$60,Scorecards!$B66&gt;0),1,0)+IF(Scorecards!U$60-18&gt;Scorecards!$B66,1,0))</f>
        <v>4</v>
      </c>
      <c r="V66" s="36">
        <f t="shared" si="16"/>
        <v>46</v>
      </c>
      <c r="W66" s="36">
        <f t="shared" si="17"/>
        <v>31</v>
      </c>
      <c r="X66" s="36">
        <f t="shared" si="18"/>
        <v>77</v>
      </c>
      <c r="Y66" s="37">
        <f t="shared" si="19"/>
        <v>57</v>
      </c>
      <c r="Z66" s="38">
        <f t="array" ref="Z66">sum(if(D66-$D$61=-3,1,0),if(E66-$E$61=-3,1,0),if(F66-$F$61=-3,1,0),if(G66-$G$61=-3,1,0),if(H66-$H$61=-3,1,0),if(I66-$I$61=-3,1,0),if(J66-$J$61=-3,1,0),if(K66-$K$61=-3,1,0),if(L66-$L$61=-3,1,0),if(M66-$M$61=-3,1,0),if(N66-$N$61=-3,1,0),if(O66-$O$61=-3,1,0),if(P66-$P$61=-3,1,0),if(Q66-$Q$61=-3,1,0),if(R66-$R$61=-3,1,0),if(S66-$S$61=-3,1,0),if(T66-$T$61=-3,1,0),if(U66-$U$61=-3,1,0))</f>
        <v>0</v>
      </c>
      <c r="AA66" s="38">
        <f t="array" ref="AA66">sum(if(D66-$D$61=-2,1,0),if(E66-$E$61=-2,1,0),if(F66-$F$61=-2,1,0),if(G66-$G$61=-2,1,0),if(H66-$H$61=-2,1,0),if(I66-$I$61=-2,1,0),if(J66-$J$61=-2,1,0),if(K66-$K$61=-2,1,0),if(L66-$L$61=-2,1,0),if(M66-$M$61=-2,1,0),if(N66-$N$61=-2,1,0),if(O66-$O$61=-2,1,0),if(P66-$P$61=-2,1,0),if(Q66-$Q$61=-2,1,0),if(R66-$R$61=-2,1,0),if(S66-$S$61=-2,1,0),if(T66-$T$61=-2,1,0),if(U66-$U$61=-2,1,0))</f>
        <v>0</v>
      </c>
      <c r="AB66" s="38">
        <f t="array" ref="AB66">sum(if(D66-$D$61=-1,1,0),if(E66-$E$61=-1,1,0),if(F66-$F$61=-1,1,0),if(G66-$G$61=-1,1,0),if(H66-$H$61=-1,1,0),if(I66-$I$61=-1,1,0),if(J66-$J$61=-1,1,0),if(K66-$K$61=-1,1,0),if(L66-$L$61=-1,1,0),if(M66-$M$61=-1,1,0),if(N66-$N$61=-1,1,0),if(O66-$O$61=-1,1,0),if(P66-$P$61=-1,1,0),if(Q66-$Q$61=-1,1,0),if(R66-$R$61=-1,1,0),if(S66-$S$61=-1,1,0),if(T66-$T$61=-1,1,0),if(U66-$U$61=-1,1,0))</f>
        <v>6</v>
      </c>
      <c r="AC66" s="38">
        <f t="array" ref="AC66">sum(if(D66-$D$61=0,1,0),if(E66-$E$61=0,1,0),if(F66-$F$61=0,1,0),if(G66-$G$61=0,1,0),if(H66-$H$61=0,1,0),if(I66-$I$61=0,1,0),if(J66-$J$61=0,1,0),if(K66-$K$61=0,1,0),if(L66-$L$61=0,1,0),if(M66-$M$61=0,1,0),if(N66-$N$61=0,1,0),if(O66-$O$61=0,1,0),if(P66-$P$61=0,1,0),if(Q66-$Q$61=0,1,0),if(R66-$R$61=0,1,0),if(S66-$S$61=0,1,0),if(T66-$T$61=0,1,0),if(U66-$U$61=0,1,0))</f>
        <v>5</v>
      </c>
      <c r="AD66" s="38">
        <f t="array" ref="AD66">sum(if(D66-$D$61=1,1,0),if(E66-$E$61=1,1,0),if(F66-$F$61=1,1,0),if(G66-$G$61=1,1,0),if(H66-$H$61=1,1,0),if(I66-$I$61=1,1,0),if(J66-$J$61=1,1,0),if(K66-$K$61=1,1,0),if(L66-$L$61=1,1,0),if(M66-$M$61=1,1,0),if(N66-$N$61=1,1,0),if(O66-$O$61=1,1,0),if(P66-$P$61=1,1,0),if(Q66-$Q$61=1,1,0),if(R66-$R$61=1,1,0),if(S66-$S$61=1,1,0),if(T66-$T$61=1,1,0),if(U66-$U$61=1,1,0))</f>
        <v>4</v>
      </c>
      <c r="AE66" s="38">
        <f t="array" ref="AE66">sum(if(D66-$D$61=2,1,0),if(E66-$E$61=2,1,0),if(F66-$F$61=2,1,0),if(G66-$G$61=2,1,0),if(H66-$H$61=2,1,0),if(I66-$I$61=2,1,0),if(J66-$J$61=2,1,0),if(K66-$K$61=2,1,0),if(L66-$L$61=2,1,0),if(M66-$M$61=2,1,0),if(N66-$N$61=2,1,0),if(O66-$O$61=2,1,0),if(P66-$P$61=2,1,0),if(Q66-$Q$61=2,1,0),if(R66-$R$61=2,1,0),if(S66-$S$61=2,1,0),if(T66-$T$61=2,1,0),if(U66-$U$61=2,1,0))</f>
        <v>2</v>
      </c>
      <c r="AF66" s="38">
        <f t="array" ref="AF66">sum(if(D66-$D$61=3,1,0),if(E66-$E$61=3,1,0),if(F66-$F$61=3,1,0),if(G66-$G$61=3,1,0),if(H66-$H$61=3,1,0),if(I66-$I$61=3,1,0),if(J66-$J$61=3,1,0),if(K66-$K$61=3,1,0),if(L66-$L$61=3,1,0),if(M66-$M$61=3,1,0),if(N66-$N$61=3,1,0),if(O66-$O$61=3,1,0),if(P66-$P$61=3,1,0),if(Q66-$Q$61=3,1,0),if(R66-$R$61=3,1,0),if(S66-$S$61=3,1,0),if(T66-$T$61=3,1,0),if(U66-$U$61=3,1,0))</f>
        <v>1</v>
      </c>
      <c r="AG66" s="38">
        <f t="array" ref="AG66">sum(if(D66-$D$61&gt;3,1,0),if(E66-$E$61&gt;3,1,0),if(F66-$F$61&gt;3,1,0),if(G66-$G$61&gt;3,1,0),if(H66-$H$61&gt;3,1,0),if(I66-$I$61&gt;3,1,0),if(J66-$J$61&gt;3,1,0),if(K66-$K$61&gt;3,1,0),if(L66-$L$61&gt;3,1,0),if(M66-$M$61&gt;3,1,0),if(N66-$N$61&gt;3,1,0),if(O66-$O$61&gt;3,1,0),if(P66-$P$61&gt;3,1,0),if(Q66-$Q$61&gt;3,1,0),if(R66-$R$61&gt;3,1,0),if(S66-$S$61&gt;3,1,0),if(T66-$T$61&gt;3,1,0),if(U66-$U$61&gt;3,1,0))</f>
        <v>0</v>
      </c>
      <c r="AH66" s="38">
        <f t="shared" si="20"/>
        <v>18</v>
      </c>
    </row>
    <row r="67" ht="12.75" customHeight="1">
      <c r="A67" s="32" t="str">
        <f>SETUP!A10</f>
        <v>Eric O</v>
      </c>
      <c r="B67" s="33">
        <f t="array" ref="B67">if(A67="","",index(SETUP!C:C,match(A67,SETUP!A:A,0)))</f>
        <v>19</v>
      </c>
      <c r="C67" s="17"/>
      <c r="D67" s="35">
        <f>if(Scorecards!D67="","",Scorecards!D67-IF(Scorecards!$B67&gt;0,FLOOR(Scorecards!$B67/18,1),0)-IF(AND(MOD(Scorecards!$B67,18)&gt;=Scorecards!D$60,Scorecards!$B67&gt;0),1,0)+IF(Scorecards!D$60-18&gt;Scorecards!$B67,1,0))</f>
        <v>4</v>
      </c>
      <c r="E67" s="35">
        <f>if(Scorecards!E67="","",Scorecards!E67-IF(Scorecards!$B67&gt;0,FLOOR(Scorecards!$B67/18,1),0)-IF(AND(MOD(Scorecards!$B67,18)&gt;=Scorecards!E$60,Scorecards!$B67&gt;0),1,0)+IF(Scorecards!E$60-18&gt;Scorecards!$B67,1,0))</f>
        <v>4</v>
      </c>
      <c r="F67" s="35">
        <f>if(Scorecards!F67="","",Scorecards!F67-IF(Scorecards!$B67&gt;0,FLOOR(Scorecards!$B67/18,1),0)-IF(AND(MOD(Scorecards!$B67,18)&gt;=Scorecards!F$60,Scorecards!$B67&gt;0),1,0)+IF(Scorecards!F$60-18&gt;Scorecards!$B67,1,0))</f>
        <v>2</v>
      </c>
      <c r="G67" s="35">
        <f>if(Scorecards!G67="","",Scorecards!G67-IF(Scorecards!$B67&gt;0,FLOOR(Scorecards!$B67/18,1),0)-IF(AND(MOD(Scorecards!$B67,18)&gt;=Scorecards!G$60,Scorecards!$B67&gt;0),1,0)+IF(Scorecards!G$60-18&gt;Scorecards!$B67,1,0))</f>
        <v>3</v>
      </c>
      <c r="H67" s="35">
        <f>if(Scorecards!H67="","",Scorecards!H67-IF(Scorecards!$B67&gt;0,FLOOR(Scorecards!$B67/18,1),0)-IF(AND(MOD(Scorecards!$B67,18)&gt;=Scorecards!H$60,Scorecards!$B67&gt;0),1,0)+IF(Scorecards!H$60-18&gt;Scorecards!$B67,1,0))</f>
        <v>4</v>
      </c>
      <c r="I67" s="35">
        <f>if(Scorecards!I67="","",Scorecards!I67-IF(Scorecards!$B67&gt;0,FLOOR(Scorecards!$B67/18,1),0)-IF(AND(MOD(Scorecards!$B67,18)&gt;=Scorecards!I$60,Scorecards!$B67&gt;0),1,0)+IF(Scorecards!I$60-18&gt;Scorecards!$B67,1,0))</f>
        <v>4</v>
      </c>
      <c r="J67" s="35">
        <f>if(Scorecards!J67="","",Scorecards!J67-IF(Scorecards!$B67&gt;0,FLOOR(Scorecards!$B67/18,1),0)-IF(AND(MOD(Scorecards!$B67,18)&gt;=Scorecards!J$60,Scorecards!$B67&gt;0),1,0)+IF(Scorecards!J$60-18&gt;Scorecards!$B67,1,0))</f>
        <v>6</v>
      </c>
      <c r="K67" s="35">
        <f>if(Scorecards!K67="","",Scorecards!K67-IF(Scorecards!$B67&gt;0,FLOOR(Scorecards!$B67/18,1),0)-IF(AND(MOD(Scorecards!$B67,18)&gt;=Scorecards!K$60,Scorecards!$B67&gt;0),1,0)+IF(Scorecards!K$60-18&gt;Scorecards!$B67,1,0))</f>
        <v>5</v>
      </c>
      <c r="L67" s="35">
        <f>if(Scorecards!L67="","",Scorecards!L67-IF(Scorecards!$B67&gt;0,FLOOR(Scorecards!$B67/18,1),0)-IF(AND(MOD(Scorecards!$B67,18)&gt;=Scorecards!L$60,Scorecards!$B67&gt;0),1,0)+IF(Scorecards!L$60-18&gt;Scorecards!$B67,1,0))</f>
        <v>4</v>
      </c>
      <c r="M67" s="35">
        <f>if(Scorecards!M67="","",Scorecards!M67-IF(Scorecards!$B67&gt;0,FLOOR(Scorecards!$B67/18,1),0)-IF(AND(MOD(Scorecards!$B67,18)&gt;=Scorecards!M$60,Scorecards!$B67&gt;0),1,0)+IF(Scorecards!M$60-18&gt;Scorecards!$B67,1,0))</f>
        <v>4</v>
      </c>
      <c r="N67" s="35">
        <f>if(Scorecards!N67="","",Scorecards!N67-IF(Scorecards!$B67&gt;0,FLOOR(Scorecards!$B67/18,1),0)-IF(AND(MOD(Scorecards!$B67,18)&gt;=Scorecards!N$60,Scorecards!$B67&gt;0),1,0)+IF(Scorecards!N$60-18&gt;Scorecards!$B67,1,0))</f>
        <v>3</v>
      </c>
      <c r="O67" s="35">
        <f>if(Scorecards!O67="","",Scorecards!O67-IF(Scorecards!$B67&gt;0,FLOOR(Scorecards!$B67/18,1),0)-IF(AND(MOD(Scorecards!$B67,18)&gt;=Scorecards!O$60,Scorecards!$B67&gt;0),1,0)+IF(Scorecards!O$60-18&gt;Scorecards!$B67,1,0))</f>
        <v>3</v>
      </c>
      <c r="P67" s="35">
        <f>if(Scorecards!P67="","",Scorecards!P67-IF(Scorecards!$B67&gt;0,FLOOR(Scorecards!$B67/18,1),0)-IF(AND(MOD(Scorecards!$B67,18)&gt;=Scorecards!P$60,Scorecards!$B67&gt;0),1,0)+IF(Scorecards!P$60-18&gt;Scorecards!$B67,1,0))</f>
        <v>5</v>
      </c>
      <c r="Q67" s="35">
        <f>if(Scorecards!Q67="","",Scorecards!Q67-IF(Scorecards!$B67&gt;0,FLOOR(Scorecards!$B67/18,1),0)-IF(AND(MOD(Scorecards!$B67,18)&gt;=Scorecards!Q$60,Scorecards!$B67&gt;0),1,0)+IF(Scorecards!Q$60-18&gt;Scorecards!$B67,1,0))</f>
        <v>5</v>
      </c>
      <c r="R67" s="35">
        <f>if(Scorecards!R67="","",Scorecards!R67-IF(Scorecards!$B67&gt;0,FLOOR(Scorecards!$B67/18,1),0)-IF(AND(MOD(Scorecards!$B67,18)&gt;=Scorecards!R$60,Scorecards!$B67&gt;0),1,0)+IF(Scorecards!R$60-18&gt;Scorecards!$B67,1,0))</f>
        <v>5</v>
      </c>
      <c r="S67" s="35">
        <f>if(Scorecards!S67="","",Scorecards!S67-IF(Scorecards!$B67&gt;0,FLOOR(Scorecards!$B67/18,1),0)-IF(AND(MOD(Scorecards!$B67,18)&gt;=Scorecards!S$60,Scorecards!$B67&gt;0),1,0)+IF(Scorecards!S$60-18&gt;Scorecards!$B67,1,0))</f>
        <v>5</v>
      </c>
      <c r="T67" s="35">
        <f>if(Scorecards!T67="","",Scorecards!T67-IF(Scorecards!$B67&gt;0,FLOOR(Scorecards!$B67/18,1),0)-IF(AND(MOD(Scorecards!$B67,18)&gt;=Scorecards!T$60,Scorecards!$B67&gt;0),1,0)+IF(Scorecards!T$60-18&gt;Scorecards!$B67,1,0))</f>
        <v>2</v>
      </c>
      <c r="U67" s="35">
        <f>if(Scorecards!U67="","",Scorecards!U67-IF(Scorecards!$B67&gt;0,FLOOR(Scorecards!$B67/18,1),0)-IF(AND(MOD(Scorecards!$B67,18)&gt;=Scorecards!U$60,Scorecards!$B67&gt;0),1,0)+IF(Scorecards!U$60-18&gt;Scorecards!$B67,1,0))</f>
        <v>7</v>
      </c>
      <c r="V67" s="36">
        <f t="shared" si="16"/>
        <v>36</v>
      </c>
      <c r="W67" s="36">
        <f t="shared" si="17"/>
        <v>39</v>
      </c>
      <c r="X67" s="36">
        <f t="shared" si="18"/>
        <v>75</v>
      </c>
      <c r="Y67" s="37">
        <f t="shared" si="19"/>
        <v>56</v>
      </c>
      <c r="Z67" s="38">
        <f t="array" ref="Z67">sum(if(D67-$D$61=-3,1,0),if(E67-$E$61=-3,1,0),if(F67-$F$61=-3,1,0),if(G67-$G$61=-3,1,0),if(H67-$H$61=-3,1,0),if(I67-$I$61=-3,1,0),if(J67-$J$61=-3,1,0),if(K67-$K$61=-3,1,0),if(L67-$L$61=-3,1,0),if(M67-$M$61=-3,1,0),if(N67-$N$61=-3,1,0),if(O67-$O$61=-3,1,0),if(P67-$P$61=-3,1,0),if(Q67-$Q$61=-3,1,0),if(R67-$R$61=-3,1,0),if(S67-$S$61=-3,1,0),if(T67-$T$61=-3,1,0),if(U67-$U$61=-3,1,0))</f>
        <v>0</v>
      </c>
      <c r="AA67" s="38">
        <f t="array" ref="AA67">sum(if(D67-$D$61=-2,1,0),if(E67-$E$61=-2,1,0),if(F67-$F$61=-2,1,0),if(G67-$G$61=-2,1,0),if(H67-$H$61=-2,1,0),if(I67-$I$61=-2,1,0),if(J67-$J$61=-2,1,0),if(K67-$K$61=-2,1,0),if(L67-$L$61=-2,1,0),if(M67-$M$61=-2,1,0),if(N67-$N$61=-2,1,0),if(O67-$O$61=-2,1,0),if(P67-$P$61=-2,1,0),if(Q67-$Q$61=-2,1,0),if(R67-$R$61=-2,1,0),if(S67-$S$61=-2,1,0),if(T67-$T$61=-2,1,0),if(U67-$U$61=-2,1,0))</f>
        <v>1</v>
      </c>
      <c r="AB67" s="38">
        <f t="array" ref="AB67">sum(if(D67-$D$61=-1,1,0),if(E67-$E$61=-1,1,0),if(F67-$F$61=-1,1,0),if(G67-$G$61=-1,1,0),if(H67-$H$61=-1,1,0),if(I67-$I$61=-1,1,0),if(J67-$J$61=-1,1,0),if(K67-$K$61=-1,1,0),if(L67-$L$61=-1,1,0),if(M67-$M$61=-1,1,0),if(N67-$N$61=-1,1,0),if(O67-$O$61=-1,1,0),if(P67-$P$61=-1,1,0),if(Q67-$Q$61=-1,1,0),if(R67-$R$61=-1,1,0),if(S67-$S$61=-1,1,0),if(T67-$T$61=-1,1,0),if(U67-$U$61=-1,1,0))</f>
        <v>6</v>
      </c>
      <c r="AC67" s="38">
        <f t="array" ref="AC67">sum(if(D67-$D$61=0,1,0),if(E67-$E$61=0,1,0),if(F67-$F$61=0,1,0),if(G67-$G$61=0,1,0),if(H67-$H$61=0,1,0),if(I67-$I$61=0,1,0),if(J67-$J$61=0,1,0),if(K67-$K$61=0,1,0),if(L67-$L$61=0,1,0),if(M67-$M$61=0,1,0),if(N67-$N$61=0,1,0),if(O67-$O$61=0,1,0),if(P67-$P$61=0,1,0),if(Q67-$Q$61=0,1,0),if(R67-$R$61=0,1,0),if(S67-$S$61=0,1,0),if(T67-$T$61=0,1,0),if(U67-$U$61=0,1,0))</f>
        <v>2</v>
      </c>
      <c r="AD67" s="38">
        <f t="array" ref="AD67">sum(if(D67-$D$61=1,1,0),if(E67-$E$61=1,1,0),if(F67-$F$61=1,1,0),if(G67-$G$61=1,1,0),if(H67-$H$61=1,1,0),if(I67-$I$61=1,1,0),if(J67-$J$61=1,1,0),if(K67-$K$61=1,1,0),if(L67-$L$61=1,1,0),if(M67-$M$61=1,1,0),if(N67-$N$61=1,1,0),if(O67-$O$61=1,1,0),if(P67-$P$61=1,1,0),if(Q67-$Q$61=1,1,0),if(R67-$R$61=1,1,0),if(S67-$S$61=1,1,0),if(T67-$T$61=1,1,0),if(U67-$U$61=1,1,0))</f>
        <v>7</v>
      </c>
      <c r="AE67" s="38">
        <f t="array" ref="AE67">sum(if(D67-$D$61=2,1,0),if(E67-$E$61=2,1,0),if(F67-$F$61=2,1,0),if(G67-$G$61=2,1,0),if(H67-$H$61=2,1,0),if(I67-$I$61=2,1,0),if(J67-$J$61=2,1,0),if(K67-$K$61=2,1,0),if(L67-$L$61=2,1,0),if(M67-$M$61=2,1,0),if(N67-$N$61=2,1,0),if(O67-$O$61=2,1,0),if(P67-$P$61=2,1,0),if(Q67-$Q$61=2,1,0),if(R67-$R$61=2,1,0),if(S67-$S$61=2,1,0),if(T67-$T$61=2,1,0),if(U67-$U$61=2,1,0))</f>
        <v>2</v>
      </c>
      <c r="AF67" s="38">
        <f t="array" ref="AF67">sum(if(D67-$D$61=3,1,0),if(E67-$E$61=3,1,0),if(F67-$F$61=3,1,0),if(G67-$G$61=3,1,0),if(H67-$H$61=3,1,0),if(I67-$I$61=3,1,0),if(J67-$J$61=3,1,0),if(K67-$K$61=3,1,0),if(L67-$L$61=3,1,0),if(M67-$M$61=3,1,0),if(N67-$N$61=3,1,0),if(O67-$O$61=3,1,0),if(P67-$P$61=3,1,0),if(Q67-$Q$61=3,1,0),if(R67-$R$61=3,1,0),if(S67-$S$61=3,1,0),if(T67-$T$61=3,1,0),if(U67-$U$61=3,1,0))</f>
        <v>0</v>
      </c>
      <c r="AG67" s="38">
        <f t="array" ref="AG67">sum(if(D67-$D$61&gt;3,1,0),if(E67-$E$61&gt;3,1,0),if(F67-$F$61&gt;3,1,0),if(G67-$G$61&gt;3,1,0),if(H67-$H$61&gt;3,1,0),if(I67-$I$61&gt;3,1,0),if(J67-$J$61&gt;3,1,0),if(K67-$K$61&gt;3,1,0),if(L67-$L$61&gt;3,1,0),if(M67-$M$61&gt;3,1,0),if(N67-$N$61&gt;3,1,0),if(O67-$O$61&gt;3,1,0),if(P67-$P$61&gt;3,1,0),if(Q67-$Q$61&gt;3,1,0),if(R67-$R$61&gt;3,1,0),if(S67-$S$61&gt;3,1,0),if(T67-$T$61&gt;3,1,0),if(U67-$U$61&gt;3,1,0))</f>
        <v>0</v>
      </c>
      <c r="AH67" s="38">
        <f t="shared" si="20"/>
        <v>18</v>
      </c>
    </row>
    <row r="68" ht="12.75" customHeight="1">
      <c r="A68" s="32" t="str">
        <f>SETUP!A11</f>
        <v>Jeff B</v>
      </c>
      <c r="B68" s="33">
        <f t="array" ref="B68">if(A68="","",index(SETUP!C:C,match(A68,SETUP!A:A,0)))</f>
        <v>22</v>
      </c>
      <c r="C68" s="17"/>
      <c r="D68" s="35">
        <f>if(Scorecards!D68="","",Scorecards!D68-IF(Scorecards!$B68&gt;0,FLOOR(Scorecards!$B68/18,1),0)-IF(AND(MOD(Scorecards!$B68,18)&gt;=Scorecards!D$60,Scorecards!$B68&gt;0),1,0)+IF(Scorecards!D$60-18&gt;Scorecards!$B68,1,0))</f>
        <v>5</v>
      </c>
      <c r="E68" s="35">
        <f>if(Scorecards!E68="","",Scorecards!E68-IF(Scorecards!$B68&gt;0,FLOOR(Scorecards!$B68/18,1),0)-IF(AND(MOD(Scorecards!$B68,18)&gt;=Scorecards!E$60,Scorecards!$B68&gt;0),1,0)+IF(Scorecards!E$60-18&gt;Scorecards!$B68,1,0))</f>
        <v>6</v>
      </c>
      <c r="F68" s="35">
        <f>if(Scorecards!F68="","",Scorecards!F68-IF(Scorecards!$B68&gt;0,FLOOR(Scorecards!$B68/18,1),0)-IF(AND(MOD(Scorecards!$B68,18)&gt;=Scorecards!F$60,Scorecards!$B68&gt;0),1,0)+IF(Scorecards!F$60-18&gt;Scorecards!$B68,1,0))</f>
        <v>4</v>
      </c>
      <c r="G68" s="35">
        <f>if(Scorecards!G68="","",Scorecards!G68-IF(Scorecards!$B68&gt;0,FLOOR(Scorecards!$B68/18,1),0)-IF(AND(MOD(Scorecards!$B68,18)&gt;=Scorecards!G$60,Scorecards!$B68&gt;0),1,0)+IF(Scorecards!G$60-18&gt;Scorecards!$B68,1,0))</f>
        <v>3</v>
      </c>
      <c r="H68" s="35">
        <f>if(Scorecards!H68="","",Scorecards!H68-IF(Scorecards!$B68&gt;0,FLOOR(Scorecards!$B68/18,1),0)-IF(AND(MOD(Scorecards!$B68,18)&gt;=Scorecards!H$60,Scorecards!$B68&gt;0),1,0)+IF(Scorecards!H$60-18&gt;Scorecards!$B68,1,0))</f>
        <v>4</v>
      </c>
      <c r="I68" s="35">
        <f>if(Scorecards!I68="","",Scorecards!I68-IF(Scorecards!$B68&gt;0,FLOOR(Scorecards!$B68/18,1),0)-IF(AND(MOD(Scorecards!$B68,18)&gt;=Scorecards!I$60,Scorecards!$B68&gt;0),1,0)+IF(Scorecards!I$60-18&gt;Scorecards!$B68,1,0))</f>
        <v>4</v>
      </c>
      <c r="J68" s="35">
        <f>if(Scorecards!J68="","",Scorecards!J68-IF(Scorecards!$B68&gt;0,FLOOR(Scorecards!$B68/18,1),0)-IF(AND(MOD(Scorecards!$B68,18)&gt;=Scorecards!J$60,Scorecards!$B68&gt;0),1,0)+IF(Scorecards!J$60-18&gt;Scorecards!$B68,1,0))</f>
        <v>6</v>
      </c>
      <c r="K68" s="35">
        <f>if(Scorecards!K68="","",Scorecards!K68-IF(Scorecards!$B68&gt;0,FLOOR(Scorecards!$B68/18,1),0)-IF(AND(MOD(Scorecards!$B68,18)&gt;=Scorecards!K$60,Scorecards!$B68&gt;0),1,0)+IF(Scorecards!K$60-18&gt;Scorecards!$B68,1,0))</f>
        <v>5</v>
      </c>
      <c r="L68" s="35">
        <f>if(Scorecards!L68="","",Scorecards!L68-IF(Scorecards!$B68&gt;0,FLOOR(Scorecards!$B68/18,1),0)-IF(AND(MOD(Scorecards!$B68,18)&gt;=Scorecards!L$60,Scorecards!$B68&gt;0),1,0)+IF(Scorecards!L$60-18&gt;Scorecards!$B68,1,0))</f>
        <v>6</v>
      </c>
      <c r="M68" s="35">
        <f>if(Scorecards!M68="","",Scorecards!M68-IF(Scorecards!$B68&gt;0,FLOOR(Scorecards!$B68/18,1),0)-IF(AND(MOD(Scorecards!$B68,18)&gt;=Scorecards!M$60,Scorecards!$B68&gt;0),1,0)+IF(Scorecards!M$60-18&gt;Scorecards!$B68,1,0))</f>
        <v>4</v>
      </c>
      <c r="N68" s="35">
        <f>if(Scorecards!N68="","",Scorecards!N68-IF(Scorecards!$B68&gt;0,FLOOR(Scorecards!$B68/18,1),0)-IF(AND(MOD(Scorecards!$B68,18)&gt;=Scorecards!N$60,Scorecards!$B68&gt;0),1,0)+IF(Scorecards!N$60-18&gt;Scorecards!$B68,1,0))</f>
        <v>5</v>
      </c>
      <c r="O68" s="35">
        <f>if(Scorecards!O68="","",Scorecards!O68-IF(Scorecards!$B68&gt;0,FLOOR(Scorecards!$B68/18,1),0)-IF(AND(MOD(Scorecards!$B68,18)&gt;=Scorecards!O$60,Scorecards!$B68&gt;0),1,0)+IF(Scorecards!O$60-18&gt;Scorecards!$B68,1,0))</f>
        <v>3</v>
      </c>
      <c r="P68" s="35">
        <f>if(Scorecards!P68="","",Scorecards!P68-IF(Scorecards!$B68&gt;0,FLOOR(Scorecards!$B68/18,1),0)-IF(AND(MOD(Scorecards!$B68,18)&gt;=Scorecards!P$60,Scorecards!$B68&gt;0),1,0)+IF(Scorecards!P$60-18&gt;Scorecards!$B68,1,0))</f>
        <v>3</v>
      </c>
      <c r="Q68" s="35">
        <f>if(Scorecards!Q68="","",Scorecards!Q68-IF(Scorecards!$B68&gt;0,FLOOR(Scorecards!$B68/18,1),0)-IF(AND(MOD(Scorecards!$B68,18)&gt;=Scorecards!Q$60,Scorecards!$B68&gt;0),1,0)+IF(Scorecards!Q$60-18&gt;Scorecards!$B68,1,0))</f>
        <v>7</v>
      </c>
      <c r="R68" s="35">
        <f>if(Scorecards!R68="","",Scorecards!R68-IF(Scorecards!$B68&gt;0,FLOOR(Scorecards!$B68/18,1),0)-IF(AND(MOD(Scorecards!$B68,18)&gt;=Scorecards!R$60,Scorecards!$B68&gt;0),1,0)+IF(Scorecards!R$60-18&gt;Scorecards!$B68,1,0))</f>
        <v>4</v>
      </c>
      <c r="S68" s="35">
        <f>if(Scorecards!S68="","",Scorecards!S68-IF(Scorecards!$B68&gt;0,FLOOR(Scorecards!$B68/18,1),0)-IF(AND(MOD(Scorecards!$B68,18)&gt;=Scorecards!S$60,Scorecards!$B68&gt;0),1,0)+IF(Scorecards!S$60-18&gt;Scorecards!$B68,1,0))</f>
        <v>3</v>
      </c>
      <c r="T68" s="35">
        <f>if(Scorecards!T68="","",Scorecards!T68-IF(Scorecards!$B68&gt;0,FLOOR(Scorecards!$B68/18,1),0)-IF(AND(MOD(Scorecards!$B68,18)&gt;=Scorecards!T$60,Scorecards!$B68&gt;0),1,0)+IF(Scorecards!T$60-18&gt;Scorecards!$B68,1,0))</f>
        <v>2</v>
      </c>
      <c r="U68" s="35">
        <f>if(Scorecards!U68="","",Scorecards!U68-IF(Scorecards!$B68&gt;0,FLOOR(Scorecards!$B68/18,1),0)-IF(AND(MOD(Scorecards!$B68,18)&gt;=Scorecards!U$60,Scorecards!$B68&gt;0),1,0)+IF(Scorecards!U$60-18&gt;Scorecards!$B68,1,0))</f>
        <v>6</v>
      </c>
      <c r="V68" s="36">
        <f t="shared" si="16"/>
        <v>43</v>
      </c>
      <c r="W68" s="36">
        <f t="shared" si="17"/>
        <v>37</v>
      </c>
      <c r="X68" s="36">
        <f t="shared" si="18"/>
        <v>80</v>
      </c>
      <c r="Y68" s="37">
        <f t="shared" si="19"/>
        <v>58</v>
      </c>
      <c r="Z68" s="38">
        <f t="array" ref="Z68">sum(if(D68-$D$61=-3,1,0),if(E68-$E$61=-3,1,0),if(F68-$F$61=-3,1,0),if(G68-$G$61=-3,1,0),if(H68-$H$61=-3,1,0),if(I68-$I$61=-3,1,0),if(J68-$J$61=-3,1,0),if(K68-$K$61=-3,1,0),if(L68-$L$61=-3,1,0),if(M68-$M$61=-3,1,0),if(N68-$N$61=-3,1,0),if(O68-$O$61=-3,1,0),if(P68-$P$61=-3,1,0),if(Q68-$Q$61=-3,1,0),if(R68-$R$61=-3,1,0),if(S68-$S$61=-3,1,0),if(T68-$T$61=-3,1,0),if(U68-$U$61=-3,1,0))</f>
        <v>0</v>
      </c>
      <c r="AA68" s="38">
        <f t="array" ref="AA68">sum(if(D68-$D$61=-2,1,0),if(E68-$E$61=-2,1,0),if(F68-$F$61=-2,1,0),if(G68-$G$61=-2,1,0),if(H68-$H$61=-2,1,0),if(I68-$I$61=-2,1,0),if(J68-$J$61=-2,1,0),if(K68-$K$61=-2,1,0),if(L68-$L$61=-2,1,0),if(M68-$M$61=-2,1,0),if(N68-$N$61=-2,1,0),if(O68-$O$61=-2,1,0),if(P68-$P$61=-2,1,0),if(Q68-$Q$61=-2,1,0),if(R68-$R$61=-2,1,0),if(S68-$S$61=-2,1,0),if(T68-$T$61=-2,1,0),if(U68-$U$61=-2,1,0))</f>
        <v>0</v>
      </c>
      <c r="AB68" s="38">
        <f t="array" ref="AB68">sum(if(D68-$D$61=-1,1,0),if(E68-$E$61=-1,1,0),if(F68-$F$61=-1,1,0),if(G68-$G$61=-1,1,0),if(H68-$H$61=-1,1,0),if(I68-$I$61=-1,1,0),if(J68-$J$61=-1,1,0),if(K68-$K$61=-1,1,0),if(L68-$L$61=-1,1,0),if(M68-$M$61=-1,1,0),if(N68-$N$61=-1,1,0),if(O68-$O$61=-1,1,0),if(P68-$P$61=-1,1,0),if(Q68-$Q$61=-1,1,0),if(R68-$R$61=-1,1,0),if(S68-$S$61=-1,1,0),if(T68-$T$61=-1,1,0),if(U68-$U$61=-1,1,0))</f>
        <v>5</v>
      </c>
      <c r="AC68" s="38">
        <f t="array" ref="AC68">sum(if(D68-$D$61=0,1,0),if(E68-$E$61=0,1,0),if(F68-$F$61=0,1,0),if(G68-$G$61=0,1,0),if(H68-$H$61=0,1,0),if(I68-$I$61=0,1,0),if(J68-$J$61=0,1,0),if(K68-$K$61=0,1,0),if(L68-$L$61=0,1,0),if(M68-$M$61=0,1,0),if(N68-$N$61=0,1,0),if(O68-$O$61=0,1,0),if(P68-$P$61=0,1,0),if(Q68-$Q$61=0,1,0),if(R68-$R$61=0,1,0),if(S68-$S$61=0,1,0),if(T68-$T$61=0,1,0),if(U68-$U$61=0,1,0))</f>
        <v>3</v>
      </c>
      <c r="AD68" s="38">
        <f t="array" ref="AD68">sum(if(D68-$D$61=1,1,0),if(E68-$E$61=1,1,0),if(F68-$F$61=1,1,0),if(G68-$G$61=1,1,0),if(H68-$H$61=1,1,0),if(I68-$I$61=1,1,0),if(J68-$J$61=1,1,0),if(K68-$K$61=1,1,0),if(L68-$L$61=1,1,0),if(M68-$M$61=1,1,0),if(N68-$N$61=1,1,0),if(O68-$O$61=1,1,0),if(P68-$P$61=1,1,0),if(Q68-$Q$61=1,1,0),if(R68-$R$61=1,1,0),if(S68-$S$61=1,1,0),if(T68-$T$61=1,1,0),if(U68-$U$61=1,1,0))</f>
        <v>8</v>
      </c>
      <c r="AE68" s="38">
        <f t="array" ref="AE68">sum(if(D68-$D$61=2,1,0),if(E68-$E$61=2,1,0),if(F68-$F$61=2,1,0),if(G68-$G$61=2,1,0),if(H68-$H$61=2,1,0),if(I68-$I$61=2,1,0),if(J68-$J$61=2,1,0),if(K68-$K$61=2,1,0),if(L68-$L$61=2,1,0),if(M68-$M$61=2,1,0),if(N68-$N$61=2,1,0),if(O68-$O$61=2,1,0),if(P68-$P$61=2,1,0),if(Q68-$Q$61=2,1,0),if(R68-$R$61=2,1,0),if(S68-$S$61=2,1,0),if(T68-$T$61=2,1,0),if(U68-$U$61=2,1,0))</f>
        <v>1</v>
      </c>
      <c r="AF68" s="38">
        <f t="array" ref="AF68">sum(if(D68-$D$61=3,1,0),if(E68-$E$61=3,1,0),if(F68-$F$61=3,1,0),if(G68-$G$61=3,1,0),if(H68-$H$61=3,1,0),if(I68-$I$61=3,1,0),if(J68-$J$61=3,1,0),if(K68-$K$61=3,1,0),if(L68-$L$61=3,1,0),if(M68-$M$61=3,1,0),if(N68-$N$61=3,1,0),if(O68-$O$61=3,1,0),if(P68-$P$61=3,1,0),if(Q68-$Q$61=3,1,0),if(R68-$R$61=3,1,0),if(S68-$S$61=3,1,0),if(T68-$T$61=3,1,0),if(U68-$U$61=3,1,0))</f>
        <v>1</v>
      </c>
      <c r="AG68" s="38">
        <f t="array" ref="AG68">sum(if(D68-$D$61&gt;3,1,0),if(E68-$E$61&gt;3,1,0),if(F68-$F$61&gt;3,1,0),if(G68-$G$61&gt;3,1,0),if(H68-$H$61&gt;3,1,0),if(I68-$I$61&gt;3,1,0),if(J68-$J$61&gt;3,1,0),if(K68-$K$61&gt;3,1,0),if(L68-$L$61&gt;3,1,0),if(M68-$M$61&gt;3,1,0),if(N68-$N$61&gt;3,1,0),if(O68-$O$61&gt;3,1,0),if(P68-$P$61&gt;3,1,0),if(Q68-$Q$61&gt;3,1,0),if(R68-$R$61&gt;3,1,0),if(S68-$S$61&gt;3,1,0),if(T68-$T$61&gt;3,1,0),if(U68-$U$61&gt;3,1,0))</f>
        <v>0</v>
      </c>
      <c r="AH68" s="38">
        <f t="shared" si="20"/>
        <v>18</v>
      </c>
    </row>
    <row r="69" ht="12.75" customHeight="1">
      <c r="A69" s="32" t="str">
        <f>SETUP!A12</f>
        <v>Joe S</v>
      </c>
      <c r="B69" s="33">
        <f t="array" ref="B69">if(A69="","",index(SETUP!C:C,match(A69,SETUP!A:A,0)))</f>
        <v>15</v>
      </c>
      <c r="C69" s="17"/>
      <c r="D69" s="35">
        <f>if(Scorecards!D69="","",Scorecards!D69-IF(Scorecards!$B69&gt;0,FLOOR(Scorecards!$B69/18,1),0)-IF(AND(MOD(Scorecards!$B69,18)&gt;=Scorecards!D$60,Scorecards!$B69&gt;0),1,0)+IF(Scorecards!D$60-18&gt;Scorecards!$B69,1,0))</f>
        <v>3</v>
      </c>
      <c r="E69" s="35">
        <f>if(Scorecards!E69="","",Scorecards!E69-IF(Scorecards!$B69&gt;0,FLOOR(Scorecards!$B69/18,1),0)-IF(AND(MOD(Scorecards!$B69,18)&gt;=Scorecards!E$60,Scorecards!$B69&gt;0),1,0)+IF(Scorecards!E$60-18&gt;Scorecards!$B69,1,0))</f>
        <v>3</v>
      </c>
      <c r="F69" s="35">
        <f>if(Scorecards!F69="","",Scorecards!F69-IF(Scorecards!$B69&gt;0,FLOOR(Scorecards!$B69/18,1),0)-IF(AND(MOD(Scorecards!$B69,18)&gt;=Scorecards!F$60,Scorecards!$B69&gt;0),1,0)+IF(Scorecards!F$60-18&gt;Scorecards!$B69,1,0))</f>
        <v>5</v>
      </c>
      <c r="G69" s="35">
        <f>if(Scorecards!G69="","",Scorecards!G69-IF(Scorecards!$B69&gt;0,FLOOR(Scorecards!$B69/18,1),0)-IF(AND(MOD(Scorecards!$B69,18)&gt;=Scorecards!G$60,Scorecards!$B69&gt;0),1,0)+IF(Scorecards!G$60-18&gt;Scorecards!$B69,1,0))</f>
        <v>3</v>
      </c>
      <c r="H69" s="35">
        <f>if(Scorecards!H69="","",Scorecards!H69-IF(Scorecards!$B69&gt;0,FLOOR(Scorecards!$B69/18,1),0)-IF(AND(MOD(Scorecards!$B69,18)&gt;=Scorecards!H$60,Scorecards!$B69&gt;0),1,0)+IF(Scorecards!H$60-18&gt;Scorecards!$B69,1,0))</f>
        <v>4</v>
      </c>
      <c r="I69" s="35">
        <f>if(Scorecards!I69="","",Scorecards!I69-IF(Scorecards!$B69&gt;0,FLOOR(Scorecards!$B69/18,1),0)-IF(AND(MOD(Scorecards!$B69,18)&gt;=Scorecards!I$60,Scorecards!$B69&gt;0),1,0)+IF(Scorecards!I$60-18&gt;Scorecards!$B69,1,0))</f>
        <v>3</v>
      </c>
      <c r="J69" s="35">
        <f>if(Scorecards!J69="","",Scorecards!J69-IF(Scorecards!$B69&gt;0,FLOOR(Scorecards!$B69/18,1),0)-IF(AND(MOD(Scorecards!$B69,18)&gt;=Scorecards!J$60,Scorecards!$B69&gt;0),1,0)+IF(Scorecards!J$60-18&gt;Scorecards!$B69,1,0))</f>
        <v>5</v>
      </c>
      <c r="K69" s="35">
        <f>if(Scorecards!K69="","",Scorecards!K69-IF(Scorecards!$B69&gt;0,FLOOR(Scorecards!$B69/18,1),0)-IF(AND(MOD(Scorecards!$B69,18)&gt;=Scorecards!K$60,Scorecards!$B69&gt;0),1,0)+IF(Scorecards!K$60-18&gt;Scorecards!$B69,1,0))</f>
        <v>4</v>
      </c>
      <c r="L69" s="35">
        <f>if(Scorecards!L69="","",Scorecards!L69-IF(Scorecards!$B69&gt;0,FLOOR(Scorecards!$B69/18,1),0)-IF(AND(MOD(Scorecards!$B69,18)&gt;=Scorecards!L$60,Scorecards!$B69&gt;0),1,0)+IF(Scorecards!L$60-18&gt;Scorecards!$B69,1,0))</f>
        <v>4</v>
      </c>
      <c r="M69" s="35">
        <f>if(Scorecards!M69="","",Scorecards!M69-IF(Scorecards!$B69&gt;0,FLOOR(Scorecards!$B69/18,1),0)-IF(AND(MOD(Scorecards!$B69,18)&gt;=Scorecards!M$60,Scorecards!$B69&gt;0),1,0)+IF(Scorecards!M$60-18&gt;Scorecards!$B69,1,0))</f>
        <v>4</v>
      </c>
      <c r="N69" s="35">
        <f>if(Scorecards!N69="","",Scorecards!N69-IF(Scorecards!$B69&gt;0,FLOOR(Scorecards!$B69/18,1),0)-IF(AND(MOD(Scorecards!$B69,18)&gt;=Scorecards!N$60,Scorecards!$B69&gt;0),1,0)+IF(Scorecards!N$60-18&gt;Scorecards!$B69,1,0))</f>
        <v>4</v>
      </c>
      <c r="O69" s="35">
        <f>if(Scorecards!O69="","",Scorecards!O69-IF(Scorecards!$B69&gt;0,FLOOR(Scorecards!$B69/18,1),0)-IF(AND(MOD(Scorecards!$B69,18)&gt;=Scorecards!O$60,Scorecards!$B69&gt;0),1,0)+IF(Scorecards!O$60-18&gt;Scorecards!$B69,1,0))</f>
        <v>2</v>
      </c>
      <c r="P69" s="35">
        <f>if(Scorecards!P69="","",Scorecards!P69-IF(Scorecards!$B69&gt;0,FLOOR(Scorecards!$B69/18,1),0)-IF(AND(MOD(Scorecards!$B69,18)&gt;=Scorecards!P$60,Scorecards!$B69&gt;0),1,0)+IF(Scorecards!P$60-18&gt;Scorecards!$B69,1,0))</f>
        <v>4</v>
      </c>
      <c r="Q69" s="35">
        <f>if(Scorecards!Q69="","",Scorecards!Q69-IF(Scorecards!$B69&gt;0,FLOOR(Scorecards!$B69/18,1),0)-IF(AND(MOD(Scorecards!$B69,18)&gt;=Scorecards!Q$60,Scorecards!$B69&gt;0),1,0)+IF(Scorecards!Q$60-18&gt;Scorecards!$B69,1,0))</f>
        <v>4</v>
      </c>
      <c r="R69" s="35">
        <f>if(Scorecards!R69="","",Scorecards!R69-IF(Scorecards!$B69&gt;0,FLOOR(Scorecards!$B69/18,1),0)-IF(AND(MOD(Scorecards!$B69,18)&gt;=Scorecards!R$60,Scorecards!$B69&gt;0),1,0)+IF(Scorecards!R$60-18&gt;Scorecards!$B69,1,0))</f>
        <v>3</v>
      </c>
      <c r="S69" s="35">
        <f>if(Scorecards!S69="","",Scorecards!S69-IF(Scorecards!$B69&gt;0,FLOOR(Scorecards!$B69/18,1),0)-IF(AND(MOD(Scorecards!$B69,18)&gt;=Scorecards!S$60,Scorecards!$B69&gt;0),1,0)+IF(Scorecards!S$60-18&gt;Scorecards!$B69,1,0))</f>
        <v>3</v>
      </c>
      <c r="T69" s="35">
        <f>if(Scorecards!T69="","",Scorecards!T69-IF(Scorecards!$B69&gt;0,FLOOR(Scorecards!$B69/18,1),0)-IF(AND(MOD(Scorecards!$B69,18)&gt;=Scorecards!T$60,Scorecards!$B69&gt;0),1,0)+IF(Scorecards!T$60-18&gt;Scorecards!$B69,1,0))</f>
        <v>4</v>
      </c>
      <c r="U69" s="35">
        <f>if(Scorecards!U69="","",Scorecards!U69-IF(Scorecards!$B69&gt;0,FLOOR(Scorecards!$B69/18,1),0)-IF(AND(MOD(Scorecards!$B69,18)&gt;=Scorecards!U$60,Scorecards!$B69&gt;0),1,0)+IF(Scorecards!U$60-18&gt;Scorecards!$B69,1,0))</f>
        <v>7</v>
      </c>
      <c r="V69" s="36">
        <f t="shared" si="16"/>
        <v>34</v>
      </c>
      <c r="W69" s="36">
        <f t="shared" si="17"/>
        <v>35</v>
      </c>
      <c r="X69" s="36">
        <f t="shared" si="18"/>
        <v>69</v>
      </c>
      <c r="Y69" s="37">
        <f t="shared" si="19"/>
        <v>54</v>
      </c>
      <c r="Z69" s="38">
        <f t="array" ref="Z69">sum(if(D69-$D$61=-3,1,0),if(E69-$E$61=-3,1,0),if(F69-$F$61=-3,1,0),if(G69-$G$61=-3,1,0),if(H69-$H$61=-3,1,0),if(I69-$I$61=-3,1,0),if(J69-$J$61=-3,1,0),if(K69-$K$61=-3,1,0),if(L69-$L$61=-3,1,0),if(M69-$M$61=-3,1,0),if(N69-$N$61=-3,1,0),if(O69-$O$61=-3,1,0),if(P69-$P$61=-3,1,0),if(Q69-$Q$61=-3,1,0),if(R69-$R$61=-3,1,0),if(S69-$S$61=-3,1,0),if(T69-$T$61=-3,1,0),if(U69-$U$61=-3,1,0))</f>
        <v>0</v>
      </c>
      <c r="AA69" s="38">
        <f t="array" ref="AA69">sum(if(D69-$D$61=-2,1,0),if(E69-$E$61=-2,1,0),if(F69-$F$61=-2,1,0),if(G69-$G$61=-2,1,0),if(H69-$H$61=-2,1,0),if(I69-$I$61=-2,1,0),if(J69-$J$61=-2,1,0),if(K69-$K$61=-2,1,0),if(L69-$L$61=-2,1,0),if(M69-$M$61=-2,1,0),if(N69-$N$61=-2,1,0),if(O69-$O$61=-2,1,0),if(P69-$P$61=-2,1,0),if(Q69-$Q$61=-2,1,0),if(R69-$R$61=-2,1,0),if(S69-$S$61=-2,1,0),if(T69-$T$61=-2,1,0),if(U69-$U$61=-2,1,0))</f>
        <v>1</v>
      </c>
      <c r="AB69" s="38">
        <f t="array" ref="AB69">sum(if(D69-$D$61=-1,1,0),if(E69-$E$61=-1,1,0),if(F69-$F$61=-1,1,0),if(G69-$G$61=-1,1,0),if(H69-$H$61=-1,1,0),if(I69-$I$61=-1,1,0),if(J69-$J$61=-1,1,0),if(K69-$K$61=-1,1,0),if(L69-$L$61=-1,1,0),if(M69-$M$61=-1,1,0),if(N69-$N$61=-1,1,0),if(O69-$O$61=-1,1,0),if(P69-$P$61=-1,1,0),if(Q69-$Q$61=-1,1,0),if(R69-$R$61=-1,1,0),if(S69-$S$61=-1,1,0),if(T69-$T$61=-1,1,0),if(U69-$U$61=-1,1,0))</f>
        <v>8</v>
      </c>
      <c r="AC69" s="38">
        <f t="array" ref="AC69">sum(if(D69-$D$61=0,1,0),if(E69-$E$61=0,1,0),if(F69-$F$61=0,1,0),if(G69-$G$61=0,1,0),if(H69-$H$61=0,1,0),if(I69-$I$61=0,1,0),if(J69-$J$61=0,1,0),if(K69-$K$61=0,1,0),if(L69-$L$61=0,1,0),if(M69-$M$61=0,1,0),if(N69-$N$61=0,1,0),if(O69-$O$61=0,1,0),if(P69-$P$61=0,1,0),if(Q69-$Q$61=0,1,0),if(R69-$R$61=0,1,0),if(S69-$S$61=0,1,0),if(T69-$T$61=0,1,0),if(U69-$U$61=0,1,0))</f>
        <v>4</v>
      </c>
      <c r="AD69" s="38">
        <f t="array" ref="AD69">sum(if(D69-$D$61=1,1,0),if(E69-$E$61=1,1,0),if(F69-$F$61=1,1,0),if(G69-$G$61=1,1,0),if(H69-$H$61=1,1,0),if(I69-$I$61=1,1,0),if(J69-$J$61=1,1,0),if(K69-$K$61=1,1,0),if(L69-$L$61=1,1,0),if(M69-$M$61=1,1,0),if(N69-$N$61=1,1,0),if(O69-$O$61=1,1,0),if(P69-$P$61=1,1,0),if(Q69-$Q$61=1,1,0),if(R69-$R$61=1,1,0),if(S69-$S$61=1,1,0),if(T69-$T$61=1,1,0),if(U69-$U$61=1,1,0))</f>
        <v>3</v>
      </c>
      <c r="AE69" s="38">
        <f t="array" ref="AE69">sum(if(D69-$D$61=2,1,0),if(E69-$E$61=2,1,0),if(F69-$F$61=2,1,0),if(G69-$G$61=2,1,0),if(H69-$H$61=2,1,0),if(I69-$I$61=2,1,0),if(J69-$J$61=2,1,0),if(K69-$K$61=2,1,0),if(L69-$L$61=2,1,0),if(M69-$M$61=2,1,0),if(N69-$N$61=2,1,0),if(O69-$O$61=2,1,0),if(P69-$P$61=2,1,0),if(Q69-$Q$61=2,1,0),if(R69-$R$61=2,1,0),if(S69-$S$61=2,1,0),if(T69-$T$61=2,1,0),if(U69-$U$61=2,1,0))</f>
        <v>2</v>
      </c>
      <c r="AF69" s="38">
        <f t="array" ref="AF69">sum(if(D69-$D$61=3,1,0),if(E69-$E$61=3,1,0),if(F69-$F$61=3,1,0),if(G69-$G$61=3,1,0),if(H69-$H$61=3,1,0),if(I69-$I$61=3,1,0),if(J69-$J$61=3,1,0),if(K69-$K$61=3,1,0),if(L69-$L$61=3,1,0),if(M69-$M$61=3,1,0),if(N69-$N$61=3,1,0),if(O69-$O$61=3,1,0),if(P69-$P$61=3,1,0),if(Q69-$Q$61=3,1,0),if(R69-$R$61=3,1,0),if(S69-$S$61=3,1,0),if(T69-$T$61=3,1,0),if(U69-$U$61=3,1,0))</f>
        <v>0</v>
      </c>
      <c r="AG69" s="38">
        <f t="array" ref="AG69">sum(if(D69-$D$61&gt;3,1,0),if(E69-$E$61&gt;3,1,0),if(F69-$F$61&gt;3,1,0),if(G69-$G$61&gt;3,1,0),if(H69-$H$61&gt;3,1,0),if(I69-$I$61&gt;3,1,0),if(J69-$J$61&gt;3,1,0),if(K69-$K$61&gt;3,1,0),if(L69-$L$61&gt;3,1,0),if(M69-$M$61&gt;3,1,0),if(N69-$N$61&gt;3,1,0),if(O69-$O$61&gt;3,1,0),if(P69-$P$61&gt;3,1,0),if(Q69-$Q$61&gt;3,1,0),if(R69-$R$61&gt;3,1,0),if(S69-$S$61&gt;3,1,0),if(T69-$T$61&gt;3,1,0),if(U69-$U$61&gt;3,1,0))</f>
        <v>0</v>
      </c>
      <c r="AH69" s="38">
        <f t="shared" si="20"/>
        <v>18</v>
      </c>
    </row>
    <row r="70" ht="12.75" customHeight="1">
      <c r="A70" s="32" t="str">
        <f>SETUP!A13</f>
        <v>John C</v>
      </c>
      <c r="B70" s="33">
        <f t="array" ref="B70">if(A70="","",index(SETUP!C:C,match(A70,SETUP!A:A,0)))</f>
        <v>23</v>
      </c>
      <c r="C70" s="17"/>
      <c r="D70" s="35" t="str">
        <f>if(Scorecards!D70="","",Scorecards!D70-IF(Scorecards!$B70&gt;0,FLOOR(Scorecards!$B70/18,1),0)-IF(AND(MOD(Scorecards!$B70,18)&gt;=Scorecards!D$60,Scorecards!$B70&gt;0),1,0)+IF(Scorecards!D$60-18&gt;Scorecards!$B70,1,0))</f>
        <v/>
      </c>
      <c r="E70" s="35" t="str">
        <f>if(Scorecards!E70="","",Scorecards!E70-IF(Scorecards!$B70&gt;0,FLOOR(Scorecards!$B70/18,1),0)-IF(AND(MOD(Scorecards!$B70,18)&gt;=Scorecards!E$60,Scorecards!$B70&gt;0),1,0)+IF(Scorecards!E$60-18&gt;Scorecards!$B70,1,0))</f>
        <v/>
      </c>
      <c r="F70" s="35" t="str">
        <f>if(Scorecards!F70="","",Scorecards!F70-IF(Scorecards!$B70&gt;0,FLOOR(Scorecards!$B70/18,1),0)-IF(AND(MOD(Scorecards!$B70,18)&gt;=Scorecards!F$60,Scorecards!$B70&gt;0),1,0)+IF(Scorecards!F$60-18&gt;Scorecards!$B70,1,0))</f>
        <v/>
      </c>
      <c r="G70" s="35" t="str">
        <f>if(Scorecards!G70="","",Scorecards!G70-IF(Scorecards!$B70&gt;0,FLOOR(Scorecards!$B70/18,1),0)-IF(AND(MOD(Scorecards!$B70,18)&gt;=Scorecards!G$60,Scorecards!$B70&gt;0),1,0)+IF(Scorecards!G$60-18&gt;Scorecards!$B70,1,0))</f>
        <v/>
      </c>
      <c r="H70" s="35" t="str">
        <f>if(Scorecards!H70="","",Scorecards!H70-IF(Scorecards!$B70&gt;0,FLOOR(Scorecards!$B70/18,1),0)-IF(AND(MOD(Scorecards!$B70,18)&gt;=Scorecards!H$60,Scorecards!$B70&gt;0),1,0)+IF(Scorecards!H$60-18&gt;Scorecards!$B70,1,0))</f>
        <v/>
      </c>
      <c r="I70" s="35" t="str">
        <f>if(Scorecards!I70="","",Scorecards!I70-IF(Scorecards!$B70&gt;0,FLOOR(Scorecards!$B70/18,1),0)-IF(AND(MOD(Scorecards!$B70,18)&gt;=Scorecards!I$60,Scorecards!$B70&gt;0),1,0)+IF(Scorecards!I$60-18&gt;Scorecards!$B70,1,0))</f>
        <v/>
      </c>
      <c r="J70" s="35" t="str">
        <f>if(Scorecards!J70="","",Scorecards!J70-IF(Scorecards!$B70&gt;0,FLOOR(Scorecards!$B70/18,1),0)-IF(AND(MOD(Scorecards!$B70,18)&gt;=Scorecards!J$60,Scorecards!$B70&gt;0),1,0)+IF(Scorecards!J$60-18&gt;Scorecards!$B70,1,0))</f>
        <v/>
      </c>
      <c r="K70" s="35" t="str">
        <f>if(Scorecards!K70="","",Scorecards!K70-IF(Scorecards!$B70&gt;0,FLOOR(Scorecards!$B70/18,1),0)-IF(AND(MOD(Scorecards!$B70,18)&gt;=Scorecards!K$60,Scorecards!$B70&gt;0),1,0)+IF(Scorecards!K$60-18&gt;Scorecards!$B70,1,0))</f>
        <v/>
      </c>
      <c r="L70" s="35" t="str">
        <f>if(Scorecards!L70="","",Scorecards!L70-IF(Scorecards!$B70&gt;0,FLOOR(Scorecards!$B70/18,1),0)-IF(AND(MOD(Scorecards!$B70,18)&gt;=Scorecards!L$60,Scorecards!$B70&gt;0),1,0)+IF(Scorecards!L$60-18&gt;Scorecards!$B70,1,0))</f>
        <v/>
      </c>
      <c r="M70" s="35" t="str">
        <f>if(Scorecards!M70="","",Scorecards!M70-IF(Scorecards!$B70&gt;0,FLOOR(Scorecards!$B70/18,1),0)-IF(AND(MOD(Scorecards!$B70,18)&gt;=Scorecards!M$60,Scorecards!$B70&gt;0),1,0)+IF(Scorecards!M$60-18&gt;Scorecards!$B70,1,0))</f>
        <v/>
      </c>
      <c r="N70" s="35" t="str">
        <f>if(Scorecards!N70="","",Scorecards!N70-IF(Scorecards!$B70&gt;0,FLOOR(Scorecards!$B70/18,1),0)-IF(AND(MOD(Scorecards!$B70,18)&gt;=Scorecards!N$60,Scorecards!$B70&gt;0),1,0)+IF(Scorecards!N$60-18&gt;Scorecards!$B70,1,0))</f>
        <v/>
      </c>
      <c r="O70" s="35" t="str">
        <f>if(Scorecards!O70="","",Scorecards!O70-IF(Scorecards!$B70&gt;0,FLOOR(Scorecards!$B70/18,1),0)-IF(AND(MOD(Scorecards!$B70,18)&gt;=Scorecards!O$60,Scorecards!$B70&gt;0),1,0)+IF(Scorecards!O$60-18&gt;Scorecards!$B70,1,0))</f>
        <v/>
      </c>
      <c r="P70" s="35" t="str">
        <f>if(Scorecards!P70="","",Scorecards!P70-IF(Scorecards!$B70&gt;0,FLOOR(Scorecards!$B70/18,1),0)-IF(AND(MOD(Scorecards!$B70,18)&gt;=Scorecards!P$60,Scorecards!$B70&gt;0),1,0)+IF(Scorecards!P$60-18&gt;Scorecards!$B70,1,0))</f>
        <v/>
      </c>
      <c r="Q70" s="35" t="str">
        <f>if(Scorecards!Q70="","",Scorecards!Q70-IF(Scorecards!$B70&gt;0,FLOOR(Scorecards!$B70/18,1),0)-IF(AND(MOD(Scorecards!$B70,18)&gt;=Scorecards!Q$60,Scorecards!$B70&gt;0),1,0)+IF(Scorecards!Q$60-18&gt;Scorecards!$B70,1,0))</f>
        <v/>
      </c>
      <c r="R70" s="35" t="str">
        <f>if(Scorecards!R70="","",Scorecards!R70-IF(Scorecards!$B70&gt;0,FLOOR(Scorecards!$B70/18,1),0)-IF(AND(MOD(Scorecards!$B70,18)&gt;=Scorecards!R$60,Scorecards!$B70&gt;0),1,0)+IF(Scorecards!R$60-18&gt;Scorecards!$B70,1,0))</f>
        <v/>
      </c>
      <c r="S70" s="35" t="str">
        <f>if(Scorecards!S70="","",Scorecards!S70-IF(Scorecards!$B70&gt;0,FLOOR(Scorecards!$B70/18,1),0)-IF(AND(MOD(Scorecards!$B70,18)&gt;=Scorecards!S$60,Scorecards!$B70&gt;0),1,0)+IF(Scorecards!S$60-18&gt;Scorecards!$B70,1,0))</f>
        <v/>
      </c>
      <c r="T70" s="35" t="str">
        <f>if(Scorecards!T70="","",Scorecards!T70-IF(Scorecards!$B70&gt;0,FLOOR(Scorecards!$B70/18,1),0)-IF(AND(MOD(Scorecards!$B70,18)&gt;=Scorecards!T$60,Scorecards!$B70&gt;0),1,0)+IF(Scorecards!T$60-18&gt;Scorecards!$B70,1,0))</f>
        <v/>
      </c>
      <c r="U70" s="35" t="str">
        <f>if(Scorecards!U70="","",Scorecards!U70-IF(Scorecards!$B70&gt;0,FLOOR(Scorecards!$B70/18,1),0)-IF(AND(MOD(Scorecards!$B70,18)&gt;=Scorecards!U$60,Scorecards!$B70&gt;0),1,0)+IF(Scorecards!U$60-18&gt;Scorecards!$B70,1,0))</f>
        <v/>
      </c>
      <c r="V70" s="36">
        <f t="shared" si="16"/>
        <v>0</v>
      </c>
      <c r="W70" s="36">
        <f t="shared" si="17"/>
        <v>0</v>
      </c>
      <c r="X70" s="36" t="str">
        <f t="shared" si="18"/>
        <v/>
      </c>
      <c r="Y70" s="36" t="str">
        <f t="shared" si="19"/>
        <v/>
      </c>
      <c r="Z70" s="38">
        <f t="array" ref="Z70">sum(if(D70-$D$61=-3,1,0),if(E70-$E$61=-3,1,0),if(F70-$F$61=-3,1,0),if(G70-$G$61=-3,1,0),if(H70-$H$61=-3,1,0),if(I70-$I$61=-3,1,0),if(J70-$J$61=-3,1,0),if(K70-$K$61=-3,1,0),if(L70-$L$61=-3,1,0),if(M70-$M$61=-3,1,0),if(N70-$N$61=-3,1,0),if(O70-$O$61=-3,1,0),if(P70-$P$61=-3,1,0),if(Q70-$Q$61=-3,1,0),if(R70-$R$61=-3,1,0),if(S70-$S$61=-3,1,0),if(T70-$T$61=-3,1,0),if(U70-$U$61=-3,1,0))</f>
        <v>5</v>
      </c>
      <c r="AA70" s="38">
        <f t="array" ref="AA70">sum(if(D70-$D$61=-2,1,0),if(E70-$E$61=-2,1,0),if(F70-$F$61=-2,1,0),if(G70-$G$61=-2,1,0),if(H70-$H$61=-2,1,0),if(I70-$I$61=-2,1,0),if(J70-$J$61=-2,1,0),if(K70-$K$61=-2,1,0),if(L70-$L$61=-2,1,0),if(M70-$M$61=-2,1,0),if(N70-$N$61=-2,1,0),if(O70-$O$61=-2,1,0),if(P70-$P$61=-2,1,0),if(Q70-$Q$61=-2,1,0),if(R70-$R$61=-2,1,0),if(S70-$S$61=-2,1,0),if(T70-$T$61=-2,1,0),if(U70-$U$61=-2,1,0))</f>
        <v>0</v>
      </c>
      <c r="AB70" s="38">
        <f t="array" ref="AB70">sum(if(D70-$D$61=-1,1,0),if(E70-$E$61=-1,1,0),if(F70-$F$61=-1,1,0),if(G70-$G$61=-1,1,0),if(H70-$H$61=-1,1,0),if(I70-$I$61=-1,1,0),if(J70-$J$61=-1,1,0),if(K70-$K$61=-1,1,0),if(L70-$L$61=-1,1,0),if(M70-$M$61=-1,1,0),if(N70-$N$61=-1,1,0),if(O70-$O$61=-1,1,0),if(P70-$P$61=-1,1,0),if(Q70-$Q$61=-1,1,0),if(R70-$R$61=-1,1,0),if(S70-$S$61=-1,1,0),if(T70-$T$61=-1,1,0),if(U70-$U$61=-1,1,0))</f>
        <v>0</v>
      </c>
      <c r="AC70" s="38">
        <f t="array" ref="AC70">sum(if(D70-$D$61=0,1,0),if(E70-$E$61=0,1,0),if(F70-$F$61=0,1,0),if(G70-$G$61=0,1,0),if(H70-$H$61=0,1,0),if(I70-$I$61=0,1,0),if(J70-$J$61=0,1,0),if(K70-$K$61=0,1,0),if(L70-$L$61=0,1,0),if(M70-$M$61=0,1,0),if(N70-$N$61=0,1,0),if(O70-$O$61=0,1,0),if(P70-$P$61=0,1,0),if(Q70-$Q$61=0,1,0),if(R70-$R$61=0,1,0),if(S70-$S$61=0,1,0),if(T70-$T$61=0,1,0),if(U70-$U$61=0,1,0))</f>
        <v>0</v>
      </c>
      <c r="AD70" s="38">
        <f t="array" ref="AD70">sum(if(D70-$D$61=1,1,0),if(E70-$E$61=1,1,0),if(F70-$F$61=1,1,0),if(G70-$G$61=1,1,0),if(H70-$H$61=1,1,0),if(I70-$I$61=1,1,0),if(J70-$J$61=1,1,0),if(K70-$K$61=1,1,0),if(L70-$L$61=1,1,0),if(M70-$M$61=1,1,0),if(N70-$N$61=1,1,0),if(O70-$O$61=1,1,0),if(P70-$P$61=1,1,0),if(Q70-$Q$61=1,1,0),if(R70-$R$61=1,1,0),if(S70-$S$61=1,1,0),if(T70-$T$61=1,1,0),if(U70-$U$61=1,1,0))</f>
        <v>0</v>
      </c>
      <c r="AE70" s="38">
        <f t="array" ref="AE70">sum(if(D70-$D$61=2,1,0),if(E70-$E$61=2,1,0),if(F70-$F$61=2,1,0),if(G70-$G$61=2,1,0),if(H70-$H$61=2,1,0),if(I70-$I$61=2,1,0),if(J70-$J$61=2,1,0),if(K70-$K$61=2,1,0),if(L70-$L$61=2,1,0),if(M70-$M$61=2,1,0),if(N70-$N$61=2,1,0),if(O70-$O$61=2,1,0),if(P70-$P$61=2,1,0),if(Q70-$Q$61=2,1,0),if(R70-$R$61=2,1,0),if(S70-$S$61=2,1,0),if(T70-$T$61=2,1,0),if(U70-$U$61=2,1,0))</f>
        <v>0</v>
      </c>
      <c r="AF70" s="38">
        <f t="array" ref="AF70">sum(if(D70-$D$61=3,1,0),if(E70-$E$61=3,1,0),if(F70-$F$61=3,1,0),if(G70-$G$61=3,1,0),if(H70-$H$61=3,1,0),if(I70-$I$61=3,1,0),if(J70-$J$61=3,1,0),if(K70-$K$61=3,1,0),if(L70-$L$61=3,1,0),if(M70-$M$61=3,1,0),if(N70-$N$61=3,1,0),if(O70-$O$61=3,1,0),if(P70-$P$61=3,1,0),if(Q70-$Q$61=3,1,0),if(R70-$R$61=3,1,0),if(S70-$S$61=3,1,0),if(T70-$T$61=3,1,0),if(U70-$U$61=3,1,0))</f>
        <v>0</v>
      </c>
      <c r="AG70" s="38">
        <f t="array" ref="AG70">sum(if(D70-$D$61&gt;3,1,0),if(E70-$E$61&gt;3,1,0),if(F70-$F$61&gt;3,1,0),if(G70-$G$61&gt;3,1,0),if(H70-$H$61&gt;3,1,0),if(I70-$I$61&gt;3,1,0),if(J70-$J$61&gt;3,1,0),if(K70-$K$61&gt;3,1,0),if(L70-$L$61&gt;3,1,0),if(M70-$M$61&gt;3,1,0),if(N70-$N$61&gt;3,1,0),if(O70-$O$61&gt;3,1,0),if(P70-$P$61&gt;3,1,0),if(Q70-$Q$61&gt;3,1,0),if(R70-$R$61&gt;3,1,0),if(S70-$S$61&gt;3,1,0),if(T70-$T$61&gt;3,1,0),if(U70-$U$61&gt;3,1,0))</f>
        <v>0</v>
      </c>
      <c r="AH70" s="38">
        <f t="shared" si="20"/>
        <v>5</v>
      </c>
    </row>
    <row r="71" ht="12.75" customHeight="1">
      <c r="A71" s="32" t="str">
        <f>SETUP!A14</f>
        <v>Ray H</v>
      </c>
      <c r="B71" s="33">
        <f t="array" ref="B71">if(A71="","",index(SETUP!C:C,match(A71,SETUP!A:A,0)))</f>
        <v>23</v>
      </c>
      <c r="C71" s="17"/>
      <c r="D71" s="35">
        <f>if(Scorecards!D71="","",Scorecards!D71-IF(Scorecards!$B71&gt;0,FLOOR(Scorecards!$B71/18,1),0)-IF(AND(MOD(Scorecards!$B71,18)&gt;=Scorecards!D$60,Scorecards!$B71&gt;0),1,0)+IF(Scorecards!D$60-18&gt;Scorecards!$B71,1,0))</f>
        <v>5</v>
      </c>
      <c r="E71" s="35">
        <f>if(Scorecards!E71="","",Scorecards!E71-IF(Scorecards!$B71&gt;0,FLOOR(Scorecards!$B71/18,1),0)-IF(AND(MOD(Scorecards!$B71,18)&gt;=Scorecards!E$60,Scorecards!$B71&gt;0),1,0)+IF(Scorecards!E$60-18&gt;Scorecards!$B71,1,0))</f>
        <v>4</v>
      </c>
      <c r="F71" s="35">
        <f>if(Scorecards!F71="","",Scorecards!F71-IF(Scorecards!$B71&gt;0,FLOOR(Scorecards!$B71/18,1),0)-IF(AND(MOD(Scorecards!$B71,18)&gt;=Scorecards!F$60,Scorecards!$B71&gt;0),1,0)+IF(Scorecards!F$60-18&gt;Scorecards!$B71,1,0))</f>
        <v>3</v>
      </c>
      <c r="G71" s="35">
        <f>if(Scorecards!G71="","",Scorecards!G71-IF(Scorecards!$B71&gt;0,FLOOR(Scorecards!$B71/18,1),0)-IF(AND(MOD(Scorecards!$B71,18)&gt;=Scorecards!G$60,Scorecards!$B71&gt;0),1,0)+IF(Scorecards!G$60-18&gt;Scorecards!$B71,1,0))</f>
        <v>4</v>
      </c>
      <c r="H71" s="35">
        <f>if(Scorecards!H71="","",Scorecards!H71-IF(Scorecards!$B71&gt;0,FLOOR(Scorecards!$B71/18,1),0)-IF(AND(MOD(Scorecards!$B71,18)&gt;=Scorecards!H$60,Scorecards!$B71&gt;0),1,0)+IF(Scorecards!H$60-18&gt;Scorecards!$B71,1,0))</f>
        <v>11</v>
      </c>
      <c r="I71" s="35">
        <f>if(Scorecards!I71="","",Scorecards!I71-IF(Scorecards!$B71&gt;0,FLOOR(Scorecards!$B71/18,1),0)-IF(AND(MOD(Scorecards!$B71,18)&gt;=Scorecards!I$60,Scorecards!$B71&gt;0),1,0)+IF(Scorecards!I$60-18&gt;Scorecards!$B71,1,0))</f>
        <v>3</v>
      </c>
      <c r="J71" s="35">
        <f>if(Scorecards!J71="","",Scorecards!J71-IF(Scorecards!$B71&gt;0,FLOOR(Scorecards!$B71/18,1),0)-IF(AND(MOD(Scorecards!$B71,18)&gt;=Scorecards!J$60,Scorecards!$B71&gt;0),1,0)+IF(Scorecards!J$60-18&gt;Scorecards!$B71,1,0))</f>
        <v>4</v>
      </c>
      <c r="K71" s="35">
        <f>if(Scorecards!K71="","",Scorecards!K71-IF(Scorecards!$B71&gt;0,FLOOR(Scorecards!$B71/18,1),0)-IF(AND(MOD(Scorecards!$B71,18)&gt;=Scorecards!K$60,Scorecards!$B71&gt;0),1,0)+IF(Scorecards!K$60-18&gt;Scorecards!$B71,1,0))</f>
        <v>9</v>
      </c>
      <c r="L71" s="35">
        <f>if(Scorecards!L71="","",Scorecards!L71-IF(Scorecards!$B71&gt;0,FLOOR(Scorecards!$B71/18,1),0)-IF(AND(MOD(Scorecards!$B71,18)&gt;=Scorecards!L$60,Scorecards!$B71&gt;0),1,0)+IF(Scorecards!L$60-18&gt;Scorecards!$B71,1,0))</f>
        <v>8</v>
      </c>
      <c r="M71" s="35">
        <f>if(Scorecards!M71="","",Scorecards!M71-IF(Scorecards!$B71&gt;0,FLOOR(Scorecards!$B71/18,1),0)-IF(AND(MOD(Scorecards!$B71,18)&gt;=Scorecards!M$60,Scorecards!$B71&gt;0),1,0)+IF(Scorecards!M$60-18&gt;Scorecards!$B71,1,0))</f>
        <v>4</v>
      </c>
      <c r="N71" s="35">
        <f>if(Scorecards!N71="","",Scorecards!N71-IF(Scorecards!$B71&gt;0,FLOOR(Scorecards!$B71/18,1),0)-IF(AND(MOD(Scorecards!$B71,18)&gt;=Scorecards!N$60,Scorecards!$B71&gt;0),1,0)+IF(Scorecards!N$60-18&gt;Scorecards!$B71,1,0))</f>
        <v>6</v>
      </c>
      <c r="O71" s="35">
        <f>if(Scorecards!O71="","",Scorecards!O71-IF(Scorecards!$B71&gt;0,FLOOR(Scorecards!$B71/18,1),0)-IF(AND(MOD(Scorecards!$B71,18)&gt;=Scorecards!O$60,Scorecards!$B71&gt;0),1,0)+IF(Scorecards!O$60-18&gt;Scorecards!$B71,1,0))</f>
        <v>3</v>
      </c>
      <c r="P71" s="35">
        <f>if(Scorecards!P71="","",Scorecards!P71-IF(Scorecards!$B71&gt;0,FLOOR(Scorecards!$B71/18,1),0)-IF(AND(MOD(Scorecards!$B71,18)&gt;=Scorecards!P$60,Scorecards!$B71&gt;0),1,0)+IF(Scorecards!P$60-18&gt;Scorecards!$B71,1,0))</f>
        <v>6</v>
      </c>
      <c r="Q71" s="35">
        <f>if(Scorecards!Q71="","",Scorecards!Q71-IF(Scorecards!$B71&gt;0,FLOOR(Scorecards!$B71/18,1),0)-IF(AND(MOD(Scorecards!$B71,18)&gt;=Scorecards!Q$60,Scorecards!$B71&gt;0),1,0)+IF(Scorecards!Q$60-18&gt;Scorecards!$B71,1,0))</f>
        <v>6</v>
      </c>
      <c r="R71" s="35">
        <f>if(Scorecards!R71="","",Scorecards!R71-IF(Scorecards!$B71&gt;0,FLOOR(Scorecards!$B71/18,1),0)-IF(AND(MOD(Scorecards!$B71,18)&gt;=Scorecards!R$60,Scorecards!$B71&gt;0),1,0)+IF(Scorecards!R$60-18&gt;Scorecards!$B71,1,0))</f>
        <v>5</v>
      </c>
      <c r="S71" s="35">
        <f>if(Scorecards!S71="","",Scorecards!S71-IF(Scorecards!$B71&gt;0,FLOOR(Scorecards!$B71/18,1),0)-IF(AND(MOD(Scorecards!$B71,18)&gt;=Scorecards!S$60,Scorecards!$B71&gt;0),1,0)+IF(Scorecards!S$60-18&gt;Scorecards!$B71,1,0))</f>
        <v>6</v>
      </c>
      <c r="T71" s="35">
        <f>if(Scorecards!T71="","",Scorecards!T71-IF(Scorecards!$B71&gt;0,FLOOR(Scorecards!$B71/18,1),0)-IF(AND(MOD(Scorecards!$B71,18)&gt;=Scorecards!T$60,Scorecards!$B71&gt;0),1,0)+IF(Scorecards!T$60-18&gt;Scorecards!$B71,1,0))</f>
        <v>6</v>
      </c>
      <c r="U71" s="35">
        <f>if(Scorecards!U71="","",Scorecards!U71-IF(Scorecards!$B71&gt;0,FLOOR(Scorecards!$B71/18,1),0)-IF(AND(MOD(Scorecards!$B71,18)&gt;=Scorecards!U$60,Scorecards!$B71&gt;0),1,0)+IF(Scorecards!U$60-18&gt;Scorecards!$B71,1,0))</f>
        <v>6</v>
      </c>
      <c r="V71" s="51">
        <f t="shared" si="16"/>
        <v>51</v>
      </c>
      <c r="W71" s="51">
        <f t="shared" si="17"/>
        <v>48</v>
      </c>
      <c r="X71" s="36">
        <f t="shared" si="18"/>
        <v>99</v>
      </c>
      <c r="Y71" s="37">
        <f t="shared" si="19"/>
        <v>76</v>
      </c>
      <c r="Z71" s="38">
        <f t="array" ref="Z71">sum(if(D71-$D$61=-3,1,0),if(E71-$E$61=-3,1,0),if(F71-$F$61=-3,1,0),if(G71-$G$61=-3,1,0),if(H71-$H$61=-3,1,0),if(I71-$I$61=-3,1,0),if(J71-$J$61=-3,1,0),if(K71-$K$61=-3,1,0),if(L71-$L$61=-3,1,0),if(M71-$M$61=-3,1,0),if(N71-$N$61=-3,1,0),if(O71-$O$61=-3,1,0),if(P71-$P$61=-3,1,0),if(Q71-$Q$61=-3,1,0),if(R71-$R$61=-3,1,0),if(S71-$S$61=-3,1,0),if(T71-$T$61=-3,1,0),if(U71-$U$61=-3,1,0))</f>
        <v>0</v>
      </c>
      <c r="AA71" s="38">
        <f t="array" ref="AA71">sum(if(D71-$D$61=-2,1,0),if(E71-$E$61=-2,1,0),if(F71-$F$61=-2,1,0),if(G71-$G$61=-2,1,0),if(H71-$H$61=-2,1,0),if(I71-$I$61=-2,1,0),if(J71-$J$61=-2,1,0),if(K71-$K$61=-2,1,0),if(L71-$L$61=-2,1,0),if(M71-$M$61=-2,1,0),if(N71-$N$61=-2,1,0),if(O71-$O$61=-2,1,0),if(P71-$P$61=-2,1,0),if(Q71-$Q$61=-2,1,0),if(R71-$R$61=-2,1,0),if(S71-$S$61=-2,1,0),if(T71-$T$61=-2,1,0),if(U71-$U$61=-2,1,0))</f>
        <v>0</v>
      </c>
      <c r="AB71" s="38">
        <f t="array" ref="AB71">sum(if(D71-$D$61=-1,1,0),if(E71-$E$61=-1,1,0),if(F71-$F$61=-1,1,0),if(G71-$G$61=-1,1,0),if(H71-$H$61=-1,1,0),if(I71-$I$61=-1,1,0),if(J71-$J$61=-1,1,0),if(K71-$K$61=-1,1,0),if(L71-$L$61=-1,1,0),if(M71-$M$61=-1,1,0),if(N71-$N$61=-1,1,0),if(O71-$O$61=-1,1,0),if(P71-$P$61=-1,1,0),if(Q71-$Q$61=-1,1,0),if(R71-$R$61=-1,1,0),if(S71-$S$61=-1,1,0),if(T71-$T$61=-1,1,0),if(U71-$U$61=-1,1,0))</f>
        <v>1</v>
      </c>
      <c r="AC71" s="38">
        <f t="array" ref="AC71">sum(if(D71-$D$61=0,1,0),if(E71-$E$61=0,1,0),if(F71-$F$61=0,1,0),if(G71-$G$61=0,1,0),if(H71-$H$61=0,1,0),if(I71-$I$61=0,1,0),if(J71-$J$61=0,1,0),if(K71-$K$61=0,1,0),if(L71-$L$61=0,1,0),if(M71-$M$61=0,1,0),if(N71-$N$61=0,1,0),if(O71-$O$61=0,1,0),if(P71-$P$61=0,1,0),if(Q71-$Q$61=0,1,0),if(R71-$R$61=0,1,0),if(S71-$S$61=0,1,0),if(T71-$T$61=0,1,0),if(U71-$U$61=0,1,0))</f>
        <v>5</v>
      </c>
      <c r="AD71" s="38">
        <f t="array" ref="AD71">sum(if(D71-$D$61=1,1,0),if(E71-$E$61=1,1,0),if(F71-$F$61=1,1,0),if(G71-$G$61=1,1,0),if(H71-$H$61=1,1,0),if(I71-$I$61=1,1,0),if(J71-$J$61=1,1,0),if(K71-$K$61=1,1,0),if(L71-$L$61=1,1,0),if(M71-$M$61=1,1,0),if(N71-$N$61=1,1,0),if(O71-$O$61=1,1,0),if(P71-$P$61=1,1,0),if(Q71-$Q$61=1,1,0),if(R71-$R$61=1,1,0),if(S71-$S$61=1,1,0),if(T71-$T$61=1,1,0),if(U71-$U$61=1,1,0))</f>
        <v>5</v>
      </c>
      <c r="AE71" s="38">
        <f t="array" ref="AE71">sum(if(D71-$D$61=2,1,0),if(E71-$E$61=2,1,0),if(F71-$F$61=2,1,0),if(G71-$G$61=2,1,0),if(H71-$H$61=2,1,0),if(I71-$I$61=2,1,0),if(J71-$J$61=2,1,0),if(K71-$K$61=2,1,0),if(L71-$L$61=2,1,0),if(M71-$M$61=2,1,0),if(N71-$N$61=2,1,0),if(O71-$O$61=2,1,0),if(P71-$P$61=2,1,0),if(Q71-$Q$61=2,1,0),if(R71-$R$61=2,1,0),if(S71-$S$61=2,1,0),if(T71-$T$61=2,1,0),if(U71-$U$61=2,1,0))</f>
        <v>3</v>
      </c>
      <c r="AF71" s="38">
        <f t="array" ref="AF71">sum(if(D71-$D$61=3,1,0),if(E71-$E$61=3,1,0),if(F71-$F$61=3,1,0),if(G71-$G$61=3,1,0),if(H71-$H$61=3,1,0),if(I71-$I$61=3,1,0),if(J71-$J$61=3,1,0),if(K71-$K$61=3,1,0),if(L71-$L$61=3,1,0),if(M71-$M$61=3,1,0),if(N71-$N$61=3,1,0),if(O71-$O$61=3,1,0),if(P71-$P$61=3,1,0),if(Q71-$Q$61=3,1,0),if(R71-$R$61=3,1,0),if(S71-$S$61=3,1,0),if(T71-$T$61=3,1,0),if(U71-$U$61=3,1,0))</f>
        <v>2</v>
      </c>
      <c r="AG71" s="38">
        <f t="array" ref="AG71">sum(if(D71-$D$61&gt;3,1,0),if(E71-$E$61&gt;3,1,0),if(F71-$F$61&gt;3,1,0),if(G71-$G$61&gt;3,1,0),if(H71-$H$61&gt;3,1,0),if(I71-$I$61&gt;3,1,0),if(J71-$J$61&gt;3,1,0),if(K71-$K$61&gt;3,1,0),if(L71-$L$61&gt;3,1,0),if(M71-$M$61&gt;3,1,0),if(N71-$N$61&gt;3,1,0),if(O71-$O$61&gt;3,1,0),if(P71-$P$61&gt;3,1,0),if(Q71-$Q$61&gt;3,1,0),if(R71-$R$61&gt;3,1,0),if(S71-$S$61&gt;3,1,0),if(T71-$T$61&gt;3,1,0),if(U71-$U$61&gt;3,1,0))</f>
        <v>2</v>
      </c>
      <c r="AH71" s="38">
        <f t="shared" si="20"/>
        <v>18</v>
      </c>
    </row>
    <row r="72" ht="12.75" customHeight="1">
      <c r="A72" s="32" t="str">
        <f>SETUP!A15</f>
        <v>Russ W</v>
      </c>
      <c r="B72" s="33">
        <f t="array" ref="B72">if(A72="","",index(SETUP!C:C,match(A72,SETUP!A:A,0)))</f>
        <v>17</v>
      </c>
      <c r="C72" s="50"/>
      <c r="D72" s="35">
        <f>if(Scorecards!D72="","",Scorecards!D72-IF(Scorecards!$B72&gt;0,FLOOR(Scorecards!$B72/18,1),0)-IF(AND(MOD(Scorecards!$B72,18)&gt;=Scorecards!D$60,Scorecards!$B72&gt;0),1,0)+IF(Scorecards!D$60-18&gt;Scorecards!$B72,1,0))</f>
        <v>5</v>
      </c>
      <c r="E72" s="35">
        <f>if(Scorecards!E72="","",Scorecards!E72-IF(Scorecards!$B72&gt;0,FLOOR(Scorecards!$B72/18,1),0)-IF(AND(MOD(Scorecards!$B72,18)&gt;=Scorecards!E$60,Scorecards!$B72&gt;0),1,0)+IF(Scorecards!E$60-18&gt;Scorecards!$B72,1,0))</f>
        <v>4</v>
      </c>
      <c r="F72" s="35">
        <f>if(Scorecards!F72="","",Scorecards!F72-IF(Scorecards!$B72&gt;0,FLOOR(Scorecards!$B72/18,1),0)-IF(AND(MOD(Scorecards!$B72,18)&gt;=Scorecards!F$60,Scorecards!$B72&gt;0),1,0)+IF(Scorecards!F$60-18&gt;Scorecards!$B72,1,0))</f>
        <v>3</v>
      </c>
      <c r="G72" s="35">
        <f>if(Scorecards!G72="","",Scorecards!G72-IF(Scorecards!$B72&gt;0,FLOOR(Scorecards!$B72/18,1),0)-IF(AND(MOD(Scorecards!$B72,18)&gt;=Scorecards!G$60,Scorecards!$B72&gt;0),1,0)+IF(Scorecards!G$60-18&gt;Scorecards!$B72,1,0))</f>
        <v>4</v>
      </c>
      <c r="H72" s="35">
        <f>if(Scorecards!H72="","",Scorecards!H72-IF(Scorecards!$B72&gt;0,FLOOR(Scorecards!$B72/18,1),0)-IF(AND(MOD(Scorecards!$B72,18)&gt;=Scorecards!H$60,Scorecards!$B72&gt;0),1,0)+IF(Scorecards!H$60-18&gt;Scorecards!$B72,1,0))</f>
        <v>3</v>
      </c>
      <c r="I72" s="35">
        <f>if(Scorecards!I72="","",Scorecards!I72-IF(Scorecards!$B72&gt;0,FLOOR(Scorecards!$B72/18,1),0)-IF(AND(MOD(Scorecards!$B72,18)&gt;=Scorecards!I$60,Scorecards!$B72&gt;0),1,0)+IF(Scorecards!I$60-18&gt;Scorecards!$B72,1,0))</f>
        <v>3</v>
      </c>
      <c r="J72" s="35">
        <f>if(Scorecards!J72="","",Scorecards!J72-IF(Scorecards!$B72&gt;0,FLOOR(Scorecards!$B72/18,1),0)-IF(AND(MOD(Scorecards!$B72,18)&gt;=Scorecards!J$60,Scorecards!$B72&gt;0),1,0)+IF(Scorecards!J$60-18&gt;Scorecards!$B72,1,0))</f>
        <v>5</v>
      </c>
      <c r="K72" s="35">
        <f>if(Scorecards!K72="","",Scorecards!K72-IF(Scorecards!$B72&gt;0,FLOOR(Scorecards!$B72/18,1),0)-IF(AND(MOD(Scorecards!$B72,18)&gt;=Scorecards!K$60,Scorecards!$B72&gt;0),1,0)+IF(Scorecards!K$60-18&gt;Scorecards!$B72,1,0))</f>
        <v>4</v>
      </c>
      <c r="L72" s="35">
        <f>if(Scorecards!L72="","",Scorecards!L72-IF(Scorecards!$B72&gt;0,FLOOR(Scorecards!$B72/18,1),0)-IF(AND(MOD(Scorecards!$B72,18)&gt;=Scorecards!L$60,Scorecards!$B72&gt;0),1,0)+IF(Scorecards!L$60-18&gt;Scorecards!$B72,1,0))</f>
        <v>6</v>
      </c>
      <c r="M72" s="35">
        <f>if(Scorecards!M72="","",Scorecards!M72-IF(Scorecards!$B72&gt;0,FLOOR(Scorecards!$B72/18,1),0)-IF(AND(MOD(Scorecards!$B72,18)&gt;=Scorecards!M$60,Scorecards!$B72&gt;0),1,0)+IF(Scorecards!M$60-18&gt;Scorecards!$B72,1,0))</f>
        <v>5</v>
      </c>
      <c r="N72" s="35">
        <f>if(Scorecards!N72="","",Scorecards!N72-IF(Scorecards!$B72&gt;0,FLOOR(Scorecards!$B72/18,1),0)-IF(AND(MOD(Scorecards!$B72,18)&gt;=Scorecards!N$60,Scorecards!$B72&gt;0),1,0)+IF(Scorecards!N$60-18&gt;Scorecards!$B72,1,0))</f>
        <v>4</v>
      </c>
      <c r="O72" s="35">
        <f>if(Scorecards!O72="","",Scorecards!O72-IF(Scorecards!$B72&gt;0,FLOOR(Scorecards!$B72/18,1),0)-IF(AND(MOD(Scorecards!$B72,18)&gt;=Scorecards!O$60,Scorecards!$B72&gt;0),1,0)+IF(Scorecards!O$60-18&gt;Scorecards!$B72,1,0))</f>
        <v>1</v>
      </c>
      <c r="P72" s="35">
        <f>if(Scorecards!P72="","",Scorecards!P72-IF(Scorecards!$B72&gt;0,FLOOR(Scorecards!$B72/18,1),0)-IF(AND(MOD(Scorecards!$B72,18)&gt;=Scorecards!P$60,Scorecards!$B72&gt;0),1,0)+IF(Scorecards!P$60-18&gt;Scorecards!$B72,1,0))</f>
        <v>5</v>
      </c>
      <c r="Q72" s="35">
        <f>if(Scorecards!Q72="","",Scorecards!Q72-IF(Scorecards!$B72&gt;0,FLOOR(Scorecards!$B72/18,1),0)-IF(AND(MOD(Scorecards!$B72,18)&gt;=Scorecards!Q$60,Scorecards!$B72&gt;0),1,0)+IF(Scorecards!Q$60-18&gt;Scorecards!$B72,1,0))</f>
        <v>5</v>
      </c>
      <c r="R72" s="35">
        <f>if(Scorecards!R72="","",Scorecards!R72-IF(Scorecards!$B72&gt;0,FLOOR(Scorecards!$B72/18,1),0)-IF(AND(MOD(Scorecards!$B72,18)&gt;=Scorecards!R$60,Scorecards!$B72&gt;0),1,0)+IF(Scorecards!R$60-18&gt;Scorecards!$B72,1,0))</f>
        <v>4</v>
      </c>
      <c r="S72" s="35">
        <f>if(Scorecards!S72="","",Scorecards!S72-IF(Scorecards!$B72&gt;0,FLOOR(Scorecards!$B72/18,1),0)-IF(AND(MOD(Scorecards!$B72,18)&gt;=Scorecards!S$60,Scorecards!$B72&gt;0),1,0)+IF(Scorecards!S$60-18&gt;Scorecards!$B72,1,0))</f>
        <v>5</v>
      </c>
      <c r="T72" s="35">
        <f>if(Scorecards!T72="","",Scorecards!T72-IF(Scorecards!$B72&gt;0,FLOOR(Scorecards!$B72/18,1),0)-IF(AND(MOD(Scorecards!$B72,18)&gt;=Scorecards!T$60,Scorecards!$B72&gt;0),1,0)+IF(Scorecards!T$60-18&gt;Scorecards!$B72,1,0))</f>
        <v>5</v>
      </c>
      <c r="U72" s="35">
        <f>if(Scorecards!U72="","",Scorecards!U72-IF(Scorecards!$B72&gt;0,FLOOR(Scorecards!$B72/18,1),0)-IF(AND(MOD(Scorecards!$B72,18)&gt;=Scorecards!U$60,Scorecards!$B72&gt;0),1,0)+IF(Scorecards!U$60-18&gt;Scorecards!$B72,1,0))</f>
        <v>6</v>
      </c>
      <c r="V72" s="51">
        <f t="shared" si="16"/>
        <v>37</v>
      </c>
      <c r="W72" s="51">
        <f t="shared" si="17"/>
        <v>40</v>
      </c>
      <c r="X72" s="36">
        <f t="shared" si="18"/>
        <v>77</v>
      </c>
      <c r="Y72" s="37">
        <f t="shared" si="19"/>
        <v>60</v>
      </c>
      <c r="Z72" s="38">
        <f t="array" ref="Z72">sum(if(D72-$D$61=-3,1,0),if(E72-$E$61=-3,1,0),if(F72-$F$61=-3,1,0),if(G72-$G$61=-3,1,0),if(H72-$H$61=-3,1,0),if(I72-$I$61=-3,1,0),if(J72-$J$61=-3,1,0),if(K72-$K$61=-3,1,0),if(L72-$L$61=-3,1,0),if(M72-$M$61=-3,1,0),if(N72-$N$61=-3,1,0),if(O72-$O$61=-3,1,0),if(P72-$P$61=-3,1,0),if(Q72-$Q$61=-3,1,0),if(R72-$R$61=-3,1,0),if(S72-$S$61=-3,1,0),if(T72-$T$61=-3,1,0),if(U72-$U$61=-3,1,0))</f>
        <v>0</v>
      </c>
      <c r="AA72" s="38">
        <f t="array" ref="AA72">sum(if(D72-$D$61=-2,1,0),if(E72-$E$61=-2,1,0),if(F72-$F$61=-2,1,0),if(G72-$G$61=-2,1,0),if(H72-$H$61=-2,1,0),if(I72-$I$61=-2,1,0),if(J72-$J$61=-2,1,0),if(K72-$K$61=-2,1,0),if(L72-$L$61=-2,1,0),if(M72-$M$61=-2,1,0),if(N72-$N$61=-2,1,0),if(O72-$O$61=-2,1,0),if(P72-$P$61=-2,1,0),if(Q72-$Q$61=-2,1,0),if(R72-$R$61=-2,1,0),if(S72-$S$61=-2,1,0),if(T72-$T$61=-2,1,0),if(U72-$U$61=-2,1,0))</f>
        <v>2</v>
      </c>
      <c r="AB72" s="38">
        <f t="array" ref="AB72">sum(if(D72-$D$61=-1,1,0),if(E72-$E$61=-1,1,0),if(F72-$F$61=-1,1,0),if(G72-$G$61=-1,1,0),if(H72-$H$61=-1,1,0),if(I72-$I$61=-1,1,0),if(J72-$J$61=-1,1,0),if(K72-$K$61=-1,1,0),if(L72-$L$61=-1,1,0),if(M72-$M$61=-1,1,0),if(N72-$N$61=-1,1,0),if(O72-$O$61=-1,1,0),if(P72-$P$61=-1,1,0),if(Q72-$Q$61=-1,1,0),if(R72-$R$61=-1,1,0),if(S72-$S$61=-1,1,0),if(T72-$T$61=-1,1,0),if(U72-$U$61=-1,1,0))</f>
        <v>2</v>
      </c>
      <c r="AC72" s="38">
        <f t="array" ref="AC72">sum(if(D72-$D$61=0,1,0),if(E72-$E$61=0,1,0),if(F72-$F$61=0,1,0),if(G72-$G$61=0,1,0),if(H72-$H$61=0,1,0),if(I72-$I$61=0,1,0),if(J72-$J$61=0,1,0),if(K72-$K$61=0,1,0),if(L72-$L$61=0,1,0),if(M72-$M$61=0,1,0),if(N72-$N$61=0,1,0),if(O72-$O$61=0,1,0),if(P72-$P$61=0,1,0),if(Q72-$Q$61=0,1,0),if(R72-$R$61=0,1,0),if(S72-$S$61=0,1,0),if(T72-$T$61=0,1,0),if(U72-$U$61=0,1,0))</f>
        <v>5</v>
      </c>
      <c r="AD72" s="38">
        <f t="array" ref="AD72">sum(if(D72-$D$61=1,1,0),if(E72-$E$61=1,1,0),if(F72-$F$61=1,1,0),if(G72-$G$61=1,1,0),if(H72-$H$61=1,1,0),if(I72-$I$61=1,1,0),if(J72-$J$61=1,1,0),if(K72-$K$61=1,1,0),if(L72-$L$61=1,1,0),if(M72-$M$61=1,1,0),if(N72-$N$61=1,1,0),if(O72-$O$61=1,1,0),if(P72-$P$61=1,1,0),if(Q72-$Q$61=1,1,0),if(R72-$R$61=1,1,0),if(S72-$S$61=1,1,0),if(T72-$T$61=1,1,0),if(U72-$U$61=1,1,0))</f>
        <v>7</v>
      </c>
      <c r="AE72" s="38">
        <f t="array" ref="AE72">sum(if(D72-$D$61=2,1,0),if(E72-$E$61=2,1,0),if(F72-$F$61=2,1,0),if(G72-$G$61=2,1,0),if(H72-$H$61=2,1,0),if(I72-$I$61=2,1,0),if(J72-$J$61=2,1,0),if(K72-$K$61=2,1,0),if(L72-$L$61=2,1,0),if(M72-$M$61=2,1,0),if(N72-$N$61=2,1,0),if(O72-$O$61=2,1,0),if(P72-$P$61=2,1,0),if(Q72-$Q$61=2,1,0),if(R72-$R$61=2,1,0),if(S72-$S$61=2,1,0),if(T72-$T$61=2,1,0),if(U72-$U$61=2,1,0))</f>
        <v>2</v>
      </c>
      <c r="AF72" s="38">
        <f t="array" ref="AF72">sum(if(D72-$D$61=3,1,0),if(E72-$E$61=3,1,0),if(F72-$F$61=3,1,0),if(G72-$G$61=3,1,0),if(H72-$H$61=3,1,0),if(I72-$I$61=3,1,0),if(J72-$J$61=3,1,0),if(K72-$K$61=3,1,0),if(L72-$L$61=3,1,0),if(M72-$M$61=3,1,0),if(N72-$N$61=3,1,0),if(O72-$O$61=3,1,0),if(P72-$P$61=3,1,0),if(Q72-$Q$61=3,1,0),if(R72-$R$61=3,1,0),if(S72-$S$61=3,1,0),if(T72-$T$61=3,1,0),if(U72-$U$61=3,1,0))</f>
        <v>0</v>
      </c>
      <c r="AG72" s="38">
        <f t="array" ref="AG72">sum(if(D72-$D$61&gt;3,1,0),if(E72-$E$61&gt;3,1,0),if(F72-$F$61&gt;3,1,0),if(G72-$G$61&gt;3,1,0),if(H72-$H$61&gt;3,1,0),if(I72-$I$61&gt;3,1,0),if(J72-$J$61&gt;3,1,0),if(K72-$K$61&gt;3,1,0),if(L72-$L$61&gt;3,1,0),if(M72-$M$61&gt;3,1,0),if(N72-$N$61&gt;3,1,0),if(O72-$O$61&gt;3,1,0),if(P72-$P$61&gt;3,1,0),if(Q72-$Q$61&gt;3,1,0),if(R72-$R$61&gt;3,1,0),if(S72-$S$61&gt;3,1,0),if(T72-$T$61&gt;3,1,0),if(U72-$U$61&gt;3,1,0))</f>
        <v>0</v>
      </c>
      <c r="AH72" s="38">
        <f t="shared" si="20"/>
        <v>18</v>
      </c>
    </row>
    <row r="73" ht="12.75" customHeight="1">
      <c r="A73" s="32" t="str">
        <f>SETUP!A16</f>
        <v>Scott R</v>
      </c>
      <c r="B73" s="33">
        <f t="array" ref="B73">if(A73="","",index(SETUP!C:C,match(A73,SETUP!A:A,0)))</f>
        <v>10</v>
      </c>
      <c r="C73" s="50"/>
      <c r="D73" s="35">
        <f>if(Scorecards!D73="","",Scorecards!D73-IF(Scorecards!$B73&gt;0,FLOOR(Scorecards!$B73/18,1),0)-IF(AND(MOD(Scorecards!$B73,18)&gt;=Scorecards!D$60,Scorecards!$B73&gt;0),1,0)+IF(Scorecards!D$60-18&gt;Scorecards!$B73,1,0))</f>
        <v>4</v>
      </c>
      <c r="E73" s="35">
        <f>if(Scorecards!E73="","",Scorecards!E73-IF(Scorecards!$B73&gt;0,FLOOR(Scorecards!$B73/18,1),0)-IF(AND(MOD(Scorecards!$B73,18)&gt;=Scorecards!E$60,Scorecards!$B73&gt;0),1,0)+IF(Scorecards!E$60-18&gt;Scorecards!$B73,1,0))</f>
        <v>7</v>
      </c>
      <c r="F73" s="35">
        <f>if(Scorecards!F73="","",Scorecards!F73-IF(Scorecards!$B73&gt;0,FLOOR(Scorecards!$B73/18,1),0)-IF(AND(MOD(Scorecards!$B73,18)&gt;=Scorecards!F$60,Scorecards!$B73&gt;0),1,0)+IF(Scorecards!F$60-18&gt;Scorecards!$B73,1,0))</f>
        <v>4</v>
      </c>
      <c r="G73" s="35">
        <f>if(Scorecards!G73="","",Scorecards!G73-IF(Scorecards!$B73&gt;0,FLOOR(Scorecards!$B73/18,1),0)-IF(AND(MOD(Scorecards!$B73,18)&gt;=Scorecards!G$60,Scorecards!$B73&gt;0),1,0)+IF(Scorecards!G$60-18&gt;Scorecards!$B73,1,0))</f>
        <v>4</v>
      </c>
      <c r="H73" s="35">
        <f>if(Scorecards!H73="","",Scorecards!H73-IF(Scorecards!$B73&gt;0,FLOOR(Scorecards!$B73/18,1),0)-IF(AND(MOD(Scorecards!$B73,18)&gt;=Scorecards!H$60,Scorecards!$B73&gt;0),1,0)+IF(Scorecards!H$60-18&gt;Scorecards!$B73,1,0))</f>
        <v>4</v>
      </c>
      <c r="I73" s="35">
        <f>if(Scorecards!I73="","",Scorecards!I73-IF(Scorecards!$B73&gt;0,FLOOR(Scorecards!$B73/18,1),0)-IF(AND(MOD(Scorecards!$B73,18)&gt;=Scorecards!I$60,Scorecards!$B73&gt;0),1,0)+IF(Scorecards!I$60-18&gt;Scorecards!$B73,1,0))</f>
        <v>3</v>
      </c>
      <c r="J73" s="35">
        <f>if(Scorecards!J73="","",Scorecards!J73-IF(Scorecards!$B73&gt;0,FLOOR(Scorecards!$B73/18,1),0)-IF(AND(MOD(Scorecards!$B73,18)&gt;=Scorecards!J$60,Scorecards!$B73&gt;0),1,0)+IF(Scorecards!J$60-18&gt;Scorecards!$B73,1,0))</f>
        <v>3</v>
      </c>
      <c r="K73" s="35">
        <f>if(Scorecards!K73="","",Scorecards!K73-IF(Scorecards!$B73&gt;0,FLOOR(Scorecards!$B73/18,1),0)-IF(AND(MOD(Scorecards!$B73,18)&gt;=Scorecards!K$60,Scorecards!$B73&gt;0),1,0)+IF(Scorecards!K$60-18&gt;Scorecards!$B73,1,0))</f>
        <v>5</v>
      </c>
      <c r="L73" s="35">
        <f>if(Scorecards!L73="","",Scorecards!L73-IF(Scorecards!$B73&gt;0,FLOOR(Scorecards!$B73/18,1),0)-IF(AND(MOD(Scorecards!$B73,18)&gt;=Scorecards!L$60,Scorecards!$B73&gt;0),1,0)+IF(Scorecards!L$60-18&gt;Scorecards!$B73,1,0))</f>
        <v>5</v>
      </c>
      <c r="M73" s="35">
        <f>if(Scorecards!M73="","",Scorecards!M73-IF(Scorecards!$B73&gt;0,FLOOR(Scorecards!$B73/18,1),0)-IF(AND(MOD(Scorecards!$B73,18)&gt;=Scorecards!M$60,Scorecards!$B73&gt;0),1,0)+IF(Scorecards!M$60-18&gt;Scorecards!$B73,1,0))</f>
        <v>3</v>
      </c>
      <c r="N73" s="35">
        <f>if(Scorecards!N73="","",Scorecards!N73-IF(Scorecards!$B73&gt;0,FLOOR(Scorecards!$B73/18,1),0)-IF(AND(MOD(Scorecards!$B73,18)&gt;=Scorecards!N$60,Scorecards!$B73&gt;0),1,0)+IF(Scorecards!N$60-18&gt;Scorecards!$B73,1,0))</f>
        <v>5</v>
      </c>
      <c r="O73" s="35">
        <f>if(Scorecards!O73="","",Scorecards!O73-IF(Scorecards!$B73&gt;0,FLOOR(Scorecards!$B73/18,1),0)-IF(AND(MOD(Scorecards!$B73,18)&gt;=Scorecards!O$60,Scorecards!$B73&gt;0),1,0)+IF(Scorecards!O$60-18&gt;Scorecards!$B73,1,0))</f>
        <v>3</v>
      </c>
      <c r="P73" s="35">
        <f>if(Scorecards!P73="","",Scorecards!P73-IF(Scorecards!$B73&gt;0,FLOOR(Scorecards!$B73/18,1),0)-IF(AND(MOD(Scorecards!$B73,18)&gt;=Scorecards!P$60,Scorecards!$B73&gt;0),1,0)+IF(Scorecards!P$60-18&gt;Scorecards!$B73,1,0))</f>
        <v>3</v>
      </c>
      <c r="Q73" s="35">
        <f>if(Scorecards!Q73="","",Scorecards!Q73-IF(Scorecards!$B73&gt;0,FLOOR(Scorecards!$B73/18,1),0)-IF(AND(MOD(Scorecards!$B73,18)&gt;=Scorecards!Q$60,Scorecards!$B73&gt;0),1,0)+IF(Scorecards!Q$60-18&gt;Scorecards!$B73,1,0))</f>
        <v>5</v>
      </c>
      <c r="R73" s="35">
        <f>if(Scorecards!R73="","",Scorecards!R73-IF(Scorecards!$B73&gt;0,FLOOR(Scorecards!$B73/18,1),0)-IF(AND(MOD(Scorecards!$B73,18)&gt;=Scorecards!R$60,Scorecards!$B73&gt;0),1,0)+IF(Scorecards!R$60-18&gt;Scorecards!$B73,1,0))</f>
        <v>4</v>
      </c>
      <c r="S73" s="35">
        <f>if(Scorecards!S73="","",Scorecards!S73-IF(Scorecards!$B73&gt;0,FLOOR(Scorecards!$B73/18,1),0)-IF(AND(MOD(Scorecards!$B73,18)&gt;=Scorecards!S$60,Scorecards!$B73&gt;0),1,0)+IF(Scorecards!S$60-18&gt;Scorecards!$B73,1,0))</f>
        <v>6</v>
      </c>
      <c r="T73" s="35">
        <f>if(Scorecards!T73="","",Scorecards!T73-IF(Scorecards!$B73&gt;0,FLOOR(Scorecards!$B73/18,1),0)-IF(AND(MOD(Scorecards!$B73,18)&gt;=Scorecards!T$60,Scorecards!$B73&gt;0),1,0)+IF(Scorecards!T$60-18&gt;Scorecards!$B73,1,0))</f>
        <v>4</v>
      </c>
      <c r="U73" s="35">
        <f>if(Scorecards!U73="","",Scorecards!U73-IF(Scorecards!$B73&gt;0,FLOOR(Scorecards!$B73/18,1),0)-IF(AND(MOD(Scorecards!$B73,18)&gt;=Scorecards!U$60,Scorecards!$B73&gt;0),1,0)+IF(Scorecards!U$60-18&gt;Scorecards!$B73,1,0))</f>
        <v>4</v>
      </c>
      <c r="V73" s="51">
        <f t="shared" si="16"/>
        <v>39</v>
      </c>
      <c r="W73" s="51">
        <f t="shared" si="17"/>
        <v>37</v>
      </c>
      <c r="X73" s="36">
        <f t="shared" si="18"/>
        <v>76</v>
      </c>
      <c r="Y73" s="37">
        <f t="shared" si="19"/>
        <v>66</v>
      </c>
      <c r="Z73" s="38">
        <f t="array" ref="Z73">sum(if(D73-$D$61=-3,1,0),if(E73-$E$61=-3,1,0),if(F73-$F$61=-3,1,0),if(G73-$G$61=-3,1,0),if(H73-$H$61=-3,1,0),if(I73-$I$61=-3,1,0),if(J73-$J$61=-3,1,0),if(K73-$K$61=-3,1,0),if(L73-$L$61=-3,1,0),if(M73-$M$61=-3,1,0),if(N73-$N$61=-3,1,0),if(O73-$O$61=-3,1,0),if(P73-$P$61=-3,1,0),if(Q73-$Q$61=-3,1,0),if(R73-$R$61=-3,1,0),if(S73-$S$61=-3,1,0),if(T73-$T$61=-3,1,0),if(U73-$U$61=-3,1,0))</f>
        <v>0</v>
      </c>
      <c r="AA73" s="38">
        <f t="array" ref="AA73">sum(if(D73-$D$61=-2,1,0),if(E73-$E$61=-2,1,0),if(F73-$F$61=-2,1,0),if(G73-$G$61=-2,1,0),if(H73-$H$61=-2,1,0),if(I73-$I$61=-2,1,0),if(J73-$J$61=-2,1,0),if(K73-$K$61=-2,1,0),if(L73-$L$61=-2,1,0),if(M73-$M$61=-2,1,0),if(N73-$N$61=-2,1,0),if(O73-$O$61=-2,1,0),if(P73-$P$61=-2,1,0),if(Q73-$Q$61=-2,1,0),if(R73-$R$61=-2,1,0),if(S73-$S$61=-2,1,0),if(T73-$T$61=-2,1,0),if(U73-$U$61=-2,1,0))</f>
        <v>0</v>
      </c>
      <c r="AB73" s="38">
        <f t="array" ref="AB73">sum(if(D73-$D$61=-1,1,0),if(E73-$E$61=-1,1,0),if(F73-$F$61=-1,1,0),if(G73-$G$61=-1,1,0),if(H73-$H$61=-1,1,0),if(I73-$I$61=-1,1,0),if(J73-$J$61=-1,1,0),if(K73-$K$61=-1,1,0),if(L73-$L$61=-1,1,0),if(M73-$M$61=-1,1,0),if(N73-$N$61=-1,1,0),if(O73-$O$61=-1,1,0),if(P73-$P$61=-1,1,0),if(Q73-$Q$61=-1,1,0),if(R73-$R$61=-1,1,0),if(S73-$S$61=-1,1,0),if(T73-$T$61=-1,1,0),if(U73-$U$61=-1,1,0))</f>
        <v>4</v>
      </c>
      <c r="AC73" s="38">
        <f t="array" ref="AC73">sum(if(D73-$D$61=0,1,0),if(E73-$E$61=0,1,0),if(F73-$F$61=0,1,0),if(G73-$G$61=0,1,0),if(H73-$H$61=0,1,0),if(I73-$I$61=0,1,0),if(J73-$J$61=0,1,0),if(K73-$K$61=0,1,0),if(L73-$L$61=0,1,0),if(M73-$M$61=0,1,0),if(N73-$N$61=0,1,0),if(O73-$O$61=0,1,0),if(P73-$P$61=0,1,0),if(Q73-$Q$61=0,1,0),if(R73-$R$61=0,1,0),if(S73-$S$61=0,1,0),if(T73-$T$61=0,1,0),if(U73-$U$61=0,1,0))</f>
        <v>8</v>
      </c>
      <c r="AD73" s="38">
        <f t="array" ref="AD73">sum(if(D73-$D$61=1,1,0),if(E73-$E$61=1,1,0),if(F73-$F$61=1,1,0),if(G73-$G$61=1,1,0),if(H73-$H$61=1,1,0),if(I73-$I$61=1,1,0),if(J73-$J$61=1,1,0),if(K73-$K$61=1,1,0),if(L73-$L$61=1,1,0),if(M73-$M$61=1,1,0),if(N73-$N$61=1,1,0),if(O73-$O$61=1,1,0),if(P73-$P$61=1,1,0),if(Q73-$Q$61=1,1,0),if(R73-$R$61=1,1,0),if(S73-$S$61=1,1,0),if(T73-$T$61=1,1,0),if(U73-$U$61=1,1,0))</f>
        <v>4</v>
      </c>
      <c r="AE73" s="38">
        <f t="array" ref="AE73">sum(if(D73-$D$61=2,1,0),if(E73-$E$61=2,1,0),if(F73-$F$61=2,1,0),if(G73-$G$61=2,1,0),if(H73-$H$61=2,1,0),if(I73-$I$61=2,1,0),if(J73-$J$61=2,1,0),if(K73-$K$61=2,1,0),if(L73-$L$61=2,1,0),if(M73-$M$61=2,1,0),if(N73-$N$61=2,1,0),if(O73-$O$61=2,1,0),if(P73-$P$61=2,1,0),if(Q73-$Q$61=2,1,0),if(R73-$R$61=2,1,0),if(S73-$S$61=2,1,0),if(T73-$T$61=2,1,0),if(U73-$U$61=2,1,0))</f>
        <v>2</v>
      </c>
      <c r="AF73" s="38">
        <f t="array" ref="AF73">sum(if(D73-$D$61=3,1,0),if(E73-$E$61=3,1,0),if(F73-$F$61=3,1,0),if(G73-$G$61=3,1,0),if(H73-$H$61=3,1,0),if(I73-$I$61=3,1,0),if(J73-$J$61=3,1,0),if(K73-$K$61=3,1,0),if(L73-$L$61=3,1,0),if(M73-$M$61=3,1,0),if(N73-$N$61=3,1,0),if(O73-$O$61=3,1,0),if(P73-$P$61=3,1,0),if(Q73-$Q$61=3,1,0),if(R73-$R$61=3,1,0),if(S73-$S$61=3,1,0),if(T73-$T$61=3,1,0),if(U73-$U$61=3,1,0))</f>
        <v>0</v>
      </c>
      <c r="AG73" s="38">
        <f t="array" ref="AG73">sum(if(D73-$D$61&gt;3,1,0),if(E73-$E$61&gt;3,1,0),if(F73-$F$61&gt;3,1,0),if(G73-$G$61&gt;3,1,0),if(H73-$H$61&gt;3,1,0),if(I73-$I$61&gt;3,1,0),if(J73-$J$61&gt;3,1,0),if(K73-$K$61&gt;3,1,0),if(L73-$L$61&gt;3,1,0),if(M73-$M$61&gt;3,1,0),if(N73-$N$61&gt;3,1,0),if(O73-$O$61&gt;3,1,0),if(P73-$P$61&gt;3,1,0),if(Q73-$Q$61&gt;3,1,0),if(R73-$R$61&gt;3,1,0),if(S73-$S$61&gt;3,1,0),if(T73-$T$61&gt;3,1,0),if(U73-$U$61&gt;3,1,0))</f>
        <v>0</v>
      </c>
      <c r="AH73" s="38">
        <f t="shared" si="20"/>
        <v>18</v>
      </c>
    </row>
    <row r="74" ht="12.0" customHeight="1">
      <c r="A74" s="10"/>
      <c r="B74" s="11"/>
      <c r="C74" s="41"/>
      <c r="D74" s="42" t="str">
        <f t="array" ref="D74">IF(SUM(IF(IF('Betting SETUP'!$D$5:$D$16="Y", D62:D73, 10)=MIN(IF('Betting SETUP'!$D$5:$D$16="Y", D62:D73, 10)), 1, 0)) &gt; 1, "", INDEX('Betting SETUP'!$A$5:$A$16,MATCH(MIN(IF('Betting SETUP'!$D$5:$D$16="Y",D62:D73,10)),IF('Betting SETUP'!$D$5:$D$16="Y",D62:D73,10),0)))</f>
        <v>Joe S</v>
      </c>
      <c r="E74" s="42" t="str">
        <f t="array" ref="E74">IF(SUM(IF(IF('Betting SETUP'!$D$5:$D$16="Y", E62:E73, 10)=MIN(IF('Betting SETUP'!$D$5:$D$16="Y", E62:E73, 10)), 1, 0)) &gt; 1, "", INDEX('Betting SETUP'!$A$5:$A$16,MATCH(MIN(IF('Betting SETUP'!$D$5:$D$16="Y",E62:E73,10)),IF('Betting SETUP'!$D$5:$D$16="Y",E62:E73,10),0)))</f>
        <v/>
      </c>
      <c r="F74" s="42" t="str">
        <f t="array" ref="F74">IF(SUM(IF(IF('Betting SETUP'!$D$5:$D$16="Y", F62:F73, 10)=MIN(IF('Betting SETUP'!$D$5:$D$16="Y", F62:F73, 10)), 1, 0)) &gt; 1, "", INDEX('Betting SETUP'!$A$5:$A$16,MATCH(MIN(IF('Betting SETUP'!$D$5:$D$16="Y",F62:F73,10)),IF('Betting SETUP'!$D$5:$D$16="Y",F62:F73,10),0)))</f>
        <v>Eric O</v>
      </c>
      <c r="G74" s="42" t="str">
        <f t="array" ref="G74">IF(SUM(IF(IF('Betting SETUP'!$D$5:$D$16="Y", G62:G73, 10)=MIN(IF('Betting SETUP'!$D$5:$D$16="Y", G62:G73, 10)), 1, 0)) &gt; 1, "", INDEX('Betting SETUP'!$A$5:$A$16,MATCH(MIN(IF('Betting SETUP'!$D$5:$D$16="Y",G62:G73,10)),IF('Betting SETUP'!$D$5:$D$16="Y",G62:G73,10),0)))</f>
        <v/>
      </c>
      <c r="H74" s="42" t="str">
        <f t="array" ref="H74">IF(SUM(IF(IF('Betting SETUP'!$D$5:$D$16="Y", H62:H73, 10)=MIN(IF('Betting SETUP'!$D$5:$D$16="Y", H62:H73, 10)), 1, 0)) &gt; 1, "", INDEX('Betting SETUP'!$A$5:$A$16,MATCH(MIN(IF('Betting SETUP'!$D$5:$D$16="Y",H62:H73,10)),IF('Betting SETUP'!$D$5:$D$16="Y",H62:H73,10),0)))</f>
        <v>Russ W</v>
      </c>
      <c r="I74" s="42" t="str">
        <f t="array" ref="I74">IF(SUM(IF(IF('Betting SETUP'!$D$5:$D$16="Y", I62:I73, 10)=MIN(IF('Betting SETUP'!$D$5:$D$16="Y", I62:I73, 10)), 1, 0)) &gt; 1, "", INDEX('Betting SETUP'!$A$5:$A$16,MATCH(MIN(IF('Betting SETUP'!$D$5:$D$16="Y",I62:I73,10)),IF('Betting SETUP'!$D$5:$D$16="Y",I62:I73,10),0)))</f>
        <v/>
      </c>
      <c r="J74" s="42" t="str">
        <f t="array" ref="J74">IF(SUM(IF(IF('Betting SETUP'!$D$5:$D$16="Y", J62:J73, 10)=MIN(IF('Betting SETUP'!$D$5:$D$16="Y", J62:J73, 10)), 1, 0)) &gt; 1, "", INDEX('Betting SETUP'!$A$5:$A$16,MATCH(MIN(IF('Betting SETUP'!$D$5:$D$16="Y",J62:J73,10)),IF('Betting SETUP'!$D$5:$D$16="Y",J62:J73,10),0)))</f>
        <v>Scott R</v>
      </c>
      <c r="K74" s="42" t="str">
        <f t="array" ref="K74">IF(SUM(IF(IF('Betting SETUP'!$D$5:$D$16="Y", K62:K73, 10)=MIN(IF('Betting SETUP'!$D$5:$D$16="Y", K62:K73, 10)), 1, 0)) &gt; 1, "", INDEX('Betting SETUP'!$A$5:$A$16,MATCH(MIN(IF('Betting SETUP'!$D$5:$D$16="Y",K62:K73,10)),IF('Betting SETUP'!$D$5:$D$16="Y",K62:K73,10),0)))</f>
        <v/>
      </c>
      <c r="L74" s="42" t="str">
        <f t="array" ref="L74">IF(SUM(IF(IF('Betting SETUP'!$D$5:$D$16="Y", L62:L73, 10)=MIN(IF('Betting SETUP'!$D$5:$D$16="Y", L62:L73, 10)), 1, 0)) &gt; 1, "", INDEX('Betting SETUP'!$A$5:$A$16,MATCH(MIN(IF('Betting SETUP'!$D$5:$D$16="Y",L62:L73,10)),IF('Betting SETUP'!$D$5:$D$16="Y",L62:L73,10),0)))</f>
        <v/>
      </c>
      <c r="M74" s="42" t="str">
        <f t="array" ref="M74">IF(SUM(IF(IF('Betting SETUP'!$D$5:$D$16="Y", M62:M73, 10)=MIN(IF('Betting SETUP'!$D$5:$D$16="Y", M62:M73, 10)), 1, 0)) &gt; 1, "", INDEX('Betting SETUP'!$A$5:$A$16,MATCH(MIN(IF('Betting SETUP'!$D$5:$D$16="Y",M62:M73,10)),IF('Betting SETUP'!$D$5:$D$16="Y",M62:M73,10),0)))</f>
        <v>Dave K</v>
      </c>
      <c r="N74" s="42" t="str">
        <f t="array" ref="N74">IF(SUM(IF(IF('Betting SETUP'!$D$5:$D$16="Y", N62:N73, 10)=MIN(IF('Betting SETUP'!$D$5:$D$16="Y", N62:N73, 10)), 1, 0)) &gt; 1, "", INDEX('Betting SETUP'!$A$5:$A$16,MATCH(MIN(IF('Betting SETUP'!$D$5:$D$16="Y",N62:N73,10)),IF('Betting SETUP'!$D$5:$D$16="Y",N62:N73,10),0)))</f>
        <v>Eric O</v>
      </c>
      <c r="O74" s="42" t="str">
        <f t="array" ref="O74">IF(SUM(IF(IF('Betting SETUP'!$D$5:$D$16="Y", O62:O73, 10)=MIN(IF('Betting SETUP'!$D$5:$D$16="Y", O62:O73, 10)), 1, 0)) &gt; 1, "", INDEX('Betting SETUP'!$A$5:$A$16,MATCH(MIN(IF('Betting SETUP'!$D$5:$D$16="Y",O62:O73,10)),IF('Betting SETUP'!$D$5:$D$16="Y",O62:O73,10),0)))</f>
        <v>Russ W</v>
      </c>
      <c r="P74" s="42" t="str">
        <f t="array" ref="P74">IF(SUM(IF(IF('Betting SETUP'!$D$5:$D$16="Y", P62:P73, 10)=MIN(IF('Betting SETUP'!$D$5:$D$16="Y", P62:P73, 10)), 1, 0)) &gt; 1, "", INDEX('Betting SETUP'!$A$5:$A$16,MATCH(MIN(IF('Betting SETUP'!$D$5:$D$16="Y",P62:P73,10)),IF('Betting SETUP'!$D$5:$D$16="Y",P62:P73,10),0)))</f>
        <v/>
      </c>
      <c r="Q74" s="42" t="str">
        <f t="array" ref="Q74">IF(SUM(IF(IF('Betting SETUP'!$D$5:$D$16="Y", Q62:Q73, 10)=MIN(IF('Betting SETUP'!$D$5:$D$16="Y", Q62:Q73, 10)), 1, 0)) &gt; 1, "", INDEX('Betting SETUP'!$A$5:$A$16,MATCH(MIN(IF('Betting SETUP'!$D$5:$D$16="Y",Q62:Q73,10)),IF('Betting SETUP'!$D$5:$D$16="Y",Q62:Q73,10),0)))</f>
        <v>Dave K</v>
      </c>
      <c r="R74" s="42" t="str">
        <f t="array" ref="R74">IF(SUM(IF(IF('Betting SETUP'!$D$5:$D$16="Y", R62:R73, 10)=MIN(IF('Betting SETUP'!$D$5:$D$16="Y", R62:R73, 10)), 1, 0)) &gt; 1, "", INDEX('Betting SETUP'!$A$5:$A$16,MATCH(MIN(IF('Betting SETUP'!$D$5:$D$16="Y",R62:R73,10)),IF('Betting SETUP'!$D$5:$D$16="Y",R62:R73,10),0)))</f>
        <v>Joe S</v>
      </c>
      <c r="S74" s="42" t="str">
        <f t="array" ref="S74">IF(SUM(IF(IF('Betting SETUP'!$D$5:$D$16="Y", S62:S73, 10)=MIN(IF('Betting SETUP'!$D$5:$D$16="Y", S62:S73, 10)), 1, 0)) &gt; 1, "", INDEX('Betting SETUP'!$A$5:$A$16,MATCH(MIN(IF('Betting SETUP'!$D$5:$D$16="Y",S62:S73,10)),IF('Betting SETUP'!$D$5:$D$16="Y",S62:S73,10),0)))</f>
        <v/>
      </c>
      <c r="T74" s="42" t="str">
        <f t="array" ref="T74">IF(SUM(IF(IF('Betting SETUP'!$D$5:$D$16="Y", T62:T73, 10)=MIN(IF('Betting SETUP'!$D$5:$D$16="Y", T62:T73, 10)), 1, 0)) &gt; 1, "", INDEX('Betting SETUP'!$A$5:$A$16,MATCH(MIN(IF('Betting SETUP'!$D$5:$D$16="Y",T62:T73,10)),IF('Betting SETUP'!$D$5:$D$16="Y",T62:T73,10),0)))</f>
        <v/>
      </c>
      <c r="U74" s="42" t="str">
        <f t="array" ref="U74">IF(SUM(IF(IF('Betting SETUP'!$D$5:$D$16="Y", U62:U73, 10)=MIN(IF('Betting SETUP'!$D$5:$D$16="Y", U62:U73, 10)), 1, 0)) &gt; 1, "", INDEX('Betting SETUP'!$A$5:$A$16,MATCH(MIN(IF('Betting SETUP'!$D$5:$D$16="Y",U62:U73,10)),IF('Betting SETUP'!$D$5:$D$16="Y",U62:U73,10),0)))</f>
        <v/>
      </c>
      <c r="V74" s="14"/>
      <c r="W74" s="15"/>
      <c r="X74" s="42">
        <f>18-COUNTBLANK(D74:U74)</f>
        <v>9</v>
      </c>
      <c r="Y74" s="43"/>
      <c r="Z74" s="44"/>
      <c r="AA74" s="44"/>
      <c r="AB74" s="44"/>
      <c r="AC74" s="44"/>
      <c r="AD74" s="44"/>
      <c r="AE74" s="44"/>
      <c r="AF74" s="44"/>
      <c r="AG74" s="44"/>
      <c r="AH74" s="44"/>
    </row>
    <row r="75" ht="12.75" customHeight="1">
      <c r="A75" s="10"/>
      <c r="B75" s="11"/>
      <c r="C75" s="41"/>
      <c r="D75" s="42"/>
      <c r="E75" s="45"/>
      <c r="F75" s="45"/>
      <c r="G75" s="45"/>
      <c r="H75" s="45"/>
      <c r="I75" s="45"/>
      <c r="J75" s="45"/>
      <c r="K75" s="45"/>
      <c r="L75" s="45"/>
      <c r="M75" s="42"/>
      <c r="N75" s="45"/>
      <c r="O75" s="45"/>
      <c r="P75" s="45"/>
      <c r="Q75" s="45"/>
      <c r="R75" s="45"/>
      <c r="S75" s="42"/>
      <c r="T75" s="45"/>
      <c r="U75" s="42"/>
      <c r="V75" s="42"/>
      <c r="W75" s="42"/>
      <c r="X75" s="42">
        <f>COUNTA(D75:U75)</f>
        <v>0</v>
      </c>
      <c r="Y75" s="43"/>
      <c r="Z75" s="44"/>
      <c r="AA75" s="44"/>
      <c r="AB75" s="44"/>
      <c r="AC75" s="44"/>
      <c r="AD75" s="44"/>
      <c r="AE75" s="44"/>
      <c r="AF75" s="44"/>
      <c r="AG75" s="44"/>
      <c r="AH75" s="44"/>
    </row>
  </sheetData>
  <mergeCells count="4">
    <mergeCell ref="C1:U1"/>
    <mergeCell ref="C20:U20"/>
    <mergeCell ref="C39:U39"/>
    <mergeCell ref="C58:U58"/>
  </mergeCells>
  <conditionalFormatting sqref="D18:U18 D37:U37 D56:U56 D75:U75">
    <cfRule type="expression" dxfId="4" priority="1">
      <formula>D4=3</formula>
    </cfRule>
  </conditionalFormatting>
  <dataValidations>
    <dataValidation type="list" allowBlank="1" showErrorMessage="1" sqref="A5:A16 D18:U18 A24:A35 D37:U37 A43:A54 D56:U56 A62:A73 D75:U75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4.86"/>
    <col customWidth="1" min="3" max="3" width="11.57"/>
    <col customWidth="1" min="4" max="4" width="14.86"/>
    <col customWidth="1" min="5" max="16" width="11.57"/>
  </cols>
  <sheetData>
    <row r="1">
      <c r="A1" s="53" t="s">
        <v>24</v>
      </c>
      <c r="B1" s="54" t="s">
        <v>31</v>
      </c>
      <c r="C1" s="55"/>
      <c r="D1" s="56" t="s">
        <v>32</v>
      </c>
      <c r="E1" s="57" t="str">
        <f>SETUP!C1</f>
        <v>THE TRIBUTE</v>
      </c>
      <c r="F1" s="57" t="str">
        <f>SETUP!D1</f>
        <v>THE PREMIER</v>
      </c>
      <c r="G1" s="57" t="str">
        <f>SETUP!E1</f>
        <v>THE LOON</v>
      </c>
      <c r="H1" s="58" t="str">
        <f>SETUP!F1</f>
        <v>THE LAKES</v>
      </c>
      <c r="I1" s="55"/>
      <c r="J1" s="53" t="s">
        <v>24</v>
      </c>
      <c r="K1" s="59" t="s">
        <v>33</v>
      </c>
      <c r="L1" s="60" t="s">
        <v>34</v>
      </c>
      <c r="M1" s="55"/>
      <c r="N1" s="53" t="s">
        <v>24</v>
      </c>
      <c r="O1" s="59" t="s">
        <v>20</v>
      </c>
      <c r="P1" s="59" t="s">
        <v>35</v>
      </c>
    </row>
    <row r="2">
      <c r="A2" s="61" t="str">
        <f>SETUP!$A5</f>
        <v>Aaron J</v>
      </c>
      <c r="B2" s="62">
        <f t="shared" ref="B2:B13" si="1">if(E2=min($E$2:$E$13),$E$15,0)+if(F2=min($F$2:$F$13),$F$15,0)+if(G2=min($G$2:$G$13),$G$15,0)+if(H2=min($H$2:$H$13),$H$15,0)+L2+P2</f>
        <v>83.1936</v>
      </c>
      <c r="C2" s="63"/>
      <c r="D2" s="64" t="str">
        <f>SETUP!$A5</f>
        <v>Aaron J</v>
      </c>
      <c r="E2" s="65">
        <f t="array" ref="E2">IF(index('Betting SETUP'!$C:$C,match($D2,'Betting SETUP'!$A:$A,0))="Y",(index('Score Calcuations'!E:E,match($D2,'Score Calcuations'!A:A))), "out")</f>
        <v>74</v>
      </c>
      <c r="F2" s="65">
        <f t="array" ref="F2">IF(index('Betting SETUP'!$C:$C,match($D2,'Betting SETUP'!$A:$A,0))="Y",(index('Score Calcuations'!G:G,match($D2,'Score Calcuations'!A:A))), "out")</f>
        <v>77</v>
      </c>
      <c r="G2" s="65">
        <f t="array" ref="G2">IF(index('Betting SETUP'!$C:$C,match($D2,'Betting SETUP'!$A:$A,0))="Y",(index('Score Calcuations'!I:I,match($D2,'Score Calcuations'!A:A))), "out")</f>
        <v>85</v>
      </c>
      <c r="H2" s="66">
        <f t="array" ref="H2">IF(index('Betting SETUP'!$C:$C,match($D2,'Betting SETUP'!$A:$A,0))="Y",(index('Score Calcuations'!K:K,match($D2,'Score Calcuations'!A:A))), "out")</f>
        <v>80</v>
      </c>
      <c r="I2" s="67"/>
      <c r="J2" s="61" t="str">
        <f>SETUP!$A5</f>
        <v>Aaron J</v>
      </c>
      <c r="K2" s="68">
        <f>SUM(COUNTIF(Scorecards!$D$17:$U$17,BettingScoreboard!$J2),COUNTIF(Scorecards!$D$36:$U$36,BettingScoreboard!$J2),COUNTIF(Scorecards!$D$55:$U$55,BettingScoreboard!$J2),COUNTIF(Scorecards!$D$74:$U$74,BettingScoreboard!$J2))</f>
        <v>4</v>
      </c>
      <c r="L2" s="69">
        <f t="shared" ref="L2:L13" si="2">if(K2=0,0,(K2*$K$15))</f>
        <v>83.1936</v>
      </c>
      <c r="M2" s="63"/>
      <c r="N2" s="61" t="str">
        <f>SETUP!$A5</f>
        <v>Aaron J</v>
      </c>
      <c r="O2" s="68">
        <f>SUM(COUNTIF(Scorecards!$D$18:$U$18,BettingScoreboard!$N2),COUNTIF(Scorecards!$D$37:$U$37,BettingScoreboard!$N2),COUNTIF(Scorecards!$D$56:$U$56,BettingScoreboard!$N2),COUNTIF(Scorecards!$D$75:$U$75,BettingScoreboard!$N2))</f>
        <v>0</v>
      </c>
      <c r="P2" s="70">
        <f>O2*'Betting SETUP'!$E$3</f>
        <v>0</v>
      </c>
    </row>
    <row r="3">
      <c r="A3" s="61" t="str">
        <f>SETUP!$A6</f>
        <v>Andy V</v>
      </c>
      <c r="B3" s="62">
        <f t="shared" si="1"/>
        <v>30.005</v>
      </c>
      <c r="C3" s="63"/>
      <c r="D3" s="64" t="str">
        <f>SETUP!$A6</f>
        <v>Andy V</v>
      </c>
      <c r="E3" s="65">
        <f t="array" ref="E3">IF(index('Betting SETUP'!$C:$C,match($D3,'Betting SETUP'!$A:$A,0))="Y",(index('Score Calcuations'!E:E,match($D3,'Score Calcuations'!A:A))), "out")</f>
        <v>82</v>
      </c>
      <c r="F3" s="65">
        <f t="array" ref="F3">IF(index('Betting SETUP'!$C:$C,match($D3,'Betting SETUP'!$A:$A,0))="Y",(index('Score Calcuations'!G:G,match($D3,'Score Calcuations'!A:A))), "out")</f>
        <v>74</v>
      </c>
      <c r="G3" s="65">
        <f t="array" ref="G3">IF(index('Betting SETUP'!$C:$C,match($D3,'Betting SETUP'!$A:$A,0))="Y",(index('Score Calcuations'!I:I,match($D3,'Score Calcuations'!A:A))), "out")</f>
        <v>74</v>
      </c>
      <c r="H3" s="66">
        <f t="array" ref="H3">IF(index('Betting SETUP'!$C:$C,match($D3,'Betting SETUP'!$A:$A,0))="Y",(index('Score Calcuations'!K:K,match($D3,'Score Calcuations'!A:A))), "out")</f>
        <v>74</v>
      </c>
      <c r="I3" s="67"/>
      <c r="J3" s="61" t="str">
        <f>SETUP!$A6</f>
        <v>Andy V</v>
      </c>
      <c r="K3" s="68">
        <f>SUM(COUNTIF(Scorecards!$D$17:$U$17,BettingScoreboard!$J3),COUNTIF(Scorecards!$D$36:$U$36,BettingScoreboard!$J3),COUNTIF(Scorecards!$D$55:$U$55,BettingScoreboard!$J3),COUNTIF(Scorecards!$D$74:$U$74,BettingScoreboard!$J3))</f>
        <v>0</v>
      </c>
      <c r="L3" s="69">
        <f t="shared" si="2"/>
        <v>0</v>
      </c>
      <c r="M3" s="63"/>
      <c r="N3" s="61" t="str">
        <f>SETUP!$A6</f>
        <v>Andy V</v>
      </c>
      <c r="O3" s="68">
        <f>SUM(COUNTIF(Scorecards!$D$18:$U$18,BettingScoreboard!$N3),COUNTIF(Scorecards!$D$37:$U$37,BettingScoreboard!$N3),COUNTIF(Scorecards!$D$56:$U$56,BettingScoreboard!$N3),COUNTIF(Scorecards!$D$75:$U$75,BettingScoreboard!$N3))</f>
        <v>1</v>
      </c>
      <c r="P3" s="70">
        <f>O3*'Betting SETUP'!$E$3</f>
        <v>20</v>
      </c>
    </row>
    <row r="4">
      <c r="A4" s="61" t="str">
        <f>SETUP!$A7</f>
        <v>Bob B</v>
      </c>
      <c r="B4" s="62">
        <f t="shared" si="1"/>
        <v>141.6068</v>
      </c>
      <c r="C4" s="63"/>
      <c r="D4" s="64" t="str">
        <f>SETUP!$A7</f>
        <v>Bob B</v>
      </c>
      <c r="E4" s="65">
        <f t="array" ref="E4">IF(index('Betting SETUP'!$C:$C,match($D4,'Betting SETUP'!$A:$A,0))="Y",(index('Score Calcuations'!E:E,match($D4,'Score Calcuations'!A:A))), "out")</f>
        <v>76</v>
      </c>
      <c r="F4" s="65">
        <f t="array" ref="F4">IF(index('Betting SETUP'!$C:$C,match($D4,'Betting SETUP'!$A:$A,0))="Y",(index('Score Calcuations'!G:G,match($D4,'Score Calcuations'!A:A))), "out")</f>
        <v>69</v>
      </c>
      <c r="G4" s="65">
        <f t="array" ref="G4">IF(index('Betting SETUP'!$C:$C,match($D4,'Betting SETUP'!$A:$A,0))="Y",(index('Score Calcuations'!I:I,match($D4,'Score Calcuations'!A:A))), "out")</f>
        <v>77</v>
      </c>
      <c r="H4" s="66">
        <f t="array" ref="H4">IF(index('Betting SETUP'!$C:$C,match($D4,'Betting SETUP'!$A:$A,0))="Y",(index('Score Calcuations'!K:K,match($D4,'Score Calcuations'!A:A))), "out")</f>
        <v>77</v>
      </c>
      <c r="I4" s="67"/>
      <c r="J4" s="61" t="str">
        <f>SETUP!$A7</f>
        <v>Bob B</v>
      </c>
      <c r="K4" s="68">
        <f>SUM(COUNTIF(Scorecards!$D$17:$U$17,BettingScoreboard!$J4),COUNTIF(Scorecards!$D$36:$U$36,BettingScoreboard!$J4),COUNTIF(Scorecards!$D$55:$U$55,BettingScoreboard!$J4),COUNTIF(Scorecards!$D$74:$U$74,BettingScoreboard!$J4))</f>
        <v>2</v>
      </c>
      <c r="L4" s="69">
        <f t="shared" si="2"/>
        <v>41.5968</v>
      </c>
      <c r="M4" s="63"/>
      <c r="N4" s="61" t="str">
        <f>SETUP!$A7</f>
        <v>Bob B</v>
      </c>
      <c r="O4" s="68">
        <f>SUM(COUNTIF(Scorecards!$D$18:$U$18,BettingScoreboard!$N4),COUNTIF(Scorecards!$D$37:$U$37,BettingScoreboard!$N4),COUNTIF(Scorecards!$D$56:$U$56,BettingScoreboard!$N4),COUNTIF(Scorecards!$D$75:$U$75,BettingScoreboard!$N4))</f>
        <v>4</v>
      </c>
      <c r="P4" s="70">
        <f>O4*'Betting SETUP'!$E$3</f>
        <v>80</v>
      </c>
    </row>
    <row r="5">
      <c r="A5" s="61" t="str">
        <f>SETUP!$A8</f>
        <v>Brian K</v>
      </c>
      <c r="B5" s="62">
        <f t="shared" si="1"/>
        <v>60.7984</v>
      </c>
      <c r="C5" s="63"/>
      <c r="D5" s="64" t="str">
        <f>SETUP!$A8</f>
        <v>Brian K</v>
      </c>
      <c r="E5" s="65">
        <f t="array" ref="E5">IF(index('Betting SETUP'!$C:$C,match($D5,'Betting SETUP'!$A:$A,0))="Y",(index('Score Calcuations'!E:E,match($D5,'Score Calcuations'!A:A))), "out")</f>
        <v>76</v>
      </c>
      <c r="F5" s="65">
        <f t="array" ref="F5">IF(index('Betting SETUP'!$C:$C,match($D5,'Betting SETUP'!$A:$A,0))="Y",(index('Score Calcuations'!G:G,match($D5,'Score Calcuations'!A:A))), "out")</f>
        <v>75</v>
      </c>
      <c r="G5" s="65">
        <f t="array" ref="G5">IF(index('Betting SETUP'!$C:$C,match($D5,'Betting SETUP'!$A:$A,0))="Y",(index('Score Calcuations'!I:I,match($D5,'Score Calcuations'!A:A))), "out")</f>
        <v>78</v>
      </c>
      <c r="H5" s="66">
        <f t="array" ref="H5">IF(index('Betting SETUP'!$C:$C,match($D5,'Betting SETUP'!$A:$A,0))="Y",(index('Score Calcuations'!K:K,match($D5,'Score Calcuations'!A:A))), "out")</f>
        <v>83</v>
      </c>
      <c r="I5" s="67"/>
      <c r="J5" s="61" t="str">
        <f>SETUP!$A8</f>
        <v>Brian K</v>
      </c>
      <c r="K5" s="68">
        <f>SUM(COUNTIF(Scorecards!$D$17:$U$17,BettingScoreboard!$J5),COUNTIF(Scorecards!$D$36:$U$36,BettingScoreboard!$J5),COUNTIF(Scorecards!$D$55:$U$55,BettingScoreboard!$J5),COUNTIF(Scorecards!$D$74:$U$74,BettingScoreboard!$J5))</f>
        <v>1</v>
      </c>
      <c r="L5" s="69">
        <f t="shared" si="2"/>
        <v>20.7984</v>
      </c>
      <c r="M5" s="63"/>
      <c r="N5" s="61" t="str">
        <f>SETUP!$A8</f>
        <v>Brian K</v>
      </c>
      <c r="O5" s="68">
        <f>SUM(COUNTIF(Scorecards!$D$18:$U$18,BettingScoreboard!$N5),COUNTIF(Scorecards!$D$37:$U$37,BettingScoreboard!$N5),COUNTIF(Scorecards!$D$56:$U$56,BettingScoreboard!$N5),COUNTIF(Scorecards!$D$75:$U$75,BettingScoreboard!$N5))</f>
        <v>2</v>
      </c>
      <c r="P5" s="70">
        <f>O5*'Betting SETUP'!$E$3</f>
        <v>40</v>
      </c>
    </row>
    <row r="6">
      <c r="A6" s="61" t="str">
        <f>SETUP!$A9</f>
        <v>Dave K</v>
      </c>
      <c r="B6" s="62">
        <f t="shared" si="1"/>
        <v>41.5968</v>
      </c>
      <c r="C6" s="63"/>
      <c r="D6" s="64" t="str">
        <f>SETUP!$A9</f>
        <v>Dave K</v>
      </c>
      <c r="E6" s="65">
        <f t="array" ref="E6">IF(index('Betting SETUP'!$C:$C,match($D6,'Betting SETUP'!$A:$A,0))="Y",(index('Score Calcuations'!E:E,match($D6,'Score Calcuations'!A:A))), "out")</f>
        <v>73</v>
      </c>
      <c r="F6" s="65">
        <f t="array" ref="F6">IF(index('Betting SETUP'!$C:$C,match($D6,'Betting SETUP'!$A:$A,0))="Y",(index('Score Calcuations'!G:G,match($D6,'Score Calcuations'!A:A))), "out")</f>
        <v>79</v>
      </c>
      <c r="G6" s="65">
        <f t="array" ref="G6">IF(index('Betting SETUP'!$C:$C,match($D6,'Betting SETUP'!$A:$A,0))="Y",(index('Score Calcuations'!I:I,match($D6,'Score Calcuations'!A:A))), "out")</f>
        <v>77</v>
      </c>
      <c r="H6" s="66">
        <f t="array" ref="H6">IF(index('Betting SETUP'!$C:$C,match($D6,'Betting SETUP'!$A:$A,0))="Y",(index('Score Calcuations'!K:K,match($D6,'Score Calcuations'!A:A))), "out")</f>
        <v>77</v>
      </c>
      <c r="I6" s="67"/>
      <c r="J6" s="61" t="str">
        <f>SETUP!$A9</f>
        <v>Dave K</v>
      </c>
      <c r="K6" s="68">
        <f>SUM(COUNTIF(Scorecards!$D$17:$U$17,BettingScoreboard!$J6),COUNTIF(Scorecards!$D$36:$U$36,BettingScoreboard!$J6),COUNTIF(Scorecards!$D$55:$U$55,BettingScoreboard!$J6),COUNTIF(Scorecards!$D$74:$U$74,BettingScoreboard!$J6))</f>
        <v>2</v>
      </c>
      <c r="L6" s="69">
        <f t="shared" si="2"/>
        <v>41.5968</v>
      </c>
      <c r="M6" s="63"/>
      <c r="N6" s="61" t="str">
        <f>SETUP!$A9</f>
        <v>Dave K</v>
      </c>
      <c r="O6" s="68">
        <f>SUM(COUNTIF(Scorecards!$D$18:$U$18,BettingScoreboard!$N6),COUNTIF(Scorecards!$D$37:$U$37,BettingScoreboard!$N6),COUNTIF(Scorecards!$D$56:$U$56,BettingScoreboard!$N6),COUNTIF(Scorecards!$D$75:$U$75,BettingScoreboard!$N6))</f>
        <v>0</v>
      </c>
      <c r="P6" s="70">
        <f>O6*'Betting SETUP'!$E$3</f>
        <v>0</v>
      </c>
    </row>
    <row r="7">
      <c r="A7" s="61" t="str">
        <f>SETUP!$A10</f>
        <v>Eric O</v>
      </c>
      <c r="B7" s="62">
        <f t="shared" si="1"/>
        <v>50.8034</v>
      </c>
      <c r="C7" s="63"/>
      <c r="D7" s="64" t="str">
        <f>SETUP!$A10</f>
        <v>Eric O</v>
      </c>
      <c r="E7" s="65">
        <f t="array" ref="E7">IF(index('Betting SETUP'!$C:$C,match($D7,'Betting SETUP'!$A:$A,0))="Y",(index('Score Calcuations'!E:E,match($D7,'Score Calcuations'!A:A))), "out")</f>
        <v>82</v>
      </c>
      <c r="F7" s="65">
        <f t="array" ref="F7">IF(index('Betting SETUP'!$C:$C,match($D7,'Betting SETUP'!$A:$A,0))="Y",(index('Score Calcuations'!G:G,match($D7,'Score Calcuations'!A:A))), "out")</f>
        <v>80</v>
      </c>
      <c r="G7" s="65">
        <f t="array" ref="G7">IF(index('Betting SETUP'!$C:$C,match($D7,'Betting SETUP'!$A:$A,0))="Y",(index('Score Calcuations'!I:I,match($D7,'Score Calcuations'!A:A))), "out")</f>
        <v>74</v>
      </c>
      <c r="H7" s="66">
        <f t="array" ref="H7">IF(index('Betting SETUP'!$C:$C,match($D7,'Betting SETUP'!$A:$A,0))="Y",(index('Score Calcuations'!K:K,match($D7,'Score Calcuations'!A:A))), "out")</f>
        <v>75</v>
      </c>
      <c r="I7" s="67"/>
      <c r="J7" s="61" t="str">
        <f>SETUP!$A10</f>
        <v>Eric O</v>
      </c>
      <c r="K7" s="68">
        <f>SUM(COUNTIF(Scorecards!$D$17:$U$17,BettingScoreboard!$J7),COUNTIF(Scorecards!$D$36:$U$36,BettingScoreboard!$J7),COUNTIF(Scorecards!$D$55:$U$55,BettingScoreboard!$J7),COUNTIF(Scorecards!$D$74:$U$74,BettingScoreboard!$J7))</f>
        <v>1</v>
      </c>
      <c r="L7" s="69">
        <f t="shared" si="2"/>
        <v>20.7984</v>
      </c>
      <c r="M7" s="63"/>
      <c r="N7" s="61" t="str">
        <f>SETUP!$A10</f>
        <v>Eric O</v>
      </c>
      <c r="O7" s="68">
        <f>SUM(COUNTIF(Scorecards!$D$18:$U$18,BettingScoreboard!$N7),COUNTIF(Scorecards!$D$37:$U$37,BettingScoreboard!$N7),COUNTIF(Scorecards!$D$56:$U$56,BettingScoreboard!$N7),COUNTIF(Scorecards!$D$75:$U$75,BettingScoreboard!$N7))</f>
        <v>1</v>
      </c>
      <c r="P7" s="70">
        <f>O7*'Betting SETUP'!$E$3</f>
        <v>20</v>
      </c>
    </row>
    <row r="8">
      <c r="A8" s="61" t="str">
        <f>SETUP!$A11</f>
        <v>Jeff B</v>
      </c>
      <c r="B8" s="62">
        <f t="shared" si="1"/>
        <v>82.3952</v>
      </c>
      <c r="C8" s="63"/>
      <c r="D8" s="64" t="str">
        <f>SETUP!$A11</f>
        <v>Jeff B</v>
      </c>
      <c r="E8" s="65">
        <f t="array" ref="E8">IF(index('Betting SETUP'!$C:$C,match($D8,'Betting SETUP'!$A:$A,0))="Y",(index('Score Calcuations'!E:E,match($D8,'Score Calcuations'!A:A))), "out")</f>
        <v>77</v>
      </c>
      <c r="F8" s="65">
        <f t="array" ref="F8">IF(index('Betting SETUP'!$C:$C,match($D8,'Betting SETUP'!$A:$A,0))="Y",(index('Score Calcuations'!G:G,match($D8,'Score Calcuations'!A:A))), "out")</f>
        <v>77</v>
      </c>
      <c r="G8" s="65">
        <f t="array" ref="G8">IF(index('Betting SETUP'!$C:$C,match($D8,'Betting SETUP'!$A:$A,0))="Y",(index('Score Calcuations'!I:I,match($D8,'Score Calcuations'!A:A))), "out")</f>
        <v>76</v>
      </c>
      <c r="H8" s="66">
        <f t="array" ref="H8">IF(index('Betting SETUP'!$C:$C,match($D8,'Betting SETUP'!$A:$A,0))="Y",(index('Score Calcuations'!K:K,match($D8,'Score Calcuations'!A:A))), "out")</f>
        <v>80</v>
      </c>
      <c r="I8" s="67"/>
      <c r="J8" s="61" t="str">
        <f>SETUP!$A11</f>
        <v>Jeff B</v>
      </c>
      <c r="K8" s="68">
        <f>SUM(COUNTIF(Scorecards!$D$17:$U$17,BettingScoreboard!$J8),COUNTIF(Scorecards!$D$36:$U$36,BettingScoreboard!$J8),COUNTIF(Scorecards!$D$55:$U$55,BettingScoreboard!$J8),COUNTIF(Scorecards!$D$74:$U$74,BettingScoreboard!$J8))</f>
        <v>3</v>
      </c>
      <c r="L8" s="69">
        <f t="shared" si="2"/>
        <v>62.3952</v>
      </c>
      <c r="M8" s="63"/>
      <c r="N8" s="61" t="str">
        <f>SETUP!$A11</f>
        <v>Jeff B</v>
      </c>
      <c r="O8" s="68">
        <f>SUM(COUNTIF(Scorecards!$D$18:$U$18,BettingScoreboard!$N8),COUNTIF(Scorecards!$D$37:$U$37,BettingScoreboard!$N8),COUNTIF(Scorecards!$D$56:$U$56,BettingScoreboard!$N8),COUNTIF(Scorecards!$D$75:$U$75,BettingScoreboard!$N8))</f>
        <v>1</v>
      </c>
      <c r="P8" s="70">
        <f>O8*'Betting SETUP'!$E$3</f>
        <v>20</v>
      </c>
    </row>
    <row r="9">
      <c r="A9" s="61" t="str">
        <f>SETUP!$A12</f>
        <v>Joe S</v>
      </c>
      <c r="B9" s="62">
        <f t="shared" si="1"/>
        <v>163.2036</v>
      </c>
      <c r="C9" s="63"/>
      <c r="D9" s="64" t="str">
        <f>SETUP!$A12</f>
        <v>Joe S</v>
      </c>
      <c r="E9" s="65">
        <f t="array" ref="E9">IF(index('Betting SETUP'!$C:$C,match($D9,'Betting SETUP'!$A:$A,0))="Y",(index('Score Calcuations'!E:E,match($D9,'Score Calcuations'!A:A))), "out")</f>
        <v>72</v>
      </c>
      <c r="F9" s="65">
        <f t="array" ref="F9">IF(index('Betting SETUP'!$C:$C,match($D9,'Betting SETUP'!$A:$A,0))="Y",(index('Score Calcuations'!G:G,match($D9,'Score Calcuations'!A:A))), "out")</f>
        <v>72</v>
      </c>
      <c r="G9" s="65">
        <f t="array" ref="G9">IF(index('Betting SETUP'!$C:$C,match($D9,'Betting SETUP'!$A:$A,0))="Y",(index('Score Calcuations'!I:I,match($D9,'Score Calcuations'!A:A))), "out")</f>
        <v>79</v>
      </c>
      <c r="H9" s="66">
        <f t="array" ref="H9">IF(index('Betting SETUP'!$C:$C,match($D9,'Betting SETUP'!$A:$A,0))="Y",(index('Score Calcuations'!K:K,match($D9,'Score Calcuations'!A:A))), "out")</f>
        <v>69</v>
      </c>
      <c r="I9" s="67"/>
      <c r="J9" s="61" t="str">
        <f>SETUP!$A12</f>
        <v>Joe S</v>
      </c>
      <c r="K9" s="68">
        <f>SUM(COUNTIF(Scorecards!$D$17:$U$17,BettingScoreboard!$J9),COUNTIF(Scorecards!$D$36:$U$36,BettingScoreboard!$J9),COUNTIF(Scorecards!$D$55:$U$55,BettingScoreboard!$J9),COUNTIF(Scorecards!$D$74:$U$74,BettingScoreboard!$J9))</f>
        <v>4</v>
      </c>
      <c r="L9" s="69">
        <f t="shared" si="2"/>
        <v>83.1936</v>
      </c>
      <c r="M9" s="63"/>
      <c r="N9" s="61" t="str">
        <f>SETUP!$A12</f>
        <v>Joe S</v>
      </c>
      <c r="O9" s="68">
        <f>SUM(COUNTIF(Scorecards!$D$18:$U$18,BettingScoreboard!$N9),COUNTIF(Scorecards!$D$37:$U$37,BettingScoreboard!$N9),COUNTIF(Scorecards!$D$56:$U$56,BettingScoreboard!$N9),COUNTIF(Scorecards!$D$75:$U$75,BettingScoreboard!$N9))</f>
        <v>3</v>
      </c>
      <c r="P9" s="70">
        <f>O9*'Betting SETUP'!$E$3</f>
        <v>60</v>
      </c>
    </row>
    <row r="10">
      <c r="A10" s="61" t="str">
        <f>SETUP!$A13</f>
        <v>John C</v>
      </c>
      <c r="B10" s="62">
        <f t="shared" si="1"/>
        <v>10.005</v>
      </c>
      <c r="C10" s="63"/>
      <c r="D10" s="64" t="str">
        <f>SETUP!$A13</f>
        <v>John C</v>
      </c>
      <c r="E10" s="65">
        <f t="array" ref="E10">IF(index('Betting SETUP'!$C:$C,match($D10,'Betting SETUP'!$A:$A,0))="Y",(index('Score Calcuations'!E:E,match($D10,'Score Calcuations'!A:A))), "out")</f>
        <v>71</v>
      </c>
      <c r="F10" s="65">
        <f t="array" ref="F10">IF(index('Betting SETUP'!$C:$C,match($D10,'Betting SETUP'!$A:$A,0))="Y",(index('Score Calcuations'!G:G,match($D10,'Score Calcuations'!A:A))), "out")</f>
        <v>86</v>
      </c>
      <c r="G10" s="65">
        <f t="array" ref="G10">IF(index('Betting SETUP'!$C:$C,match($D10,'Betting SETUP'!$A:$A,0))="Y",(index('Score Calcuations'!I:I,match($D10,'Score Calcuations'!A:A))), "out")</f>
        <v>76</v>
      </c>
      <c r="H10" s="66" t="str">
        <f t="array" ref="H10">IF(index('Betting SETUP'!$C:$C,match($D10,'Betting SETUP'!$A:$A,0))="Y",(index('Score Calcuations'!K:K,match($D10,'Score Calcuations'!A:A))), "out")</f>
        <v>WD</v>
      </c>
      <c r="I10" s="67"/>
      <c r="J10" s="61" t="str">
        <f>SETUP!$A13</f>
        <v>John C</v>
      </c>
      <c r="K10" s="68">
        <f>SUM(COUNTIF(Scorecards!$D$17:$U$17,BettingScoreboard!$J10),COUNTIF(Scorecards!$D$36:$U$36,BettingScoreboard!$J10),COUNTIF(Scorecards!$D$55:$U$55,BettingScoreboard!$J10),COUNTIF(Scorecards!$D$74:$U$74,BettingScoreboard!$J10))</f>
        <v>0</v>
      </c>
      <c r="L10" s="69">
        <f t="shared" si="2"/>
        <v>0</v>
      </c>
      <c r="M10" s="63"/>
      <c r="N10" s="61" t="str">
        <f>SETUP!$A13</f>
        <v>John C</v>
      </c>
      <c r="O10" s="68">
        <f>SUM(COUNTIF(Scorecards!$D$18:$U$18,BettingScoreboard!$N10),COUNTIF(Scorecards!$D$37:$U$37,BettingScoreboard!$N10),COUNTIF(Scorecards!$D$56:$U$56,BettingScoreboard!$N10),COUNTIF(Scorecards!$D$75:$U$75,BettingScoreboard!$N10))</f>
        <v>0</v>
      </c>
      <c r="P10" s="70">
        <f>O10*'Betting SETUP'!$E$3</f>
        <v>0</v>
      </c>
    </row>
    <row r="11">
      <c r="A11" s="61" t="str">
        <f>SETUP!$A14</f>
        <v>Ray H</v>
      </c>
      <c r="B11" s="62">
        <f t="shared" si="1"/>
        <v>0</v>
      </c>
      <c r="C11" s="63"/>
      <c r="D11" s="64" t="str">
        <f>SETUP!$A14</f>
        <v>Ray H</v>
      </c>
      <c r="E11" s="65">
        <f t="array" ref="E11">IF(index('Betting SETUP'!$C:$C,match($D11,'Betting SETUP'!$A:$A,0))="Y",(index('Score Calcuations'!E:E,match($D11,'Score Calcuations'!A:A))), "out")</f>
        <v>85</v>
      </c>
      <c r="F11" s="65">
        <f t="array" ref="F11">IF(index('Betting SETUP'!$C:$C,match($D11,'Betting SETUP'!$A:$A,0))="Y",(index('Score Calcuations'!G:G,match($D11,'Score Calcuations'!A:A))), "out")</f>
        <v>88</v>
      </c>
      <c r="G11" s="65">
        <f t="array" ref="G11">IF(index('Betting SETUP'!$C:$C,match($D11,'Betting SETUP'!$A:$A,0))="Y",(index('Score Calcuations'!I:I,match($D11,'Score Calcuations'!A:A))), "out")</f>
        <v>77</v>
      </c>
      <c r="H11" s="66">
        <f t="array" ref="H11">IF(index('Betting SETUP'!$C:$C,match($D11,'Betting SETUP'!$A:$A,0))="Y",(index('Score Calcuations'!K:K,match($D11,'Score Calcuations'!A:A))), "out")</f>
        <v>99</v>
      </c>
      <c r="I11" s="67"/>
      <c r="J11" s="61" t="str">
        <f>SETUP!$A14</f>
        <v>Ray H</v>
      </c>
      <c r="K11" s="68">
        <f>SUM(COUNTIF(Scorecards!$D$17:$U$17,BettingScoreboard!$J11),COUNTIF(Scorecards!$D$36:$U$36,BettingScoreboard!$J11),COUNTIF(Scorecards!$D$55:$U$55,BettingScoreboard!$J11),COUNTIF(Scorecards!$D$74:$U$74,BettingScoreboard!$J11))</f>
        <v>0</v>
      </c>
      <c r="L11" s="69">
        <f t="shared" si="2"/>
        <v>0</v>
      </c>
      <c r="M11" s="63"/>
      <c r="N11" s="61" t="str">
        <f>SETUP!$A14</f>
        <v>Ray H</v>
      </c>
      <c r="O11" s="68">
        <f>SUM(COUNTIF(Scorecards!$D$18:$U$18,BettingScoreboard!$N11),COUNTIF(Scorecards!$D$37:$U$37,BettingScoreboard!$N11),COUNTIF(Scorecards!$D$56:$U$56,BettingScoreboard!$N11),COUNTIF(Scorecards!$D$75:$U$75,BettingScoreboard!$N11))</f>
        <v>0</v>
      </c>
      <c r="P11" s="70">
        <f>O11*'Betting SETUP'!$E$3</f>
        <v>0</v>
      </c>
    </row>
    <row r="12">
      <c r="A12" s="61" t="str">
        <f>SETUP!$A15</f>
        <v>Russ W</v>
      </c>
      <c r="B12" s="62">
        <f t="shared" si="1"/>
        <v>71.6018</v>
      </c>
      <c r="C12" s="63"/>
      <c r="D12" s="64" t="str">
        <f>SETUP!$A15</f>
        <v>Russ W</v>
      </c>
      <c r="E12" s="65">
        <f t="array" ref="E12">IF(index('Betting SETUP'!$C:$C,match($D12,'Betting SETUP'!$A:$A,0))="Y",(index('Score Calcuations'!E:E,match($D12,'Score Calcuations'!A:A))), "out")</f>
        <v>71</v>
      </c>
      <c r="F12" s="65">
        <f t="array" ref="F12">IF(index('Betting SETUP'!$C:$C,match($D12,'Betting SETUP'!$A:$A,0))="Y",(index('Score Calcuations'!G:G,match($D12,'Score Calcuations'!A:A))), "out")</f>
        <v>80</v>
      </c>
      <c r="G12" s="65">
        <f t="array" ref="G12">IF(index('Betting SETUP'!$C:$C,match($D12,'Betting SETUP'!$A:$A,0))="Y",(index('Score Calcuations'!I:I,match($D12,'Score Calcuations'!A:A))), "out")</f>
        <v>85</v>
      </c>
      <c r="H12" s="66">
        <f t="array" ref="H12">IF(index('Betting SETUP'!$C:$C,match($D12,'Betting SETUP'!$A:$A,0))="Y",(index('Score Calcuations'!K:K,match($D12,'Score Calcuations'!A:A))), "out")</f>
        <v>77</v>
      </c>
      <c r="I12" s="67"/>
      <c r="J12" s="61" t="str">
        <f>SETUP!$A15</f>
        <v>Russ W</v>
      </c>
      <c r="K12" s="68">
        <f>SUM(COUNTIF(Scorecards!$D$17:$U$17,BettingScoreboard!$J12),COUNTIF(Scorecards!$D$36:$U$36,BettingScoreboard!$J12),COUNTIF(Scorecards!$D$55:$U$55,BettingScoreboard!$J12),COUNTIF(Scorecards!$D$74:$U$74,BettingScoreboard!$J12))</f>
        <v>2</v>
      </c>
      <c r="L12" s="69">
        <f t="shared" si="2"/>
        <v>41.5968</v>
      </c>
      <c r="M12" s="63"/>
      <c r="N12" s="61" t="str">
        <f>SETUP!$A15</f>
        <v>Russ W</v>
      </c>
      <c r="O12" s="68">
        <f>SUM(COUNTIF(Scorecards!$D$18:$U$18,BettingScoreboard!$N12),COUNTIF(Scorecards!$D$37:$U$37,BettingScoreboard!$N12),COUNTIF(Scorecards!$D$56:$U$56,BettingScoreboard!$N12),COUNTIF(Scorecards!$D$75:$U$75,BettingScoreboard!$N12))</f>
        <v>1</v>
      </c>
      <c r="P12" s="70">
        <f>O12*'Betting SETUP'!$E$3</f>
        <v>20</v>
      </c>
    </row>
    <row r="13">
      <c r="A13" s="61" t="str">
        <f>SETUP!$A16</f>
        <v>Scott R</v>
      </c>
      <c r="B13" s="62">
        <f t="shared" si="1"/>
        <v>224.7904</v>
      </c>
      <c r="C13" s="63"/>
      <c r="D13" s="64" t="str">
        <f>SETUP!$A16</f>
        <v>Scott R</v>
      </c>
      <c r="E13" s="65">
        <f t="array" ref="E13">IF(index('Betting SETUP'!$C:$C,match($D13,'Betting SETUP'!$A:$A,0))="Y",(index('Score Calcuations'!E:E,match($D13,'Score Calcuations'!A:A))), "out")</f>
        <v>76</v>
      </c>
      <c r="F13" s="65">
        <f t="array" ref="F13">IF(index('Betting SETUP'!$C:$C,match($D13,'Betting SETUP'!$A:$A,0))="Y",(index('Score Calcuations'!G:G,match($D13,'Score Calcuations'!A:A))), "out")</f>
        <v>71</v>
      </c>
      <c r="G13" s="65">
        <f t="array" ref="G13">IF(index('Betting SETUP'!$C:$C,match($D13,'Betting SETUP'!$A:$A,0))="Y",(index('Score Calcuations'!I:I,match($D13,'Score Calcuations'!A:A))), "out")</f>
        <v>75</v>
      </c>
      <c r="H13" s="66">
        <f t="array" ref="H13">IF(index('Betting SETUP'!$C:$C,match($D13,'Betting SETUP'!$A:$A,0))="Y",(index('Score Calcuations'!K:K,match($D13,'Score Calcuations'!A:A))), "out")</f>
        <v>76</v>
      </c>
      <c r="I13" s="67"/>
      <c r="J13" s="61" t="str">
        <f>SETUP!$A16</f>
        <v>Scott R</v>
      </c>
      <c r="K13" s="68">
        <f>SUM(COUNTIF(Scorecards!$D$17:$U$17,BettingScoreboard!$J13),COUNTIF(Scorecards!$D$36:$U$36,BettingScoreboard!$J13),COUNTIF(Scorecards!$D$55:$U$55,BettingScoreboard!$J13),COUNTIF(Scorecards!$D$74:$U$74,BettingScoreboard!$J13))</f>
        <v>6</v>
      </c>
      <c r="L13" s="69">
        <f t="shared" si="2"/>
        <v>124.7904</v>
      </c>
      <c r="M13" s="63"/>
      <c r="N13" s="61" t="str">
        <f>SETUP!$A16</f>
        <v>Scott R</v>
      </c>
      <c r="O13" s="68">
        <f>SUM(COUNTIF(Scorecards!$D$18:$U$18,BettingScoreboard!$N13),COUNTIF(Scorecards!$D$37:$U$37,BettingScoreboard!$N13),COUNTIF(Scorecards!$D$56:$U$56,BettingScoreboard!$N13),COUNTIF(Scorecards!$D$75:$U$75,BettingScoreboard!$N13))</f>
        <v>5</v>
      </c>
      <c r="P13" s="70">
        <f>O13*'Betting SETUP'!$E$3</f>
        <v>100</v>
      </c>
    </row>
    <row r="14">
      <c r="A14" s="71"/>
      <c r="B14" s="71"/>
      <c r="C14" s="72"/>
      <c r="D14" s="73" t="s">
        <v>36</v>
      </c>
      <c r="E14" s="73">
        <f>COUNTIF(BettingScoreboard!$E$2:$E$13,MIN(BettingScoreboard!$E$2:$E$13))</f>
        <v>2</v>
      </c>
      <c r="F14" s="73">
        <f>COUNTIF(BettingScoreboard!$F$2:$F$13,MIN(BettingScoreboard!$F$2:$F$13))</f>
        <v>1</v>
      </c>
      <c r="G14" s="73">
        <f>COUNTIF(BettingScoreboard!$G$2:$G$13,MIN(BettingScoreboard!$G$2:$G$13))</f>
        <v>2</v>
      </c>
      <c r="H14" s="73">
        <f>COUNTIF(BettingScoreboard!$H$2:$H$13,MIN(BettingScoreboard!$H$2:$H$13))</f>
        <v>1</v>
      </c>
      <c r="I14" s="67"/>
      <c r="J14" s="73" t="s">
        <v>37</v>
      </c>
      <c r="K14" s="73">
        <f>sum(K2:K13)</f>
        <v>25</v>
      </c>
      <c r="L14" s="73"/>
      <c r="M14" s="72"/>
      <c r="N14" s="73" t="s">
        <v>37</v>
      </c>
      <c r="O14" s="73">
        <f>sum(O2:O13)</f>
        <v>18</v>
      </c>
      <c r="P14" s="73"/>
    </row>
    <row r="15">
      <c r="A15" s="71"/>
      <c r="B15" s="71"/>
      <c r="C15" s="74"/>
      <c r="D15" s="73" t="s">
        <v>38</v>
      </c>
      <c r="E15" s="75">
        <f>if(E14=0,"",'Betting SETUP'!$C$3/E14)</f>
        <v>10.005</v>
      </c>
      <c r="F15" s="75">
        <f>if(F14=0,"",'Betting SETUP'!$C$3/F14)</f>
        <v>20.01</v>
      </c>
      <c r="G15" s="75">
        <f>if(G14=0,"",'Betting SETUP'!$C$3/G14)</f>
        <v>10.005</v>
      </c>
      <c r="H15" s="75">
        <f>if(H14=0,"",'Betting SETUP'!$C$3/H14)</f>
        <v>20.01</v>
      </c>
      <c r="I15" s="74"/>
      <c r="J15" s="73" t="s">
        <v>39</v>
      </c>
      <c r="K15" s="75">
        <f>if(K14=0,"",'Betting SETUP'!$D$2/sum(Scorecards!X17,Scorecards!X36,Scorecards!X55,Scorecards!X74))</f>
        <v>20.7984</v>
      </c>
      <c r="L15" s="73"/>
      <c r="M15" s="74"/>
      <c r="N15" s="73" t="s">
        <v>40</v>
      </c>
      <c r="O15" s="75">
        <f>'Betting SETUP'!E3</f>
        <v>20</v>
      </c>
      <c r="P15" s="73"/>
    </row>
  </sheetData>
  <conditionalFormatting sqref="E2:E13">
    <cfRule type="expression" dxfId="6" priority="1">
      <formula>E2=MIN($E$2:$E$11)</formula>
    </cfRule>
  </conditionalFormatting>
  <conditionalFormatting sqref="F2:F13">
    <cfRule type="expression" dxfId="6" priority="2">
      <formula>F2=MIN($F$2:$F$11)</formula>
    </cfRule>
  </conditionalFormatting>
  <conditionalFormatting sqref="G2:G13">
    <cfRule type="expression" dxfId="6" priority="3">
      <formula>G2=MIN($G$2:$G$11)</formula>
    </cfRule>
  </conditionalFormatting>
  <conditionalFormatting sqref="H2:H13">
    <cfRule type="expression" dxfId="6" priority="4">
      <formula>H2=MIN($H$2:$H$11)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71"/>
    <col customWidth="1" min="2" max="14" width="8.86"/>
  </cols>
  <sheetData>
    <row r="1" ht="12.75" customHeight="1">
      <c r="A1" s="76" t="s">
        <v>24</v>
      </c>
      <c r="B1" s="76" t="s">
        <v>41</v>
      </c>
      <c r="C1" s="76" t="s">
        <v>41</v>
      </c>
      <c r="D1" s="77" t="str">
        <f>SETUP!C1</f>
        <v>THE TRIBUTE</v>
      </c>
      <c r="E1" s="78"/>
      <c r="F1" s="77" t="str">
        <f>SETUP!D1</f>
        <v>THE PREMIER</v>
      </c>
      <c r="G1" s="78"/>
      <c r="H1" s="77" t="str">
        <f>SETUP!E1</f>
        <v>THE LOON</v>
      </c>
      <c r="I1" s="78"/>
      <c r="J1" s="77" t="str">
        <f>SETUP!F1</f>
        <v>THE LAKES</v>
      </c>
      <c r="K1" s="78"/>
      <c r="L1" s="77" t="s">
        <v>8</v>
      </c>
      <c r="M1" s="79"/>
      <c r="N1" s="79"/>
    </row>
    <row r="2" ht="12.75" customHeight="1">
      <c r="A2" s="80"/>
      <c r="B2" s="81" t="s">
        <v>42</v>
      </c>
      <c r="C2" s="81" t="s">
        <v>43</v>
      </c>
      <c r="D2" s="82" t="s">
        <v>44</v>
      </c>
      <c r="E2" s="82" t="s">
        <v>9</v>
      </c>
      <c r="F2" s="82" t="s">
        <v>44</v>
      </c>
      <c r="G2" s="82" t="s">
        <v>9</v>
      </c>
      <c r="H2" s="82" t="s">
        <v>44</v>
      </c>
      <c r="I2" s="82" t="s">
        <v>9</v>
      </c>
      <c r="J2" s="82" t="s">
        <v>44</v>
      </c>
      <c r="K2" s="82" t="s">
        <v>9</v>
      </c>
      <c r="L2" s="83" t="s">
        <v>44</v>
      </c>
      <c r="M2" s="83" t="s">
        <v>9</v>
      </c>
      <c r="N2" s="84" t="s">
        <v>1</v>
      </c>
    </row>
    <row r="3" ht="12.75" customHeight="1">
      <c r="A3" s="85" t="str">
        <f>SETUP!A5</f>
        <v>Aaron J</v>
      </c>
      <c r="B3" s="86">
        <f t="shared" ref="B3:B14" si="1">if(countif(D3:K3,"WD"),"WD",RANK(M3,$M$3:$M$14,1)+COUNTIF($M$3:M3,M3)-1)</f>
        <v>10</v>
      </c>
      <c r="C3" s="87">
        <f t="shared" ref="C3:C14" si="2">if(countif(D3:K3,"WD"),"WD",if(countif($M$3:$M$14,M3)=1,RANK(M3,$M$3:$M$14,1),"T"&amp;RANK(M3,$M$3:$M$14,1)))</f>
        <v>10</v>
      </c>
      <c r="D3" s="87">
        <f t="array" ref="D3">index(Scorecards!$X$5:$X$16,match($A3,Scorecards!$A$5:$A$16,0))</f>
        <v>83</v>
      </c>
      <c r="E3" s="87">
        <f t="array" ref="E3">index(Scorecards!$Y$5:$Y$16,match($A3,Scorecards!$A$5:$A$16,0))</f>
        <v>74</v>
      </c>
      <c r="F3" s="87">
        <f t="array" ref="F3">index(Scorecards!$X$24:$X$35,match($A3,Scorecards!$A$24:$A$35,0))</f>
        <v>84</v>
      </c>
      <c r="G3" s="87">
        <f t="array" ref="G3">index(Scorecards!$Y$24:$Y$35,match($A3,Scorecards!$A$24:$A$35,0))</f>
        <v>77</v>
      </c>
      <c r="H3" s="87">
        <f t="array" ref="H3">index(Scorecards!$X$43:$X$54,match($A3,Scorecards!$A$43:$A$54,0))</f>
        <v>91</v>
      </c>
      <c r="I3" s="87">
        <f t="array" ref="I3">index(Scorecards!$Y$43:$Y$54,match($A3,Scorecards!$A$43:$A$54,0))</f>
        <v>85</v>
      </c>
      <c r="J3" s="87">
        <f t="array" ref="J3">index(Scorecards!$X$62:$X$73,match($A3,Scorecards!$A$62:$A$73,0))</f>
        <v>87</v>
      </c>
      <c r="K3" s="87">
        <f t="array" ref="K3">index(Scorecards!$Y$62:$Y$73,match($A3,Scorecards!$A$62:$A$73,0))</f>
        <v>80</v>
      </c>
      <c r="L3" s="85">
        <f t="shared" ref="L3:L14" si="3">if(countif(D3:K3,"WD"),"WD",SUM(D3,F3,H3,J3))</f>
        <v>345</v>
      </c>
      <c r="M3" s="85">
        <f t="shared" ref="M3:M14" si="4">if(countif(D3:K3,"WD"),"WD",SUM(E3,G3,I3,K3))</f>
        <v>316</v>
      </c>
      <c r="N3" s="88">
        <f>if(countif(D3:K3,"WD"),"WD",if(COUNT($D3:$K3)=8,$M3-sum(SETUP!$C$4:$F$4),if(count($D3:$K3)=6,$M3-sum(SETUP!$C$4:$E$4),if(count($D3:$I3)=4,$M3-sum(SETUP!$C$4:$D$4),if(count($D3:$I3)=2,$M3-SETUP!$C$4,"TBD")))))</f>
        <v>28</v>
      </c>
    </row>
    <row r="4" ht="12.75" customHeight="1">
      <c r="A4" s="83" t="str">
        <f>SETUP!A6</f>
        <v>Andy V</v>
      </c>
      <c r="B4" s="89">
        <f t="shared" si="1"/>
        <v>4</v>
      </c>
      <c r="C4" s="82">
        <f t="shared" si="2"/>
        <v>4</v>
      </c>
      <c r="D4" s="82">
        <f t="array" ref="D4">index(Scorecards!$X$5:$X$16,match($A4,Scorecards!$A$5:$A$16,0))</f>
        <v>104</v>
      </c>
      <c r="E4" s="82">
        <f t="array" ref="E4">index(Scorecards!$Y$5:$Y$16,match($A4,Scorecards!$A$5:$A$16,0))</f>
        <v>82</v>
      </c>
      <c r="F4" s="82">
        <f t="array" ref="F4">index(Scorecards!$X$24:$X$35,match($A4,Scorecards!$A$24:$A$35,0))</f>
        <v>93</v>
      </c>
      <c r="G4" s="82">
        <f t="array" ref="G4">index(Scorecards!$Y$24:$Y$35,match($A4,Scorecards!$A$24:$A$35,0))</f>
        <v>74</v>
      </c>
      <c r="H4" s="82">
        <f t="array" ref="H4">index(Scorecards!$X$43:$X$54,match($A4,Scorecards!$A$43:$A$54,0))</f>
        <v>93</v>
      </c>
      <c r="I4" s="82">
        <f t="array" ref="I4">index(Scorecards!$Y$43:$Y$54,match($A4,Scorecards!$A$43:$A$54,0))</f>
        <v>74</v>
      </c>
      <c r="J4" s="82">
        <f t="array" ref="J4">index(Scorecards!$X$62:$X$73,match($A4,Scorecards!$A$62:$A$73,0))</f>
        <v>94</v>
      </c>
      <c r="K4" s="82">
        <f t="array" ref="K4">index(Scorecards!$Y$62:$Y$73,match($A4,Scorecards!$A$62:$A$73,0))</f>
        <v>74</v>
      </c>
      <c r="L4" s="83">
        <f t="shared" si="3"/>
        <v>384</v>
      </c>
      <c r="M4" s="83">
        <f t="shared" si="4"/>
        <v>304</v>
      </c>
      <c r="N4" s="90">
        <f>if(countif(D4:K4,"WD"),"WD",if(COUNT($D4:$K4)=8,$M4-sum(SETUP!$C$4:$F$4),if(count($D4:$K4)=6,$M4-sum(SETUP!$C$4:$E$4),if(count($D4:$I4)=4,$M4-sum(SETUP!$C$4:$D$4),if(count($D4:$I4)=2,$M4-SETUP!$C$4,"TBD")))))</f>
        <v>16</v>
      </c>
    </row>
    <row r="5" ht="12.75" customHeight="1">
      <c r="A5" s="85" t="str">
        <f>SETUP!A7</f>
        <v>Bob B</v>
      </c>
      <c r="B5" s="86">
        <f t="shared" si="1"/>
        <v>3</v>
      </c>
      <c r="C5" s="87">
        <f t="shared" si="2"/>
        <v>3</v>
      </c>
      <c r="D5" s="87">
        <f t="array" ref="D5">index(Scorecards!$X$5:$X$16,match($A5,Scorecards!$A$5:$A$16,0))</f>
        <v>96</v>
      </c>
      <c r="E5" s="87">
        <f t="array" ref="E5">index(Scorecards!$Y$5:$Y$16,match($A5,Scorecards!$A$5:$A$16,0))</f>
        <v>76</v>
      </c>
      <c r="F5" s="87">
        <f t="array" ref="F5">index(Scorecards!$X$24:$X$35,match($A5,Scorecards!$A$24:$A$35,0))</f>
        <v>87</v>
      </c>
      <c r="G5" s="87">
        <f t="array" ref="G5">index(Scorecards!$Y$24:$Y$35,match($A5,Scorecards!$A$24:$A$35,0))</f>
        <v>69</v>
      </c>
      <c r="H5" s="87">
        <f t="array" ref="H5">index(Scorecards!$X$43:$X$54,match($A5,Scorecards!$A$43:$A$54,0))</f>
        <v>94</v>
      </c>
      <c r="I5" s="87">
        <f t="array" ref="I5">index(Scorecards!$Y$43:$Y$54,match($A5,Scorecards!$A$43:$A$54,0))</f>
        <v>77</v>
      </c>
      <c r="J5" s="87">
        <f t="array" ref="J5">index(Scorecards!$X$62:$X$73,match($A5,Scorecards!$A$62:$A$73,0))</f>
        <v>95</v>
      </c>
      <c r="K5" s="87">
        <f t="array" ref="K5">index(Scorecards!$Y$62:$Y$73,match($A5,Scorecards!$A$62:$A$73,0))</f>
        <v>77</v>
      </c>
      <c r="L5" s="85">
        <f t="shared" si="3"/>
        <v>372</v>
      </c>
      <c r="M5" s="85">
        <f t="shared" si="4"/>
        <v>299</v>
      </c>
      <c r="N5" s="88">
        <f>if(countif(D5:K5,"WD"),"WD",if(COUNT($D5:$K5)=8,$M5-sum(SETUP!$C$4:$F$4),if(count($D5:$K5)=6,$M5-sum(SETUP!$C$4:$E$4),if(count($D5:$I5)=4,$M5-sum(SETUP!$C$4:$D$4),if(count($D5:$I5)=2,$M5-SETUP!$C$4,"TBD")))))</f>
        <v>11</v>
      </c>
    </row>
    <row r="6" ht="12.75" customHeight="1">
      <c r="A6" s="83" t="str">
        <f>SETUP!A8</f>
        <v>Brian K</v>
      </c>
      <c r="B6" s="89">
        <f t="shared" si="1"/>
        <v>8</v>
      </c>
      <c r="C6" s="82">
        <f t="shared" si="2"/>
        <v>8</v>
      </c>
      <c r="D6" s="82">
        <f t="array" ref="D6">index(Scorecards!$X$5:$X$16,match($A6,Scorecards!$A$5:$A$16,0))</f>
        <v>89</v>
      </c>
      <c r="E6" s="82">
        <f t="array" ref="E6">index(Scorecards!$Y$5:$Y$16,match($A6,Scorecards!$A$5:$A$16,0))</f>
        <v>76</v>
      </c>
      <c r="F6" s="82">
        <f t="array" ref="F6">index(Scorecards!$X$24:$X$35,match($A6,Scorecards!$A$24:$A$35,0))</f>
        <v>85</v>
      </c>
      <c r="G6" s="82">
        <f t="array" ref="G6">index(Scorecards!$Y$24:$Y$35,match($A6,Scorecards!$A$24:$A$35,0))</f>
        <v>75</v>
      </c>
      <c r="H6" s="82">
        <f t="array" ref="H6">index(Scorecards!$X$43:$X$54,match($A6,Scorecards!$A$43:$A$54,0))</f>
        <v>88</v>
      </c>
      <c r="I6" s="82">
        <f t="array" ref="I6">index(Scorecards!$Y$43:$Y$54,match($A6,Scorecards!$A$43:$A$54,0))</f>
        <v>78</v>
      </c>
      <c r="J6" s="82">
        <f t="array" ref="J6">index(Scorecards!$X$62:$X$73,match($A6,Scorecards!$A$62:$A$73,0))</f>
        <v>94</v>
      </c>
      <c r="K6" s="82">
        <f t="array" ref="K6">index(Scorecards!$Y$62:$Y$73,match($A6,Scorecards!$A$62:$A$73,0))</f>
        <v>83</v>
      </c>
      <c r="L6" s="83">
        <f t="shared" si="3"/>
        <v>356</v>
      </c>
      <c r="M6" s="83">
        <f t="shared" si="4"/>
        <v>312</v>
      </c>
      <c r="N6" s="90">
        <f>if(countif(D6:K6,"WD"),"WD",if(COUNT($D6:$K6)=8,$M6-sum(SETUP!$C$4:$F$4),if(count($D6:$K6)=6,$M6-sum(SETUP!$C$4:$E$4),if(count($D6:$I6)=4,$M6-sum(SETUP!$C$4:$D$4),if(count($D6:$I6)=2,$M6-SETUP!$C$4,"TBD")))))</f>
        <v>24</v>
      </c>
    </row>
    <row r="7" ht="12.75" customHeight="1">
      <c r="A7" s="85" t="str">
        <f>SETUP!A9</f>
        <v>Dave K</v>
      </c>
      <c r="B7" s="86">
        <f t="shared" si="1"/>
        <v>5</v>
      </c>
      <c r="C7" s="87">
        <f t="shared" si="2"/>
        <v>5</v>
      </c>
      <c r="D7" s="87">
        <f t="array" ref="D7">index(Scorecards!$X$5:$X$16,match($A7,Scorecards!$A$5:$A$16,0))</f>
        <v>93</v>
      </c>
      <c r="E7" s="87">
        <f t="array" ref="E7">index(Scorecards!$Y$5:$Y$16,match($A7,Scorecards!$A$5:$A$16,0))</f>
        <v>73</v>
      </c>
      <c r="F7" s="87">
        <f t="array" ref="F7">index(Scorecards!$X$24:$X$35,match($A7,Scorecards!$A$24:$A$35,0))</f>
        <v>97</v>
      </c>
      <c r="G7" s="87">
        <f t="array" ref="G7">index(Scorecards!$Y$24:$Y$35,match($A7,Scorecards!$A$24:$A$35,0))</f>
        <v>79</v>
      </c>
      <c r="H7" s="87">
        <f t="array" ref="H7">index(Scorecards!$X$43:$X$54,match($A7,Scorecards!$A$43:$A$54,0))</f>
        <v>94</v>
      </c>
      <c r="I7" s="87">
        <f t="array" ref="I7">index(Scorecards!$Y$43:$Y$54,match($A7,Scorecards!$A$43:$A$54,0))</f>
        <v>77</v>
      </c>
      <c r="J7" s="87">
        <f t="array" ref="J7">index(Scorecards!$X$62:$X$73,match($A7,Scorecards!$A$62:$A$73,0))</f>
        <v>95</v>
      </c>
      <c r="K7" s="87">
        <f t="array" ref="K7">index(Scorecards!$Y$62:$Y$73,match($A7,Scorecards!$A$62:$A$73,0))</f>
        <v>77</v>
      </c>
      <c r="L7" s="85">
        <f t="shared" si="3"/>
        <v>379</v>
      </c>
      <c r="M7" s="85">
        <f t="shared" si="4"/>
        <v>306</v>
      </c>
      <c r="N7" s="88">
        <f>if(countif(D7:K7,"WD"),"WD",if(COUNT($D7:$K7)=8,$M7-sum(SETUP!$C$4:$F$4),if(count($D7:$K7)=6,$M7-sum(SETUP!$C$4:$E$4),if(count($D7:$I7)=4,$M7-sum(SETUP!$C$4:$D$4),if(count($D7:$I7)=2,$M7-SETUP!$C$4,"TBD")))))</f>
        <v>18</v>
      </c>
    </row>
    <row r="8" ht="12.75" customHeight="1">
      <c r="A8" s="83" t="str">
        <f>SETUP!A10</f>
        <v>Eric O</v>
      </c>
      <c r="B8" s="89">
        <f t="shared" si="1"/>
        <v>7</v>
      </c>
      <c r="C8" s="82">
        <f t="shared" si="2"/>
        <v>7</v>
      </c>
      <c r="D8" s="82">
        <f t="array" ref="D8">index(Scorecards!$X$5:$X$16,match($A8,Scorecards!$A$5:$A$16,0))</f>
        <v>101</v>
      </c>
      <c r="E8" s="82">
        <f t="array" ref="E8">index(Scorecards!$Y$5:$Y$16,match($A8,Scorecards!$A$5:$A$16,0))</f>
        <v>82</v>
      </c>
      <c r="F8" s="82">
        <f t="array" ref="F8">index(Scorecards!$X$24:$X$35,match($A8,Scorecards!$A$24:$A$35,0))</f>
        <v>97</v>
      </c>
      <c r="G8" s="82">
        <f t="array" ref="G8">index(Scorecards!$Y$24:$Y$35,match($A8,Scorecards!$A$24:$A$35,0))</f>
        <v>80</v>
      </c>
      <c r="H8" s="82">
        <f t="array" ref="H8">index(Scorecards!$X$43:$X$54,match($A8,Scorecards!$A$43:$A$54,0))</f>
        <v>91</v>
      </c>
      <c r="I8" s="82">
        <f t="array" ref="I8">index(Scorecards!$Y$43:$Y$54,match($A8,Scorecards!$A$43:$A$54,0))</f>
        <v>74</v>
      </c>
      <c r="J8" s="82">
        <f t="array" ref="J8">index(Scorecards!$X$62:$X$73,match($A8,Scorecards!$A$62:$A$73,0))</f>
        <v>92</v>
      </c>
      <c r="K8" s="82">
        <f t="array" ref="K8">index(Scorecards!$Y$62:$Y$73,match($A8,Scorecards!$A$62:$A$73,0))</f>
        <v>75</v>
      </c>
      <c r="L8" s="83">
        <f t="shared" si="3"/>
        <v>381</v>
      </c>
      <c r="M8" s="83">
        <f t="shared" si="4"/>
        <v>311</v>
      </c>
      <c r="N8" s="90">
        <f>if(countif(D8:K8,"WD"),"WD",if(COUNT($D8:$K8)=8,$M8-sum(SETUP!$C$4:$F$4),if(count($D8:$K8)=6,$M8-sum(SETUP!$C$4:$E$4),if(count($D8:$I8)=4,$M8-sum(SETUP!$C$4:$D$4),if(count($D8:$I8)=2,$M8-SETUP!$C$4,"TBD")))))</f>
        <v>23</v>
      </c>
    </row>
    <row r="9" ht="12.75" customHeight="1">
      <c r="A9" s="85" t="str">
        <f>SETUP!A11</f>
        <v>Jeff B</v>
      </c>
      <c r="B9" s="86">
        <f t="shared" si="1"/>
        <v>6</v>
      </c>
      <c r="C9" s="87">
        <f t="shared" si="2"/>
        <v>6</v>
      </c>
      <c r="D9" s="87">
        <f t="array" ref="D9">index(Scorecards!$X$5:$X$16,match($A9,Scorecards!$A$5:$A$16,0))</f>
        <v>99</v>
      </c>
      <c r="E9" s="87">
        <f t="array" ref="E9">index(Scorecards!$Y$5:$Y$16,match($A9,Scorecards!$A$5:$A$16,0))</f>
        <v>77</v>
      </c>
      <c r="F9" s="87">
        <f t="array" ref="F9">index(Scorecards!$X$24:$X$35,match($A9,Scorecards!$A$24:$A$35,0))</f>
        <v>97</v>
      </c>
      <c r="G9" s="87">
        <f t="array" ref="G9">index(Scorecards!$Y$24:$Y$35,match($A9,Scorecards!$A$24:$A$35,0))</f>
        <v>77</v>
      </c>
      <c r="H9" s="87">
        <f t="array" ref="H9">index(Scorecards!$X$43:$X$54,match($A9,Scorecards!$A$43:$A$54,0))</f>
        <v>96</v>
      </c>
      <c r="I9" s="87">
        <f t="array" ref="I9">index(Scorecards!$Y$43:$Y$54,match($A9,Scorecards!$A$43:$A$54,0))</f>
        <v>76</v>
      </c>
      <c r="J9" s="87">
        <f t="array" ref="J9">index(Scorecards!$X$62:$X$73,match($A9,Scorecards!$A$62:$A$73,0))</f>
        <v>100</v>
      </c>
      <c r="K9" s="87">
        <f t="array" ref="K9">index(Scorecards!$Y$62:$Y$73,match($A9,Scorecards!$A$62:$A$73,0))</f>
        <v>80</v>
      </c>
      <c r="L9" s="85">
        <f t="shared" si="3"/>
        <v>392</v>
      </c>
      <c r="M9" s="85">
        <f t="shared" si="4"/>
        <v>310</v>
      </c>
      <c r="N9" s="88">
        <f>if(countif(D9:K9,"WD"),"WD",if(COUNT($D9:$K9)=8,$M9-sum(SETUP!$C$4:$F$4),if(count($D9:$K9)=6,$M9-sum(SETUP!$C$4:$E$4),if(count($D9:$I9)=4,$M9-sum(SETUP!$C$4:$D$4),if(count($D9:$I9)=2,$M9-SETUP!$C$4,"TBD")))))</f>
        <v>22</v>
      </c>
    </row>
    <row r="10" ht="12.75" customHeight="1">
      <c r="A10" s="83" t="str">
        <f>SETUP!A12</f>
        <v>Joe S</v>
      </c>
      <c r="B10" s="89">
        <f t="shared" si="1"/>
        <v>1</v>
      </c>
      <c r="C10" s="82">
        <f t="shared" si="2"/>
        <v>1</v>
      </c>
      <c r="D10" s="82">
        <f t="array" ref="D10">index(Scorecards!$X$5:$X$16,match($A10,Scorecards!$A$5:$A$16,0))</f>
        <v>87</v>
      </c>
      <c r="E10" s="82">
        <f t="array" ref="E10">index(Scorecards!$Y$5:$Y$16,match($A10,Scorecards!$A$5:$A$16,0))</f>
        <v>72</v>
      </c>
      <c r="F10" s="82">
        <f t="array" ref="F10">index(Scorecards!$X$24:$X$35,match($A10,Scorecards!$A$24:$A$35,0))</f>
        <v>85</v>
      </c>
      <c r="G10" s="82">
        <f t="array" ref="G10">index(Scorecards!$Y$24:$Y$35,match($A10,Scorecards!$A$24:$A$35,0))</f>
        <v>72</v>
      </c>
      <c r="H10" s="82">
        <f t="array" ref="H10">index(Scorecards!$X$43:$X$54,match($A10,Scorecards!$A$43:$A$54,0))</f>
        <v>92</v>
      </c>
      <c r="I10" s="82">
        <f t="array" ref="I10">index(Scorecards!$Y$43:$Y$54,match($A10,Scorecards!$A$43:$A$54,0))</f>
        <v>79</v>
      </c>
      <c r="J10" s="82">
        <f t="array" ref="J10">index(Scorecards!$X$62:$X$73,match($A10,Scorecards!$A$62:$A$73,0))</f>
        <v>82</v>
      </c>
      <c r="K10" s="82">
        <f t="array" ref="K10">index(Scorecards!$Y$62:$Y$73,match($A10,Scorecards!$A$62:$A$73,0))</f>
        <v>69</v>
      </c>
      <c r="L10" s="83">
        <f t="shared" si="3"/>
        <v>346</v>
      </c>
      <c r="M10" s="83">
        <f t="shared" si="4"/>
        <v>292</v>
      </c>
      <c r="N10" s="90">
        <f>if(countif(D10:K10,"WD"),"WD",if(COUNT($D10:$K10)=8,$M10-sum(SETUP!$C$4:$F$4),if(count($D10:$K10)=6,$M10-sum(SETUP!$C$4:$E$4),if(count($D10:$I10)=4,$M10-sum(SETUP!$C$4:$D$4),if(count($D10:$I10)=2,$M10-SETUP!$C$4,"TBD")))))</f>
        <v>4</v>
      </c>
    </row>
    <row r="11" ht="12.75" customHeight="1">
      <c r="A11" s="85" t="str">
        <f>SETUP!A13</f>
        <v>John C</v>
      </c>
      <c r="B11" s="86" t="str">
        <f t="shared" si="1"/>
        <v>WD</v>
      </c>
      <c r="C11" s="87" t="str">
        <f t="shared" si="2"/>
        <v>WD</v>
      </c>
      <c r="D11" s="87">
        <f t="array" ref="D11">index(Scorecards!$X$5:$X$16,match($A11,Scorecards!$A$5:$A$16,0))</f>
        <v>94</v>
      </c>
      <c r="E11" s="87">
        <f t="array" ref="E11">index(Scorecards!$Y$5:$Y$16,match($A11,Scorecards!$A$5:$A$16,0))</f>
        <v>71</v>
      </c>
      <c r="F11" s="87">
        <f t="array" ref="F11">index(Scorecards!$X$24:$X$35,match($A11,Scorecards!$A$24:$A$35,0))</f>
        <v>106</v>
      </c>
      <c r="G11" s="87">
        <f t="array" ref="G11">index(Scorecards!$Y$24:$Y$35,match($A11,Scorecards!$A$24:$A$35,0))</f>
        <v>86</v>
      </c>
      <c r="H11" s="87">
        <f t="array" ref="H11">index(Scorecards!$X$43:$X$54,match($A11,Scorecards!$A$43:$A$54,0))</f>
        <v>96</v>
      </c>
      <c r="I11" s="87">
        <f t="array" ref="I11">index(Scorecards!$Y$43:$Y$54,match($A11,Scorecards!$A$43:$A$54,0))</f>
        <v>76</v>
      </c>
      <c r="J11" s="87" t="str">
        <f t="array" ref="J11">index(Scorecards!$X$62:$X$73,match($A11,Scorecards!$A$62:$A$73,0))</f>
        <v>WD</v>
      </c>
      <c r="K11" s="87" t="str">
        <f t="array" ref="K11">index(Scorecards!$Y$62:$Y$73,match($A11,Scorecards!$A$62:$A$73,0))</f>
        <v>WD</v>
      </c>
      <c r="L11" s="85" t="str">
        <f t="shared" si="3"/>
        <v>WD</v>
      </c>
      <c r="M11" s="85" t="str">
        <f t="shared" si="4"/>
        <v>WD</v>
      </c>
      <c r="N11" s="88" t="str">
        <f>if(countif(D11:K11,"WD"),"WD",if(COUNT($D11:$K11)=8,$M11-sum(SETUP!$C$4:$F$4),if(count($D11:$K11)=6,$M11-sum(SETUP!$C$4:$E$4),if(count($D11:$I11)=4,$M11-sum(SETUP!$C$4:$D$4),if(count($D11:$I11)=2,$M11-SETUP!$C$4,"TBD")))))</f>
        <v>WD</v>
      </c>
    </row>
    <row r="12" ht="12.75" customHeight="1">
      <c r="A12" s="83" t="str">
        <f>SETUP!A14</f>
        <v>Ray H</v>
      </c>
      <c r="B12" s="89">
        <f t="shared" si="1"/>
        <v>11</v>
      </c>
      <c r="C12" s="82">
        <f t="shared" si="2"/>
        <v>11</v>
      </c>
      <c r="D12" s="82">
        <f t="array" ref="D12">index(Scorecards!$X$5:$X$16,match($A12,Scorecards!$A$5:$A$16,0))</f>
        <v>108</v>
      </c>
      <c r="E12" s="82">
        <f t="array" ref="E12">index(Scorecards!$Y$5:$Y$16,match($A12,Scorecards!$A$5:$A$16,0))</f>
        <v>85</v>
      </c>
      <c r="F12" s="82">
        <f t="array" ref="F12">index(Scorecards!$X$24:$X$35,match($A12,Scorecards!$A$24:$A$35,0))</f>
        <v>108</v>
      </c>
      <c r="G12" s="82">
        <f t="array" ref="G12">index(Scorecards!$Y$24:$Y$35,match($A12,Scorecards!$A$24:$A$35,0))</f>
        <v>88</v>
      </c>
      <c r="H12" s="82">
        <f t="array" ref="H12">index(Scorecards!$X$43:$X$54,match($A12,Scorecards!$A$43:$A$54,0))</f>
        <v>97</v>
      </c>
      <c r="I12" s="82">
        <f t="array" ref="I12">index(Scorecards!$Y$43:$Y$54,match($A12,Scorecards!$A$43:$A$54,0))</f>
        <v>77</v>
      </c>
      <c r="J12" s="82">
        <f t="array" ref="J12">index(Scorecards!$X$62:$X$73,match($A12,Scorecards!$A$62:$A$73,0))</f>
        <v>119</v>
      </c>
      <c r="K12" s="82">
        <f t="array" ref="K12">index(Scorecards!$Y$62:$Y$73,match($A12,Scorecards!$A$62:$A$73,0))</f>
        <v>99</v>
      </c>
      <c r="L12" s="83">
        <f t="shared" si="3"/>
        <v>432</v>
      </c>
      <c r="M12" s="83">
        <f t="shared" si="4"/>
        <v>349</v>
      </c>
      <c r="N12" s="90">
        <f>if(countif(D12:K12,"WD"),"WD",if(COUNT($D12:$K12)=8,$M12-sum(SETUP!$C$4:$F$4),if(count($D12:$K12)=6,$M12-sum(SETUP!$C$4:$E$4),if(count($D12:$I12)=4,$M12-sum(SETUP!$C$4:$D$4),if(count($D12:$I12)=2,$M12-SETUP!$C$4,"TBD")))))</f>
        <v>61</v>
      </c>
    </row>
    <row r="13" ht="12.75" customHeight="1">
      <c r="A13" s="85" t="str">
        <f>SETUP!A15</f>
        <v>Russ W</v>
      </c>
      <c r="B13" s="86">
        <f t="shared" si="1"/>
        <v>9</v>
      </c>
      <c r="C13" s="87">
        <f t="shared" si="2"/>
        <v>9</v>
      </c>
      <c r="D13" s="87">
        <f t="array" ref="D13">index(Scorecards!$X$5:$X$16,match($A13,Scorecards!$A$5:$A$16,0))</f>
        <v>88</v>
      </c>
      <c r="E13" s="87">
        <f t="array" ref="E13">index(Scorecards!$Y$5:$Y$16,match($A13,Scorecards!$A$5:$A$16,0))</f>
        <v>71</v>
      </c>
      <c r="F13" s="87">
        <f t="array" ref="F13">index(Scorecards!$X$24:$X$35,match($A13,Scorecards!$A$24:$A$35,0))</f>
        <v>94</v>
      </c>
      <c r="G13" s="87">
        <f t="array" ref="G13">index(Scorecards!$Y$24:$Y$35,match($A13,Scorecards!$A$24:$A$35,0))</f>
        <v>80</v>
      </c>
      <c r="H13" s="87">
        <f t="array" ref="H13">index(Scorecards!$X$43:$X$54,match($A13,Scorecards!$A$43:$A$54,0))</f>
        <v>99</v>
      </c>
      <c r="I13" s="87">
        <f t="array" ref="I13">index(Scorecards!$Y$43:$Y$54,match($A13,Scorecards!$A$43:$A$54,0))</f>
        <v>85</v>
      </c>
      <c r="J13" s="87">
        <f t="array" ref="J13">index(Scorecards!$X$62:$X$73,match($A13,Scorecards!$A$62:$A$73,0))</f>
        <v>91</v>
      </c>
      <c r="K13" s="87">
        <f t="array" ref="K13">index(Scorecards!$Y$62:$Y$73,match($A13,Scorecards!$A$62:$A$73,0))</f>
        <v>77</v>
      </c>
      <c r="L13" s="85">
        <f t="shared" si="3"/>
        <v>372</v>
      </c>
      <c r="M13" s="85">
        <f t="shared" si="4"/>
        <v>313</v>
      </c>
      <c r="N13" s="88">
        <f>if(countif(D13:K13,"WD"),"WD",if(COUNT($D13:$K13)=8,$M13-sum(SETUP!$C$4:$F$4),if(count($D13:$K13)=6,$M13-sum(SETUP!$C$4:$E$4),if(count($D13:$I13)=4,$M13-sum(SETUP!$C$4:$D$4),if(count($D13:$I13)=2,$M13-SETUP!$C$4,"TBD")))))</f>
        <v>25</v>
      </c>
    </row>
    <row r="14" ht="12.75" customHeight="1">
      <c r="A14" s="83" t="str">
        <f>SETUP!A16</f>
        <v>Scott R</v>
      </c>
      <c r="B14" s="89">
        <f t="shared" si="1"/>
        <v>2</v>
      </c>
      <c r="C14" s="82">
        <f t="shared" si="2"/>
        <v>2</v>
      </c>
      <c r="D14" s="82">
        <f t="array" ref="D14">index(Scorecards!$X$5:$X$16,match($A14,Scorecards!$A$5:$A$16,0))</f>
        <v>86</v>
      </c>
      <c r="E14" s="82">
        <f t="array" ref="E14">index(Scorecards!$Y$5:$Y$16,match($A14,Scorecards!$A$5:$A$16,0))</f>
        <v>76</v>
      </c>
      <c r="F14" s="82">
        <f t="array" ref="F14">index(Scorecards!$X$24:$X$35,match($A14,Scorecards!$A$24:$A$35,0))</f>
        <v>79</v>
      </c>
      <c r="G14" s="82">
        <f t="array" ref="G14">index(Scorecards!$Y$24:$Y$35,match($A14,Scorecards!$A$24:$A$35,0))</f>
        <v>71</v>
      </c>
      <c r="H14" s="82">
        <f t="array" ref="H14">index(Scorecards!$X$43:$X$54,match($A14,Scorecards!$A$43:$A$54,0))</f>
        <v>82</v>
      </c>
      <c r="I14" s="82">
        <f t="array" ref="I14">index(Scorecards!$Y$43:$Y$54,match($A14,Scorecards!$A$43:$A$54,0))</f>
        <v>75</v>
      </c>
      <c r="J14" s="82">
        <f t="array" ref="J14">index(Scorecards!$X$62:$X$73,match($A14,Scorecards!$A$62:$A$73,0))</f>
        <v>84</v>
      </c>
      <c r="K14" s="82">
        <f t="array" ref="K14">index(Scorecards!$Y$62:$Y$73,match($A14,Scorecards!$A$62:$A$73,0))</f>
        <v>76</v>
      </c>
      <c r="L14" s="83">
        <f t="shared" si="3"/>
        <v>331</v>
      </c>
      <c r="M14" s="83">
        <f t="shared" si="4"/>
        <v>298</v>
      </c>
      <c r="N14" s="90">
        <f>if(countif(D14:K14,"WD"),"WD",if(COUNT($D14:$K14)=8,$M14-sum(SETUP!$C$4:$F$4),if(count($D14:$K14)=6,$M14-sum(SETUP!$C$4:$E$4),if(count($D14:$I14)=4,$M14-sum(SETUP!$C$4:$D$4),if(count($D14:$I14)=2,$M14-SETUP!$C$4,"TBD")))))</f>
        <v>10</v>
      </c>
    </row>
  </sheetData>
  <mergeCells count="5">
    <mergeCell ref="D1:E1"/>
    <mergeCell ref="F1:G1"/>
    <mergeCell ref="H1:I1"/>
    <mergeCell ref="J1:K1"/>
    <mergeCell ref="L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2" max="2" width="7.43"/>
    <col customWidth="1" min="3" max="7" width="14.43"/>
  </cols>
  <sheetData>
    <row r="1">
      <c r="A1" s="91" t="s">
        <v>45</v>
      </c>
      <c r="B1" s="92">
        <f t="shared" ref="B1:B2" si="1">sum(C1:G1)</f>
        <v>80</v>
      </c>
      <c r="C1" s="93">
        <v>6.67</v>
      </c>
      <c r="D1" s="93">
        <v>43.33</v>
      </c>
      <c r="E1" s="93">
        <v>30.0</v>
      </c>
      <c r="F1" s="93"/>
      <c r="G1" s="93"/>
    </row>
    <row r="2">
      <c r="A2" s="91" t="s">
        <v>46</v>
      </c>
      <c r="B2" s="92">
        <f t="shared" si="1"/>
        <v>960</v>
      </c>
      <c r="C2" s="93">
        <f>C3*counta(SETUP!C1:F1)</f>
        <v>80.04</v>
      </c>
      <c r="D2" s="93">
        <f>(COUNTIF(D5:D16,"Y") *D1)</f>
        <v>519.96</v>
      </c>
      <c r="E2" s="93">
        <f>E3*sum(countif(Scorecards!D4:U4,3),countif(Scorecards!D23:U23,3),countif(Scorecards!D42:U42,3),countif(Scorecards!D61:U61,3))</f>
        <v>360</v>
      </c>
      <c r="F2" s="93">
        <f t="shared" ref="F2:G2" si="2">F3</f>
        <v>0</v>
      </c>
      <c r="G2" s="93">
        <f t="shared" si="2"/>
        <v>0</v>
      </c>
    </row>
    <row r="3">
      <c r="A3" s="91" t="s">
        <v>47</v>
      </c>
      <c r="B3" s="92"/>
      <c r="C3" s="93">
        <f>(COUNTIF(C5:C16,"Y") *C1)/counta(SETUP!C1:F1)</f>
        <v>20.01</v>
      </c>
      <c r="D3" s="93">
        <f>if(sum(Scorecards!X17,Scorecards!X36,Scorecards!X55,Scorecards!X74)=0,0,(COUNTIF(D5:D16,"Y") *D1)/sum(Scorecards!X17,Scorecards!X36,Scorecards!X55,Scorecards!X74))</f>
        <v>20.7984</v>
      </c>
      <c r="E3" s="93">
        <f>(COUNTIF(E5:E16,"Y") *E1)/sum(countif(Scorecards!D4:U4,3),countif(Scorecards!D23:U23,3),countif(Scorecards!D42:U42,3),countif(Scorecards!D61:U61,3))</f>
        <v>20</v>
      </c>
      <c r="F3" s="93">
        <f t="shared" ref="F3:G3" si="3">COUNTIF(F5:F16,"Y") *F1</f>
        <v>0</v>
      </c>
      <c r="G3" s="93">
        <f t="shared" si="3"/>
        <v>0</v>
      </c>
    </row>
    <row r="4">
      <c r="A4" s="57" t="s">
        <v>24</v>
      </c>
      <c r="B4" s="94" t="s">
        <v>48</v>
      </c>
      <c r="C4" s="95" t="s">
        <v>49</v>
      </c>
      <c r="D4" s="95" t="s">
        <v>50</v>
      </c>
      <c r="E4" s="95" t="s">
        <v>20</v>
      </c>
      <c r="F4" s="95" t="s">
        <v>51</v>
      </c>
      <c r="G4" s="95" t="s">
        <v>52</v>
      </c>
    </row>
    <row r="5">
      <c r="A5" s="64" t="str">
        <f>SETUP!A5</f>
        <v>Aaron J</v>
      </c>
      <c r="B5" s="96" t="s">
        <v>53</v>
      </c>
      <c r="C5" s="97" t="s">
        <v>53</v>
      </c>
      <c r="D5" s="98" t="s">
        <v>53</v>
      </c>
      <c r="E5" s="97" t="s">
        <v>53</v>
      </c>
      <c r="F5" s="97"/>
      <c r="G5" s="97"/>
    </row>
    <row r="6">
      <c r="A6" s="64" t="str">
        <f>SETUP!A6</f>
        <v>Andy V</v>
      </c>
      <c r="B6" s="99" t="s">
        <v>53</v>
      </c>
      <c r="C6" s="100" t="s">
        <v>53</v>
      </c>
      <c r="D6" s="100" t="s">
        <v>53</v>
      </c>
      <c r="E6" s="100" t="s">
        <v>53</v>
      </c>
      <c r="F6" s="100"/>
      <c r="G6" s="100"/>
    </row>
    <row r="7">
      <c r="A7" s="64" t="str">
        <f>SETUP!A7</f>
        <v>Bob B</v>
      </c>
      <c r="B7" s="98" t="s">
        <v>53</v>
      </c>
      <c r="C7" s="97" t="s">
        <v>53</v>
      </c>
      <c r="D7" s="97" t="s">
        <v>53</v>
      </c>
      <c r="E7" s="97" t="s">
        <v>53</v>
      </c>
      <c r="F7" s="97"/>
      <c r="G7" s="97"/>
    </row>
    <row r="8">
      <c r="A8" s="64" t="str">
        <f>SETUP!A8</f>
        <v>Brian K</v>
      </c>
      <c r="B8" s="96" t="s">
        <v>53</v>
      </c>
      <c r="C8" s="100" t="s">
        <v>53</v>
      </c>
      <c r="D8" s="100" t="s">
        <v>53</v>
      </c>
      <c r="E8" s="100" t="s">
        <v>53</v>
      </c>
      <c r="F8" s="100"/>
      <c r="G8" s="100"/>
    </row>
    <row r="9">
      <c r="A9" s="64" t="str">
        <f>SETUP!A9</f>
        <v>Dave K</v>
      </c>
      <c r="B9" s="99" t="s">
        <v>53</v>
      </c>
      <c r="C9" s="97" t="s">
        <v>53</v>
      </c>
      <c r="D9" s="97" t="s">
        <v>53</v>
      </c>
      <c r="E9" s="97" t="s">
        <v>53</v>
      </c>
      <c r="F9" s="97"/>
      <c r="G9" s="97"/>
    </row>
    <row r="10">
      <c r="A10" s="64" t="str">
        <f>SETUP!A10</f>
        <v>Eric O</v>
      </c>
      <c r="B10" s="98" t="s">
        <v>53</v>
      </c>
      <c r="C10" s="100" t="s">
        <v>53</v>
      </c>
      <c r="D10" s="100" t="s">
        <v>53</v>
      </c>
      <c r="E10" s="100" t="s">
        <v>53</v>
      </c>
      <c r="F10" s="100"/>
      <c r="G10" s="100"/>
    </row>
    <row r="11">
      <c r="A11" s="64" t="str">
        <f>SETUP!A11</f>
        <v>Jeff B</v>
      </c>
      <c r="B11" s="96" t="s">
        <v>53</v>
      </c>
      <c r="C11" s="97" t="s">
        <v>53</v>
      </c>
      <c r="D11" s="97" t="s">
        <v>53</v>
      </c>
      <c r="E11" s="97" t="s">
        <v>53</v>
      </c>
      <c r="F11" s="97"/>
      <c r="G11" s="97"/>
    </row>
    <row r="12">
      <c r="A12" s="64" t="str">
        <f>SETUP!A12</f>
        <v>Joe S</v>
      </c>
      <c r="B12" s="99" t="s">
        <v>53</v>
      </c>
      <c r="C12" s="100" t="s">
        <v>53</v>
      </c>
      <c r="D12" s="100" t="s">
        <v>53</v>
      </c>
      <c r="E12" s="100" t="s">
        <v>53</v>
      </c>
      <c r="F12" s="100"/>
      <c r="G12" s="100"/>
    </row>
    <row r="13">
      <c r="A13" s="64" t="str">
        <f>SETUP!A13</f>
        <v>John C</v>
      </c>
      <c r="B13" s="98" t="s">
        <v>53</v>
      </c>
      <c r="C13" s="100" t="s">
        <v>53</v>
      </c>
      <c r="D13" s="100" t="s">
        <v>53</v>
      </c>
      <c r="E13" s="100" t="s">
        <v>53</v>
      </c>
      <c r="F13" s="100"/>
      <c r="G13" s="100"/>
    </row>
    <row r="14">
      <c r="A14" s="64" t="str">
        <f>SETUP!A14</f>
        <v>Ray H</v>
      </c>
      <c r="B14" s="96" t="s">
        <v>53</v>
      </c>
      <c r="C14" s="100" t="s">
        <v>53</v>
      </c>
      <c r="D14" s="100" t="s">
        <v>53</v>
      </c>
      <c r="E14" s="100" t="s">
        <v>53</v>
      </c>
      <c r="F14" s="100"/>
      <c r="G14" s="100"/>
    </row>
    <row r="15">
      <c r="A15" s="64" t="str">
        <f>SETUP!A15</f>
        <v>Russ W</v>
      </c>
      <c r="B15" s="99" t="s">
        <v>53</v>
      </c>
      <c r="C15" s="101" t="s">
        <v>53</v>
      </c>
      <c r="D15" s="101" t="s">
        <v>53</v>
      </c>
      <c r="E15" s="101" t="s">
        <v>53</v>
      </c>
      <c r="F15" s="101"/>
      <c r="G15" s="101"/>
    </row>
    <row r="16">
      <c r="A16" s="64" t="str">
        <f>SETUP!A16</f>
        <v>Scott R</v>
      </c>
      <c r="B16" s="98" t="s">
        <v>53</v>
      </c>
      <c r="C16" s="101" t="s">
        <v>53</v>
      </c>
      <c r="D16" s="101" t="s">
        <v>53</v>
      </c>
      <c r="E16" s="101" t="s">
        <v>53</v>
      </c>
      <c r="F16" s="101"/>
      <c r="G16" s="101"/>
    </row>
  </sheetData>
  <conditionalFormatting sqref="C1:C3">
    <cfRule type="expression" dxfId="7" priority="1">
      <formula>#REF!="YES"</formula>
    </cfRule>
  </conditionalFormatting>
  <conditionalFormatting sqref="D1:D3">
    <cfRule type="expression" dxfId="7" priority="2">
      <formula>#REF!="YES"</formula>
    </cfRule>
  </conditionalFormatting>
  <conditionalFormatting sqref="E1:G3">
    <cfRule type="expression" dxfId="7" priority="3">
      <formula>#REF!="YES"</formula>
    </cfRule>
  </conditionalFormatting>
  <conditionalFormatting sqref="B1:B3">
    <cfRule type="expression" dxfId="7" priority="4">
      <formula>#REF!="YES"</formula>
    </cfRule>
  </conditionalFormatting>
  <conditionalFormatting sqref="B5:B16">
    <cfRule type="cellIs" dxfId="6" priority="5" operator="equal">
      <formula>"Y"</formula>
    </cfRule>
  </conditionalFormatting>
  <dataValidations>
    <dataValidation type="list" allowBlank="1" sqref="B5:B16">
      <formula1>"Y"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10.86"/>
    <col customWidth="1" min="3" max="6" width="15.86"/>
    <col customWidth="1" min="7" max="7" width="4.57"/>
    <col customWidth="1" min="8" max="8" width="11.14"/>
    <col customWidth="1" min="9" max="26" width="3.71"/>
  </cols>
  <sheetData>
    <row r="1">
      <c r="C1" s="102" t="s">
        <v>54</v>
      </c>
      <c r="D1" s="103" t="s">
        <v>55</v>
      </c>
      <c r="E1" s="103" t="s">
        <v>56</v>
      </c>
      <c r="F1" s="104" t="s">
        <v>57</v>
      </c>
      <c r="G1" s="105"/>
      <c r="H1" s="106" t="str">
        <f>SETUP!C1</f>
        <v>THE TRIBUTE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07"/>
    </row>
    <row r="2">
      <c r="C2" s="108">
        <v>72.9</v>
      </c>
      <c r="D2" s="109">
        <v>71.0</v>
      </c>
      <c r="E2" s="109">
        <v>70.5</v>
      </c>
      <c r="F2" s="110">
        <v>70.8</v>
      </c>
      <c r="G2" s="111"/>
      <c r="H2" s="112" t="s">
        <v>5</v>
      </c>
      <c r="I2" s="113">
        <v>1.0</v>
      </c>
      <c r="J2" s="113">
        <v>2.0</v>
      </c>
      <c r="K2" s="113">
        <v>3.0</v>
      </c>
      <c r="L2" s="113">
        <v>4.0</v>
      </c>
      <c r="M2" s="113">
        <v>5.0</v>
      </c>
      <c r="N2" s="113">
        <v>6.0</v>
      </c>
      <c r="O2" s="113">
        <v>7.0</v>
      </c>
      <c r="P2" s="113">
        <v>8.0</v>
      </c>
      <c r="Q2" s="113">
        <v>9.0</v>
      </c>
      <c r="R2" s="113">
        <v>10.0</v>
      </c>
      <c r="S2" s="113">
        <v>11.0</v>
      </c>
      <c r="T2" s="113">
        <v>12.0</v>
      </c>
      <c r="U2" s="113">
        <v>13.0</v>
      </c>
      <c r="V2" s="113">
        <v>14.0</v>
      </c>
      <c r="W2" s="113">
        <v>15.0</v>
      </c>
      <c r="X2" s="113">
        <v>16.0</v>
      </c>
      <c r="Y2" s="113">
        <v>17.0</v>
      </c>
      <c r="Z2" s="113">
        <v>18.0</v>
      </c>
    </row>
    <row r="3">
      <c r="C3" s="114">
        <v>136.0</v>
      </c>
      <c r="D3" s="115">
        <v>132.0</v>
      </c>
      <c r="E3" s="115">
        <v>134.0</v>
      </c>
      <c r="F3" s="116">
        <v>136.0</v>
      </c>
      <c r="G3" s="111"/>
      <c r="H3" s="112" t="s">
        <v>10</v>
      </c>
      <c r="I3" s="117">
        <v>13.0</v>
      </c>
      <c r="J3" s="117">
        <v>9.0</v>
      </c>
      <c r="K3" s="117">
        <v>17.0</v>
      </c>
      <c r="L3" s="117">
        <v>7.0</v>
      </c>
      <c r="M3" s="117">
        <v>5.0</v>
      </c>
      <c r="N3" s="117">
        <v>11.0</v>
      </c>
      <c r="O3" s="117">
        <v>3.0</v>
      </c>
      <c r="P3" s="117">
        <v>1.0</v>
      </c>
      <c r="Q3" s="117">
        <v>15.0</v>
      </c>
      <c r="R3" s="117">
        <v>12.0</v>
      </c>
      <c r="S3" s="117">
        <v>8.0</v>
      </c>
      <c r="T3" s="117">
        <v>6.0</v>
      </c>
      <c r="U3" s="117">
        <v>14.0</v>
      </c>
      <c r="V3" s="117">
        <v>4.0</v>
      </c>
      <c r="W3" s="117">
        <v>16.0</v>
      </c>
      <c r="X3" s="117">
        <v>2.0</v>
      </c>
      <c r="Y3" s="117">
        <v>18.0</v>
      </c>
      <c r="Z3" s="117">
        <v>10.0</v>
      </c>
    </row>
    <row r="4">
      <c r="A4" s="118" t="s">
        <v>24</v>
      </c>
      <c r="B4" s="118" t="s">
        <v>58</v>
      </c>
      <c r="C4" s="119">
        <v>72.0</v>
      </c>
      <c r="D4" s="119">
        <v>72.0</v>
      </c>
      <c r="E4" s="119">
        <v>72.0</v>
      </c>
      <c r="F4" s="120">
        <v>72.0</v>
      </c>
      <c r="G4" s="121"/>
      <c r="H4" s="112" t="s">
        <v>11</v>
      </c>
      <c r="I4" s="122">
        <v>4.0</v>
      </c>
      <c r="J4" s="122">
        <v>4.0</v>
      </c>
      <c r="K4" s="122">
        <v>4.0</v>
      </c>
      <c r="L4" s="122">
        <v>5.0</v>
      </c>
      <c r="M4" s="122">
        <v>4.0</v>
      </c>
      <c r="N4" s="122">
        <v>3.0</v>
      </c>
      <c r="O4" s="122">
        <v>5.0</v>
      </c>
      <c r="P4" s="122">
        <v>4.0</v>
      </c>
      <c r="Q4" s="122">
        <v>3.0</v>
      </c>
      <c r="R4" s="122">
        <v>4.0</v>
      </c>
      <c r="S4" s="122">
        <v>5.0</v>
      </c>
      <c r="T4" s="122">
        <v>4.0</v>
      </c>
      <c r="U4" s="122">
        <v>3.0</v>
      </c>
      <c r="V4" s="122">
        <v>4.0</v>
      </c>
      <c r="W4" s="122">
        <v>4.0</v>
      </c>
      <c r="X4" s="122">
        <v>5.0</v>
      </c>
      <c r="Y4" s="122">
        <v>3.0</v>
      </c>
      <c r="Z4" s="122">
        <v>4.0</v>
      </c>
    </row>
    <row r="5">
      <c r="A5" s="123" t="s">
        <v>59</v>
      </c>
      <c r="B5" s="124">
        <v>6.6</v>
      </c>
      <c r="C5" s="125">
        <f t="shared" ref="C5:F5" si="1">ROUND(($B5*C$3)/113+(C$2-C$4),0)</f>
        <v>9</v>
      </c>
      <c r="D5" s="125">
        <f t="shared" si="1"/>
        <v>7</v>
      </c>
      <c r="E5" s="125">
        <f t="shared" si="1"/>
        <v>6</v>
      </c>
      <c r="F5" s="126">
        <f t="shared" si="1"/>
        <v>7</v>
      </c>
      <c r="G5" s="127"/>
      <c r="H5" s="106" t="str">
        <f>SETUP!D1</f>
        <v>THE PREMIER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07"/>
    </row>
    <row r="6">
      <c r="A6" s="123" t="s">
        <v>29</v>
      </c>
      <c r="B6" s="124">
        <v>17.4</v>
      </c>
      <c r="C6" s="125">
        <f t="shared" ref="C6:F6" si="2">ROUND(($B6*C$3)/113+(C$2-C$4),0)</f>
        <v>22</v>
      </c>
      <c r="D6" s="125">
        <f t="shared" si="2"/>
        <v>19</v>
      </c>
      <c r="E6" s="125">
        <f t="shared" si="2"/>
        <v>19</v>
      </c>
      <c r="F6" s="126">
        <f t="shared" si="2"/>
        <v>20</v>
      </c>
      <c r="G6" s="128"/>
      <c r="H6" s="112" t="s">
        <v>5</v>
      </c>
      <c r="I6" s="113">
        <v>1.0</v>
      </c>
      <c r="J6" s="113">
        <v>2.0</v>
      </c>
      <c r="K6" s="113">
        <v>3.0</v>
      </c>
      <c r="L6" s="113">
        <v>4.0</v>
      </c>
      <c r="M6" s="113">
        <v>5.0</v>
      </c>
      <c r="N6" s="113">
        <v>6.0</v>
      </c>
      <c r="O6" s="113">
        <v>7.0</v>
      </c>
      <c r="P6" s="113">
        <v>8.0</v>
      </c>
      <c r="Q6" s="113">
        <v>9.0</v>
      </c>
      <c r="R6" s="113">
        <v>10.0</v>
      </c>
      <c r="S6" s="113">
        <v>11.0</v>
      </c>
      <c r="T6" s="113">
        <v>12.0</v>
      </c>
      <c r="U6" s="113">
        <v>13.0</v>
      </c>
      <c r="V6" s="113">
        <v>14.0</v>
      </c>
      <c r="W6" s="113">
        <v>15.0</v>
      </c>
      <c r="X6" s="113">
        <v>16.0</v>
      </c>
      <c r="Y6" s="113">
        <v>17.0</v>
      </c>
      <c r="Z6" s="113">
        <v>18.0</v>
      </c>
    </row>
    <row r="7">
      <c r="A7" s="123" t="s">
        <v>21</v>
      </c>
      <c r="B7" s="124">
        <v>16.0</v>
      </c>
      <c r="C7" s="125">
        <f t="shared" ref="C7:F7" si="3">ROUND(($B7*C$3)/113+(C$2-C$4),0)</f>
        <v>20</v>
      </c>
      <c r="D7" s="125">
        <f t="shared" si="3"/>
        <v>18</v>
      </c>
      <c r="E7" s="125">
        <f t="shared" si="3"/>
        <v>17</v>
      </c>
      <c r="F7" s="126">
        <f t="shared" si="3"/>
        <v>18</v>
      </c>
      <c r="G7" s="127"/>
      <c r="H7" s="112" t="s">
        <v>10</v>
      </c>
      <c r="I7" s="117">
        <v>5.0</v>
      </c>
      <c r="J7" s="117">
        <v>11.0</v>
      </c>
      <c r="K7" s="117">
        <v>1.0</v>
      </c>
      <c r="L7" s="117">
        <v>13.0</v>
      </c>
      <c r="M7" s="117">
        <v>17.0</v>
      </c>
      <c r="N7" s="117">
        <v>15.0</v>
      </c>
      <c r="O7" s="117">
        <v>3.0</v>
      </c>
      <c r="P7" s="117">
        <v>7.0</v>
      </c>
      <c r="Q7" s="117">
        <v>9.0</v>
      </c>
      <c r="R7" s="117">
        <v>8.0</v>
      </c>
      <c r="S7" s="117">
        <v>16.0</v>
      </c>
      <c r="T7" s="117">
        <v>10.0</v>
      </c>
      <c r="U7" s="117">
        <v>4.0</v>
      </c>
      <c r="V7" s="117">
        <v>2.0</v>
      </c>
      <c r="W7" s="117">
        <v>18.0</v>
      </c>
      <c r="X7" s="117">
        <v>12.0</v>
      </c>
      <c r="Y7" s="117">
        <v>14.0</v>
      </c>
      <c r="Z7" s="117">
        <v>6.0</v>
      </c>
    </row>
    <row r="8">
      <c r="A8" s="123" t="s">
        <v>23</v>
      </c>
      <c r="B8" s="124">
        <v>9.8</v>
      </c>
      <c r="C8" s="125">
        <f t="shared" ref="C8:F8" si="4">ROUND(($B8*C$3)/113+(C$2-C$4),0)</f>
        <v>13</v>
      </c>
      <c r="D8" s="125">
        <f t="shared" si="4"/>
        <v>10</v>
      </c>
      <c r="E8" s="125">
        <f t="shared" si="4"/>
        <v>10</v>
      </c>
      <c r="F8" s="126">
        <f t="shared" si="4"/>
        <v>11</v>
      </c>
      <c r="G8" s="128"/>
      <c r="H8" s="112" t="s">
        <v>11</v>
      </c>
      <c r="I8" s="122">
        <v>4.0</v>
      </c>
      <c r="J8" s="122">
        <v>5.0</v>
      </c>
      <c r="K8" s="122">
        <v>4.0</v>
      </c>
      <c r="L8" s="122">
        <v>3.0</v>
      </c>
      <c r="M8" s="122">
        <v>4.0</v>
      </c>
      <c r="N8" s="122">
        <v>5.0</v>
      </c>
      <c r="O8" s="122">
        <v>4.0</v>
      </c>
      <c r="P8" s="122">
        <v>3.0</v>
      </c>
      <c r="Q8" s="122">
        <v>4.0</v>
      </c>
      <c r="R8" s="122">
        <v>4.0</v>
      </c>
      <c r="S8" s="122">
        <v>3.0</v>
      </c>
      <c r="T8" s="122">
        <v>5.0</v>
      </c>
      <c r="U8" s="122">
        <v>4.0</v>
      </c>
      <c r="V8" s="122">
        <v>4.0</v>
      </c>
      <c r="W8" s="122">
        <v>4.0</v>
      </c>
      <c r="X8" s="122">
        <v>5.0</v>
      </c>
      <c r="Y8" s="122">
        <v>3.0</v>
      </c>
      <c r="Z8" s="122">
        <v>4.0</v>
      </c>
    </row>
    <row r="9">
      <c r="A9" s="123" t="s">
        <v>60</v>
      </c>
      <c r="B9" s="124">
        <v>16.0</v>
      </c>
      <c r="C9" s="125">
        <f t="shared" ref="C9:F9" si="5">ROUND(($B9*C$3)/113+(C$2-C$4),0)</f>
        <v>20</v>
      </c>
      <c r="D9" s="125">
        <f t="shared" si="5"/>
        <v>18</v>
      </c>
      <c r="E9" s="125">
        <f t="shared" si="5"/>
        <v>17</v>
      </c>
      <c r="F9" s="126">
        <f t="shared" si="5"/>
        <v>18</v>
      </c>
      <c r="G9" s="127"/>
      <c r="H9" s="106" t="str">
        <f>SETUP!E1</f>
        <v>THE LOON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07"/>
    </row>
    <row r="10">
      <c r="A10" s="123" t="s">
        <v>27</v>
      </c>
      <c r="B10" s="124">
        <v>15.4</v>
      </c>
      <c r="C10" s="125">
        <f t="shared" ref="C10:F10" si="6">ROUND(($B10*C$3)/113+(C$2-C$4),0)</f>
        <v>19</v>
      </c>
      <c r="D10" s="125">
        <f t="shared" si="6"/>
        <v>17</v>
      </c>
      <c r="E10" s="125">
        <f t="shared" si="6"/>
        <v>17</v>
      </c>
      <c r="F10" s="126">
        <f t="shared" si="6"/>
        <v>17</v>
      </c>
      <c r="G10" s="128"/>
      <c r="H10" s="112" t="s">
        <v>5</v>
      </c>
      <c r="I10" s="113">
        <v>1.0</v>
      </c>
      <c r="J10" s="113">
        <v>2.0</v>
      </c>
      <c r="K10" s="113">
        <v>3.0</v>
      </c>
      <c r="L10" s="113">
        <v>4.0</v>
      </c>
      <c r="M10" s="113">
        <v>5.0</v>
      </c>
      <c r="N10" s="113">
        <v>6.0</v>
      </c>
      <c r="O10" s="113">
        <v>7.0</v>
      </c>
      <c r="P10" s="113">
        <v>8.0</v>
      </c>
      <c r="Q10" s="113">
        <v>9.0</v>
      </c>
      <c r="R10" s="113">
        <v>10.0</v>
      </c>
      <c r="S10" s="113">
        <v>11.0</v>
      </c>
      <c r="T10" s="113">
        <v>12.0</v>
      </c>
      <c r="U10" s="113">
        <v>13.0</v>
      </c>
      <c r="V10" s="113">
        <v>14.0</v>
      </c>
      <c r="W10" s="113">
        <v>15.0</v>
      </c>
      <c r="X10" s="113">
        <v>16.0</v>
      </c>
      <c r="Y10" s="113">
        <v>17.0</v>
      </c>
      <c r="Z10" s="113">
        <v>18.0</v>
      </c>
    </row>
    <row r="11">
      <c r="A11" s="123" t="s">
        <v>22</v>
      </c>
      <c r="B11" s="124">
        <v>17.8</v>
      </c>
      <c r="C11" s="125">
        <f t="shared" ref="C11:F11" si="7">ROUND(($B11*C$3)/113+(C$2-C$4),0)</f>
        <v>22</v>
      </c>
      <c r="D11" s="125">
        <f t="shared" si="7"/>
        <v>20</v>
      </c>
      <c r="E11" s="125">
        <f t="shared" si="7"/>
        <v>20</v>
      </c>
      <c r="F11" s="126">
        <f t="shared" si="7"/>
        <v>20</v>
      </c>
      <c r="G11" s="127"/>
      <c r="H11" s="112" t="s">
        <v>10</v>
      </c>
      <c r="I11" s="117">
        <v>11.0</v>
      </c>
      <c r="J11" s="129">
        <v>15.0</v>
      </c>
      <c r="K11" s="117">
        <v>3.0</v>
      </c>
      <c r="L11" s="117">
        <v>17.0</v>
      </c>
      <c r="M11" s="117">
        <v>1.0</v>
      </c>
      <c r="N11" s="117">
        <v>9.0</v>
      </c>
      <c r="O11" s="117">
        <v>7.0</v>
      </c>
      <c r="P11" s="129">
        <v>5.0</v>
      </c>
      <c r="Q11" s="117">
        <v>13.0</v>
      </c>
      <c r="R11" s="117">
        <v>6.0</v>
      </c>
      <c r="S11" s="117">
        <v>2.0</v>
      </c>
      <c r="T11" s="117">
        <v>18.0</v>
      </c>
      <c r="U11" s="117">
        <v>4.0</v>
      </c>
      <c r="V11" s="117">
        <v>14.0</v>
      </c>
      <c r="W11" s="117">
        <v>10.0</v>
      </c>
      <c r="X11" s="117">
        <v>12.0</v>
      </c>
      <c r="Y11" s="117">
        <v>16.0</v>
      </c>
      <c r="Z11" s="117">
        <v>8.0</v>
      </c>
    </row>
    <row r="12">
      <c r="A12" s="123" t="s">
        <v>26</v>
      </c>
      <c r="B12" s="124">
        <v>12.0</v>
      </c>
      <c r="C12" s="125">
        <f t="shared" ref="C12:F12" si="8">ROUND(($B12*C$3)/113+(C$2-C$4),0)</f>
        <v>15</v>
      </c>
      <c r="D12" s="125">
        <f t="shared" si="8"/>
        <v>13</v>
      </c>
      <c r="E12" s="125">
        <f t="shared" si="8"/>
        <v>13</v>
      </c>
      <c r="F12" s="126">
        <f t="shared" si="8"/>
        <v>13</v>
      </c>
      <c r="G12" s="128"/>
      <c r="H12" s="112" t="s">
        <v>11</v>
      </c>
      <c r="I12" s="122">
        <v>4.0</v>
      </c>
      <c r="J12" s="122">
        <v>3.0</v>
      </c>
      <c r="K12" s="122">
        <v>5.0</v>
      </c>
      <c r="L12" s="122">
        <v>3.0</v>
      </c>
      <c r="M12" s="122">
        <v>5.0</v>
      </c>
      <c r="N12" s="122">
        <v>4.0</v>
      </c>
      <c r="O12" s="122">
        <v>4.0</v>
      </c>
      <c r="P12" s="122">
        <v>5.0</v>
      </c>
      <c r="Q12" s="122">
        <v>3.0</v>
      </c>
      <c r="R12" s="122">
        <v>4.0</v>
      </c>
      <c r="S12" s="122">
        <v>5.0</v>
      </c>
      <c r="T12" s="122">
        <v>3.0</v>
      </c>
      <c r="U12" s="122">
        <v>5.0</v>
      </c>
      <c r="V12" s="122">
        <v>3.0</v>
      </c>
      <c r="W12" s="122">
        <v>4.0</v>
      </c>
      <c r="X12" s="122">
        <v>4.0</v>
      </c>
      <c r="Y12" s="122">
        <v>4.0</v>
      </c>
      <c r="Z12" s="122">
        <v>4.0</v>
      </c>
    </row>
    <row r="13">
      <c r="A13" s="123" t="s">
        <v>61</v>
      </c>
      <c r="B13" s="124">
        <v>18.0</v>
      </c>
      <c r="C13" s="125">
        <f t="shared" ref="C13:F13" si="9">ROUND(($B13*C$3)/113+(C$2-C$4),0)</f>
        <v>23</v>
      </c>
      <c r="D13" s="125">
        <f t="shared" si="9"/>
        <v>20</v>
      </c>
      <c r="E13" s="125">
        <f t="shared" si="9"/>
        <v>20</v>
      </c>
      <c r="F13" s="126">
        <f t="shared" si="9"/>
        <v>20</v>
      </c>
      <c r="G13" s="127"/>
      <c r="H13" s="106" t="str">
        <f>SETUP!F1</f>
        <v>THE LAKES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07"/>
    </row>
    <row r="14">
      <c r="A14" s="123" t="s">
        <v>62</v>
      </c>
      <c r="B14" s="124">
        <v>18.0</v>
      </c>
      <c r="C14" s="125">
        <f t="shared" ref="C14:F14" si="10">ROUND(($B14*C$3)/113+(C$2-C$4),0)</f>
        <v>23</v>
      </c>
      <c r="D14" s="125">
        <f t="shared" si="10"/>
        <v>20</v>
      </c>
      <c r="E14" s="125">
        <f t="shared" si="10"/>
        <v>20</v>
      </c>
      <c r="F14" s="126">
        <f t="shared" si="10"/>
        <v>20</v>
      </c>
      <c r="G14" s="128"/>
      <c r="H14" s="112" t="s">
        <v>5</v>
      </c>
      <c r="I14" s="113">
        <v>1.0</v>
      </c>
      <c r="J14" s="113">
        <v>2.0</v>
      </c>
      <c r="K14" s="113">
        <v>3.0</v>
      </c>
      <c r="L14" s="113">
        <v>4.0</v>
      </c>
      <c r="M14" s="113">
        <v>5.0</v>
      </c>
      <c r="N14" s="113">
        <v>6.0</v>
      </c>
      <c r="O14" s="113">
        <v>7.0</v>
      </c>
      <c r="P14" s="113">
        <v>8.0</v>
      </c>
      <c r="Q14" s="113">
        <v>9.0</v>
      </c>
      <c r="R14" s="113">
        <v>10.0</v>
      </c>
      <c r="S14" s="113">
        <v>11.0</v>
      </c>
      <c r="T14" s="113">
        <v>12.0</v>
      </c>
      <c r="U14" s="113">
        <v>13.0</v>
      </c>
      <c r="V14" s="113">
        <v>14.0</v>
      </c>
      <c r="W14" s="113">
        <v>15.0</v>
      </c>
      <c r="X14" s="113">
        <v>16.0</v>
      </c>
      <c r="Y14" s="113">
        <v>17.0</v>
      </c>
      <c r="Z14" s="113">
        <v>18.0</v>
      </c>
    </row>
    <row r="15">
      <c r="A15" s="123" t="s">
        <v>30</v>
      </c>
      <c r="B15" s="124">
        <v>13.0</v>
      </c>
      <c r="C15" s="125">
        <f t="shared" ref="C15:F15" si="11">ROUND(($B15*C$3)/113+(C$2-C$4),0)</f>
        <v>17</v>
      </c>
      <c r="D15" s="125">
        <f t="shared" si="11"/>
        <v>14</v>
      </c>
      <c r="E15" s="125">
        <f t="shared" si="11"/>
        <v>14</v>
      </c>
      <c r="F15" s="126">
        <f t="shared" si="11"/>
        <v>14</v>
      </c>
      <c r="G15" s="127"/>
      <c r="H15" s="112" t="s">
        <v>10</v>
      </c>
      <c r="I15" s="117">
        <v>13.0</v>
      </c>
      <c r="J15" s="117">
        <v>7.0</v>
      </c>
      <c r="K15" s="129">
        <v>11.0</v>
      </c>
      <c r="L15" s="117">
        <v>1.0</v>
      </c>
      <c r="M15" s="117">
        <v>5.0</v>
      </c>
      <c r="N15" s="117">
        <v>15.0</v>
      </c>
      <c r="O15" s="117">
        <v>17.0</v>
      </c>
      <c r="P15" s="117">
        <v>9.0</v>
      </c>
      <c r="Q15" s="129">
        <v>3.0</v>
      </c>
      <c r="R15" s="117">
        <v>18.0</v>
      </c>
      <c r="S15" s="117">
        <v>14.0</v>
      </c>
      <c r="T15" s="117">
        <v>12.0</v>
      </c>
      <c r="U15" s="117">
        <v>6.0</v>
      </c>
      <c r="V15" s="117">
        <v>10.0</v>
      </c>
      <c r="W15" s="117">
        <v>8.0</v>
      </c>
      <c r="X15" s="117">
        <v>2.0</v>
      </c>
      <c r="Y15" s="117">
        <v>16.0</v>
      </c>
      <c r="Z15" s="129">
        <v>4.0</v>
      </c>
    </row>
    <row r="16">
      <c r="A16" s="123" t="s">
        <v>25</v>
      </c>
      <c r="B16" s="124">
        <v>7.4</v>
      </c>
      <c r="C16" s="125">
        <f t="shared" ref="C16:F16" si="12">ROUND(($B16*C$3)/113+(C$2-C$4),0)</f>
        <v>10</v>
      </c>
      <c r="D16" s="125">
        <f t="shared" si="12"/>
        <v>8</v>
      </c>
      <c r="E16" s="125">
        <f t="shared" si="12"/>
        <v>7</v>
      </c>
      <c r="F16" s="126">
        <f t="shared" si="12"/>
        <v>8</v>
      </c>
      <c r="G16" s="130"/>
      <c r="H16" s="112" t="s">
        <v>11</v>
      </c>
      <c r="I16" s="122">
        <v>4.0</v>
      </c>
      <c r="J16" s="122">
        <v>5.0</v>
      </c>
      <c r="K16" s="122">
        <v>3.0</v>
      </c>
      <c r="L16" s="122">
        <v>4.0</v>
      </c>
      <c r="M16" s="122">
        <v>5.0</v>
      </c>
      <c r="N16" s="122">
        <v>3.0</v>
      </c>
      <c r="O16" s="122">
        <v>4.0</v>
      </c>
      <c r="P16" s="122">
        <v>4.0</v>
      </c>
      <c r="Q16" s="122">
        <v>5.0</v>
      </c>
      <c r="R16" s="122">
        <v>3.0</v>
      </c>
      <c r="S16" s="122">
        <v>5.0</v>
      </c>
      <c r="T16" s="122">
        <v>3.0</v>
      </c>
      <c r="U16" s="122">
        <v>4.0</v>
      </c>
      <c r="V16" s="122">
        <v>4.0</v>
      </c>
      <c r="W16" s="122">
        <v>4.0</v>
      </c>
      <c r="X16" s="122">
        <v>4.0</v>
      </c>
      <c r="Y16" s="122">
        <v>3.0</v>
      </c>
      <c r="Z16" s="122">
        <v>5.0</v>
      </c>
    </row>
  </sheetData>
  <mergeCells count="4">
    <mergeCell ref="H1:Z1"/>
    <mergeCell ref="H5:Z5"/>
    <mergeCell ref="H9:Z9"/>
    <mergeCell ref="H13:Z13"/>
  </mergeCells>
  <conditionalFormatting sqref="H3">
    <cfRule type="expression" dxfId="5" priority="1">
      <formula>sum($I$3:$Z$3)&lt;&gt;171</formula>
    </cfRule>
  </conditionalFormatting>
  <conditionalFormatting sqref="H7">
    <cfRule type="expression" dxfId="5" priority="2">
      <formula>sum($I$7:$Z$7)&lt;&gt;171</formula>
    </cfRule>
  </conditionalFormatting>
  <conditionalFormatting sqref="H11">
    <cfRule type="expression" dxfId="5" priority="3">
      <formula>sum($I$11:$Z$11)&lt;&gt;171</formula>
    </cfRule>
  </conditionalFormatting>
  <conditionalFormatting sqref="H15">
    <cfRule type="expression" dxfId="5" priority="4">
      <formula>sum($I$15:$Z$15)&lt;&gt;171</formula>
    </cfRule>
  </conditionalFormatting>
  <conditionalFormatting sqref="H4">
    <cfRule type="expression" dxfId="5" priority="5">
      <formula>sum($I$4:$Z$4)&lt;&gt;C4</formula>
    </cfRule>
  </conditionalFormatting>
  <conditionalFormatting sqref="H8">
    <cfRule type="expression" dxfId="5" priority="6">
      <formula>sum($I$8:$Z$8)&lt;&gt;D4</formula>
    </cfRule>
  </conditionalFormatting>
  <conditionalFormatting sqref="H12">
    <cfRule type="expression" dxfId="5" priority="7">
      <formula>sum($I$12:$Z$12)&lt;&gt;E4</formula>
    </cfRule>
  </conditionalFormatting>
  <conditionalFormatting sqref="H16">
    <cfRule type="expression" dxfId="5" priority="8">
      <formula>sum($I$16:$Z$16)&lt;&gt;F4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2" width="21.57"/>
    <col customWidth="1" min="3" max="3" width="22.43"/>
    <col customWidth="1" min="4" max="4" width="21.71"/>
    <col customWidth="1" min="5" max="5" width="21.57"/>
    <col customWidth="1" min="6" max="6" width="21.86"/>
    <col customWidth="1" min="7" max="10" width="21.57"/>
    <col customWidth="1" min="11" max="11" width="21.71"/>
    <col customWidth="1" min="12" max="12" width="21.57"/>
    <col customWidth="1" min="13" max="13" width="22.14"/>
    <col customWidth="1" min="14" max="14" width="21.86"/>
    <col customWidth="1" min="15" max="15" width="40.0"/>
    <col customWidth="1" min="16" max="21" width="21.57"/>
  </cols>
  <sheetData>
    <row r="1" ht="22.5" customHeight="1">
      <c r="A1" s="131" t="s">
        <v>63</v>
      </c>
      <c r="B1" s="131" t="s">
        <v>64</v>
      </c>
      <c r="C1" s="131" t="s">
        <v>65</v>
      </c>
      <c r="D1" s="131" t="s">
        <v>66</v>
      </c>
      <c r="E1" s="131" t="s">
        <v>67</v>
      </c>
      <c r="F1" s="131" t="s">
        <v>68</v>
      </c>
      <c r="G1" s="131" t="s">
        <v>69</v>
      </c>
      <c r="H1" s="131" t="s">
        <v>70</v>
      </c>
      <c r="I1" s="131" t="s">
        <v>71</v>
      </c>
      <c r="J1" s="131" t="s">
        <v>72</v>
      </c>
      <c r="K1" s="131" t="s">
        <v>73</v>
      </c>
      <c r="L1" s="131" t="s">
        <v>74</v>
      </c>
      <c r="M1" s="131" t="s">
        <v>75</v>
      </c>
      <c r="N1" s="131" t="s">
        <v>76</v>
      </c>
      <c r="O1" s="131" t="s">
        <v>77</v>
      </c>
    </row>
    <row r="2" ht="22.5" customHeight="1">
      <c r="A2" s="132">
        <v>45894.52575881944</v>
      </c>
      <c r="B2" s="133" t="s">
        <v>78</v>
      </c>
      <c r="C2" s="133">
        <v>1.0</v>
      </c>
      <c r="D2" s="133">
        <v>1.0</v>
      </c>
      <c r="E2" s="133">
        <v>1.0</v>
      </c>
      <c r="F2" s="133">
        <v>1.0</v>
      </c>
      <c r="G2" s="133">
        <v>1.0</v>
      </c>
      <c r="H2" s="133">
        <v>1.0</v>
      </c>
      <c r="I2" s="133">
        <v>1.0</v>
      </c>
      <c r="J2" s="133">
        <v>1.0</v>
      </c>
      <c r="K2" s="133">
        <v>1.0</v>
      </c>
      <c r="L2" s="133">
        <v>1.0</v>
      </c>
      <c r="M2" s="133">
        <v>1.0</v>
      </c>
      <c r="N2" s="133">
        <v>9.0</v>
      </c>
      <c r="O2" s="133" t="s">
        <v>79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13" width="7.29"/>
    <col customWidth="1" min="14" max="14" width="9.86"/>
    <col customWidth="1" min="15" max="15" width="12.14"/>
    <col customWidth="1" min="16" max="16" width="14.0"/>
    <col customWidth="1" min="17" max="19" width="11.57"/>
  </cols>
  <sheetData>
    <row r="1">
      <c r="B1" s="134">
        <v>1.0</v>
      </c>
      <c r="C1" s="135" t="s">
        <v>80</v>
      </c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>
        <f>sum(N3:N14)</f>
        <v>240</v>
      </c>
      <c r="O1" s="137"/>
      <c r="P1" s="138" t="s">
        <v>81</v>
      </c>
      <c r="Q1" s="139" t="s">
        <v>82</v>
      </c>
      <c r="R1" s="139" t="s">
        <v>83</v>
      </c>
      <c r="S1" s="140" t="s">
        <v>84</v>
      </c>
    </row>
    <row r="2">
      <c r="B2" s="141" t="str">
        <f t="array" ref="B2:M2">transpose(A3:A14)</f>
        <v>Aaron J</v>
      </c>
      <c r="C2" s="141" t="s">
        <v>29</v>
      </c>
      <c r="D2" s="141" t="s">
        <v>21</v>
      </c>
      <c r="E2" s="141" t="s">
        <v>23</v>
      </c>
      <c r="F2" s="141" t="s">
        <v>60</v>
      </c>
      <c r="G2" s="141" t="s">
        <v>27</v>
      </c>
      <c r="H2" s="141" t="s">
        <v>22</v>
      </c>
      <c r="I2" s="141" t="s">
        <v>26</v>
      </c>
      <c r="J2" s="141" t="s">
        <v>61</v>
      </c>
      <c r="K2" s="141" t="s">
        <v>62</v>
      </c>
      <c r="L2" s="141" t="s">
        <v>30</v>
      </c>
      <c r="M2" s="141" t="s">
        <v>25</v>
      </c>
      <c r="N2" s="141" t="s">
        <v>8</v>
      </c>
      <c r="O2" s="137"/>
      <c r="P2" s="138" t="s">
        <v>26</v>
      </c>
      <c r="Q2" s="139">
        <f>N1</f>
        <v>240</v>
      </c>
      <c r="R2" s="139">
        <f>N17</f>
        <v>140</v>
      </c>
      <c r="S2" s="142">
        <f>(Q2+R2)/(Q15+R15)</f>
        <v>16.52173913</v>
      </c>
    </row>
    <row r="3">
      <c r="A3" s="118" t="str">
        <f>SETUP!A5</f>
        <v>Aaron J</v>
      </c>
      <c r="B3" s="143">
        <v>8.0</v>
      </c>
      <c r="C3" s="143">
        <v>4.0</v>
      </c>
      <c r="D3" s="143"/>
      <c r="E3" s="143"/>
      <c r="F3" s="143">
        <v>1.0</v>
      </c>
      <c r="G3" s="143"/>
      <c r="H3" s="143">
        <v>2.0</v>
      </c>
      <c r="I3" s="143"/>
      <c r="J3" s="143"/>
      <c r="K3" s="143"/>
      <c r="L3" s="143">
        <v>2.0</v>
      </c>
      <c r="M3" s="143">
        <v>3.0</v>
      </c>
      <c r="N3" s="144">
        <f t="shared" ref="N3:N14" si="1">sum(B3:M3)*$B$1</f>
        <v>20</v>
      </c>
      <c r="O3" s="137"/>
      <c r="P3" s="118" t="str">
        <f>SETUP!A5</f>
        <v>Aaron J</v>
      </c>
      <c r="Q3" s="143" t="str">
        <f t="shared" ref="Q3:Q14" si="2">if($P$2="","",if($P$2=B$2,(vlookup(P3,$A$3:$I$14,2,FALSE)),if($P$2=C$2,(vlookup(P3,$A$3:$I$14,3,FALSE)),if($P$2=D$2,(vlookup(P3,$A$3:$I$14,4,FALSE)),if($P$2=E$2,(vlookup(P3,$A$3:$I$14,5,FALSE)),if($P$2=F$2,(vlookup(P3,$A$3:$I$14,6,FALSE)),if($P$2=G$2,(vlookup(P3,$A$3:$I$14,7,FALSE)),if($P$2=H$2,(vlookup(P3,$A$3:$I$14,8,FALSE)),if($P$2=I$2,(vlookup(P3,$A$3:$I$14,9,FALSE)),if($P$2=J$2,(vlookup(P3,$A$3:$I$14,10,FALSE)),if($P$2=K$2,(vlookup(P3,$A$3:$I$14,11,FALSE)),if($P$2=L$2,(vlookup(P3,$A$3:$I$14,12,FALSE)),if($P$2=M$2,(vlookup(P3,$A$3:$I$14,13,FALSE)),0)))))))))))))</f>
        <v/>
      </c>
      <c r="R3" s="145">
        <f t="shared" ref="R3:R14" si="3">if($P$2="","",if($P$2=B$18,(vlookup($P3,$A$19:$I$30,2,FALSE)),if($P$2=C$18,(vlookup($P3,$A$19:$I$30,3,FALSE)),if($P$2=D$18,(vlookup($P3,$A$19:$I$30,4,FALSE)),if($P$2=E$18,(vlookup($P3,$A$19:$I$30,5,FALSE)),if($P$2=F$18,(vlookup($P3,$A$19:$I$30,6,FALSE)),if($P$2=G$18,(vlookup($P3,$A$19:$I$30,7,FALSE)),if($P$2=H$18,(vlookup($P3,$A$19:$I$30,8,FALSE)), if($P$2=I$18,(vlookup($P3,$A$19:$I$30,9,FALSE)),if($P$2=J$18,(vlookup($P3,$A$19:$I$30,10,FALSE)),if($P$2=K$18,(vlookup($P3,$A$19:$I$30,11,FALSE)), if($P$2=L$18,(vlookup($P3,$A$19:$I$30,12,FALSE)), if($P$2=M$18,(vlookup($P3,$A$19:$I$30,13,FALSE)))))))))))))))</f>
        <v>4</v>
      </c>
      <c r="S3" s="146">
        <f t="shared" ref="S3:S14" si="4">(Q3+R3)*$S$2</f>
        <v>66.08695652</v>
      </c>
    </row>
    <row r="4">
      <c r="A4" s="118" t="str">
        <f>SETUP!A6</f>
        <v>Andy V</v>
      </c>
      <c r="B4" s="143">
        <v>5.0</v>
      </c>
      <c r="C4" s="143">
        <v>10.0</v>
      </c>
      <c r="D4" s="143"/>
      <c r="E4" s="143"/>
      <c r="F4" s="143"/>
      <c r="G4" s="143"/>
      <c r="H4" s="143"/>
      <c r="I4" s="143"/>
      <c r="J4" s="143"/>
      <c r="K4" s="143"/>
      <c r="L4" s="143"/>
      <c r="M4" s="143">
        <v>5.0</v>
      </c>
      <c r="N4" s="144">
        <f t="shared" si="1"/>
        <v>20</v>
      </c>
      <c r="O4" s="137"/>
      <c r="P4" s="118" t="str">
        <f>SETUP!A6</f>
        <v>Andy V</v>
      </c>
      <c r="Q4" s="143" t="str">
        <f t="shared" si="2"/>
        <v/>
      </c>
      <c r="R4" s="145" t="str">
        <f t="shared" si="3"/>
        <v/>
      </c>
      <c r="S4" s="146">
        <f t="shared" si="4"/>
        <v>0</v>
      </c>
    </row>
    <row r="5">
      <c r="A5" s="118" t="str">
        <f>SETUP!A7</f>
        <v>Bob B</v>
      </c>
      <c r="B5" s="143">
        <v>1.0</v>
      </c>
      <c r="C5" s="143">
        <v>5.0</v>
      </c>
      <c r="D5" s="143">
        <v>5.0</v>
      </c>
      <c r="E5" s="143">
        <v>1.0</v>
      </c>
      <c r="F5" s="143"/>
      <c r="G5" s="143">
        <v>1.0</v>
      </c>
      <c r="H5" s="143">
        <v>5.0</v>
      </c>
      <c r="I5" s="143"/>
      <c r="J5" s="143"/>
      <c r="K5" s="143"/>
      <c r="L5" s="143">
        <v>1.0</v>
      </c>
      <c r="M5" s="143">
        <v>1.0</v>
      </c>
      <c r="N5" s="144">
        <f t="shared" si="1"/>
        <v>20</v>
      </c>
      <c r="O5" s="137"/>
      <c r="P5" s="118" t="str">
        <f>SETUP!A7</f>
        <v>Bob B</v>
      </c>
      <c r="Q5" s="143" t="str">
        <f t="shared" si="2"/>
        <v/>
      </c>
      <c r="R5" s="145" t="str">
        <f t="shared" si="3"/>
        <v/>
      </c>
      <c r="S5" s="146">
        <f t="shared" si="4"/>
        <v>0</v>
      </c>
    </row>
    <row r="6">
      <c r="A6" s="118" t="str">
        <f>SETUP!A8</f>
        <v>Brian K</v>
      </c>
      <c r="B6" s="143">
        <v>5.0</v>
      </c>
      <c r="C6" s="143"/>
      <c r="D6" s="143"/>
      <c r="E6" s="143">
        <v>10.0</v>
      </c>
      <c r="F6" s="143"/>
      <c r="G6" s="143"/>
      <c r="H6" s="143"/>
      <c r="I6" s="143"/>
      <c r="J6" s="143"/>
      <c r="K6" s="143"/>
      <c r="L6" s="143"/>
      <c r="M6" s="143">
        <v>5.0</v>
      </c>
      <c r="N6" s="144">
        <f t="shared" si="1"/>
        <v>20</v>
      </c>
      <c r="O6" s="137"/>
      <c r="P6" s="118" t="str">
        <f>SETUP!A8</f>
        <v>Brian K</v>
      </c>
      <c r="Q6" s="143" t="str">
        <f t="shared" si="2"/>
        <v/>
      </c>
      <c r="R6" s="145" t="str">
        <f t="shared" si="3"/>
        <v/>
      </c>
      <c r="S6" s="146">
        <f t="shared" si="4"/>
        <v>0</v>
      </c>
    </row>
    <row r="7">
      <c r="A7" s="118" t="str">
        <f>SETUP!A9</f>
        <v>Dave K</v>
      </c>
      <c r="B7" s="143" t="s">
        <v>85</v>
      </c>
      <c r="C7" s="143">
        <v>5.0</v>
      </c>
      <c r="D7" s="143"/>
      <c r="E7" s="143"/>
      <c r="F7" s="143">
        <v>11.0</v>
      </c>
      <c r="G7" s="143"/>
      <c r="H7" s="143"/>
      <c r="I7" s="143"/>
      <c r="J7" s="143"/>
      <c r="K7" s="143"/>
      <c r="L7" s="143">
        <v>2.0</v>
      </c>
      <c r="M7" s="143">
        <v>2.0</v>
      </c>
      <c r="N7" s="144">
        <f t="shared" si="1"/>
        <v>20</v>
      </c>
      <c r="O7" s="137"/>
      <c r="P7" s="118" t="str">
        <f>SETUP!A9</f>
        <v>Dave K</v>
      </c>
      <c r="Q7" s="143" t="str">
        <f t="shared" si="2"/>
        <v/>
      </c>
      <c r="R7" s="145" t="str">
        <f t="shared" si="3"/>
        <v/>
      </c>
      <c r="S7" s="146">
        <f t="shared" si="4"/>
        <v>0</v>
      </c>
    </row>
    <row r="8">
      <c r="A8" s="118" t="str">
        <f>SETUP!A10</f>
        <v>Eric O</v>
      </c>
      <c r="B8" s="143"/>
      <c r="C8" s="143"/>
      <c r="D8" s="143"/>
      <c r="E8" s="143">
        <v>2.0</v>
      </c>
      <c r="F8" s="143"/>
      <c r="G8" s="143">
        <v>10.0</v>
      </c>
      <c r="H8" s="143">
        <v>2.0</v>
      </c>
      <c r="I8" s="143">
        <v>2.0</v>
      </c>
      <c r="J8" s="143"/>
      <c r="K8" s="143"/>
      <c r="L8" s="143"/>
      <c r="M8" s="143">
        <v>4.0</v>
      </c>
      <c r="N8" s="144">
        <f t="shared" si="1"/>
        <v>20</v>
      </c>
      <c r="O8" s="137"/>
      <c r="P8" s="118" t="str">
        <f>SETUP!A10</f>
        <v>Eric O</v>
      </c>
      <c r="Q8" s="143">
        <f t="shared" si="2"/>
        <v>2</v>
      </c>
      <c r="R8" s="145" t="str">
        <f t="shared" si="3"/>
        <v/>
      </c>
      <c r="S8" s="146">
        <f t="shared" si="4"/>
        <v>33.04347826</v>
      </c>
    </row>
    <row r="9">
      <c r="A9" s="118" t="str">
        <f>SETUP!A11</f>
        <v>Jeff B</v>
      </c>
      <c r="B9" s="143">
        <v>2.0</v>
      </c>
      <c r="C9" s="143">
        <v>1.0</v>
      </c>
      <c r="D9" s="143"/>
      <c r="E9" s="143">
        <v>1.0</v>
      </c>
      <c r="F9" s="143">
        <v>1.0</v>
      </c>
      <c r="G9" s="143"/>
      <c r="H9" s="143">
        <v>10.0</v>
      </c>
      <c r="I9" s="143">
        <v>2.0</v>
      </c>
      <c r="J9" s="143"/>
      <c r="K9" s="143"/>
      <c r="L9" s="143">
        <v>1.0</v>
      </c>
      <c r="M9" s="143">
        <v>2.0</v>
      </c>
      <c r="N9" s="144">
        <f t="shared" si="1"/>
        <v>20</v>
      </c>
      <c r="O9" s="137"/>
      <c r="P9" s="118" t="str">
        <f>SETUP!A11</f>
        <v>Jeff B</v>
      </c>
      <c r="Q9" s="143">
        <f t="shared" si="2"/>
        <v>2</v>
      </c>
      <c r="R9" s="145">
        <f t="shared" si="3"/>
        <v>5</v>
      </c>
      <c r="S9" s="146">
        <f t="shared" si="4"/>
        <v>115.6521739</v>
      </c>
    </row>
    <row r="10">
      <c r="A10" s="118" t="str">
        <f>SETUP!A12</f>
        <v>Joe S</v>
      </c>
      <c r="B10" s="143">
        <v>3.0</v>
      </c>
      <c r="C10" s="143">
        <v>5.0</v>
      </c>
      <c r="D10" s="143">
        <v>2.0</v>
      </c>
      <c r="E10" s="143"/>
      <c r="F10" s="143"/>
      <c r="G10" s="143"/>
      <c r="H10" s="143">
        <v>5.0</v>
      </c>
      <c r="I10" s="143"/>
      <c r="J10" s="143"/>
      <c r="K10" s="143"/>
      <c r="L10" s="143"/>
      <c r="M10" s="143">
        <v>5.0</v>
      </c>
      <c r="N10" s="144">
        <f t="shared" si="1"/>
        <v>20</v>
      </c>
      <c r="O10" s="137"/>
      <c r="P10" s="118" t="str">
        <f>SETUP!A12</f>
        <v>Joe S</v>
      </c>
      <c r="Q10" s="143" t="str">
        <f t="shared" si="2"/>
        <v/>
      </c>
      <c r="R10" s="145" t="str">
        <f t="shared" si="3"/>
        <v/>
      </c>
      <c r="S10" s="146">
        <f t="shared" si="4"/>
        <v>0</v>
      </c>
    </row>
    <row r="11">
      <c r="A11" s="118" t="str">
        <f>SETUP!A13</f>
        <v>John C</v>
      </c>
      <c r="B11" s="143"/>
      <c r="C11" s="143"/>
      <c r="D11" s="143"/>
      <c r="E11" s="143"/>
      <c r="F11" s="143"/>
      <c r="G11" s="143"/>
      <c r="H11" s="143"/>
      <c r="I11" s="143"/>
      <c r="J11" s="143">
        <v>20.0</v>
      </c>
      <c r="K11" s="143"/>
      <c r="L11" s="143"/>
      <c r="M11" s="143"/>
      <c r="N11" s="144">
        <f t="shared" si="1"/>
        <v>20</v>
      </c>
      <c r="O11" s="137"/>
      <c r="P11" s="118" t="str">
        <f>SETUP!A13</f>
        <v>John C</v>
      </c>
      <c r="Q11" s="143" t="str">
        <f t="shared" si="2"/>
        <v/>
      </c>
      <c r="R11" s="145" t="str">
        <f t="shared" si="3"/>
        <v/>
      </c>
      <c r="S11" s="146">
        <f t="shared" si="4"/>
        <v>0</v>
      </c>
    </row>
    <row r="12">
      <c r="A12" s="118" t="str">
        <f>SETUP!A14</f>
        <v>Ray H</v>
      </c>
      <c r="B12" s="143"/>
      <c r="C12" s="143">
        <v>2.0</v>
      </c>
      <c r="D12" s="143">
        <v>2.0</v>
      </c>
      <c r="E12" s="143">
        <v>2.0</v>
      </c>
      <c r="F12" s="143"/>
      <c r="G12" s="143">
        <v>2.0</v>
      </c>
      <c r="H12" s="143">
        <v>2.0</v>
      </c>
      <c r="I12" s="143"/>
      <c r="J12" s="143"/>
      <c r="K12" s="143">
        <v>6.0</v>
      </c>
      <c r="L12" s="143">
        <v>2.0</v>
      </c>
      <c r="M12" s="143">
        <v>2.0</v>
      </c>
      <c r="N12" s="144">
        <f t="shared" si="1"/>
        <v>20</v>
      </c>
      <c r="O12" s="137"/>
      <c r="P12" s="118" t="str">
        <f>SETUP!A14</f>
        <v>Ray H</v>
      </c>
      <c r="Q12" s="143" t="str">
        <f t="shared" si="2"/>
        <v/>
      </c>
      <c r="R12" s="145" t="str">
        <f t="shared" si="3"/>
        <v/>
      </c>
      <c r="S12" s="146">
        <f t="shared" si="4"/>
        <v>0</v>
      </c>
    </row>
    <row r="13">
      <c r="A13" s="118" t="str">
        <f>SETUP!A15</f>
        <v>Russ W</v>
      </c>
      <c r="B13" s="143"/>
      <c r="C13" s="143"/>
      <c r="D13" s="143">
        <v>5.0</v>
      </c>
      <c r="E13" s="143"/>
      <c r="F13" s="143">
        <v>5.0</v>
      </c>
      <c r="G13" s="143"/>
      <c r="H13" s="143"/>
      <c r="I13" s="143">
        <v>5.0</v>
      </c>
      <c r="J13" s="143"/>
      <c r="K13" s="143"/>
      <c r="L13" s="143">
        <v>5.0</v>
      </c>
      <c r="M13" s="143"/>
      <c r="N13" s="144">
        <f t="shared" si="1"/>
        <v>20</v>
      </c>
      <c r="O13" s="137"/>
      <c r="P13" s="118" t="str">
        <f>SETUP!A15</f>
        <v>Russ W</v>
      </c>
      <c r="Q13" s="143">
        <f t="shared" si="2"/>
        <v>5</v>
      </c>
      <c r="R13" s="145">
        <f t="shared" si="3"/>
        <v>5</v>
      </c>
      <c r="S13" s="146">
        <f t="shared" si="4"/>
        <v>165.2173913</v>
      </c>
    </row>
    <row r="14">
      <c r="A14" s="118" t="str">
        <f>SETUP!A16</f>
        <v>Scott R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>
        <v>20.0</v>
      </c>
      <c r="N14" s="144">
        <f t="shared" si="1"/>
        <v>20</v>
      </c>
      <c r="O14" s="137"/>
      <c r="P14" s="118" t="str">
        <f>SETUP!A16</f>
        <v>Scott R</v>
      </c>
      <c r="Q14" s="143" t="str">
        <f t="shared" si="2"/>
        <v/>
      </c>
      <c r="R14" s="145" t="str">
        <f t="shared" si="3"/>
        <v/>
      </c>
      <c r="S14" s="146">
        <f t="shared" si="4"/>
        <v>0</v>
      </c>
    </row>
    <row r="15">
      <c r="A15" s="147"/>
      <c r="B15" s="148">
        <f t="shared" ref="B15:M15" si="5">SUM(B3:B14)</f>
        <v>24</v>
      </c>
      <c r="C15" s="148">
        <f t="shared" si="5"/>
        <v>32</v>
      </c>
      <c r="D15" s="148">
        <f t="shared" si="5"/>
        <v>14</v>
      </c>
      <c r="E15" s="148">
        <f t="shared" si="5"/>
        <v>16</v>
      </c>
      <c r="F15" s="148">
        <f t="shared" si="5"/>
        <v>18</v>
      </c>
      <c r="G15" s="148">
        <f t="shared" si="5"/>
        <v>13</v>
      </c>
      <c r="H15" s="148">
        <f t="shared" si="5"/>
        <v>26</v>
      </c>
      <c r="I15" s="148">
        <f t="shared" si="5"/>
        <v>9</v>
      </c>
      <c r="J15" s="148">
        <f t="shared" si="5"/>
        <v>20</v>
      </c>
      <c r="K15" s="148">
        <f t="shared" si="5"/>
        <v>6</v>
      </c>
      <c r="L15" s="148">
        <f t="shared" si="5"/>
        <v>13</v>
      </c>
      <c r="M15" s="148">
        <f t="shared" si="5"/>
        <v>49</v>
      </c>
      <c r="N15" s="149">
        <f>sum(B15:M15)</f>
        <v>240</v>
      </c>
      <c r="O15" s="137"/>
      <c r="P15" s="150"/>
      <c r="Q15" s="151">
        <f>if($P$2="","TBD",if($P$2=B2,B15,if($P$2=C2,C15,if($P$2=D2,D15,if($P$2=E2,E15,if($P$2=F2,F15,if($P$2=G2,G15,if($P$2=H2,H15,if($P$2=I2,I15,"TBD")))))))))</f>
        <v>9</v>
      </c>
      <c r="R15" s="151">
        <f>if(P2="","TBD",if($P$2=B18,B31,if($P$2=C18,C31,if($P$2=D18,D31,if($P$2=E18,E31,if($P$2=F18,F31,if($P$2=G18,G31,if($P$2=H18,H31,if($P$2=I18,I31,"TBD")))))))))</f>
        <v>14</v>
      </c>
      <c r="S15" s="152">
        <f>sum(S3:S14)</f>
        <v>380</v>
      </c>
    </row>
    <row r="16"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37"/>
      <c r="Q16" s="154"/>
      <c r="S16" s="155"/>
    </row>
    <row r="17">
      <c r="B17" s="134">
        <v>2.0</v>
      </c>
      <c r="C17" s="135" t="s">
        <v>80</v>
      </c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6">
        <f>sum(N19:N30)</f>
        <v>140</v>
      </c>
      <c r="O17" s="147"/>
    </row>
    <row r="18">
      <c r="A18" s="156" t="s">
        <v>86</v>
      </c>
      <c r="B18" s="141" t="str">
        <f t="array" ref="B18:M18">transpose(A19:A30)</f>
        <v>Aaron J</v>
      </c>
      <c r="C18" s="141" t="s">
        <v>29</v>
      </c>
      <c r="D18" s="141" t="s">
        <v>21</v>
      </c>
      <c r="E18" s="141" t="s">
        <v>23</v>
      </c>
      <c r="F18" s="141" t="s">
        <v>60</v>
      </c>
      <c r="G18" s="141" t="s">
        <v>27</v>
      </c>
      <c r="H18" s="141" t="s">
        <v>22</v>
      </c>
      <c r="I18" s="141" t="s">
        <v>26</v>
      </c>
      <c r="J18" s="141" t="s">
        <v>61</v>
      </c>
      <c r="K18" s="141" t="s">
        <v>62</v>
      </c>
      <c r="L18" s="141" t="s">
        <v>30</v>
      </c>
      <c r="M18" s="141" t="s">
        <v>25</v>
      </c>
      <c r="N18" s="141" t="s">
        <v>8</v>
      </c>
      <c r="O18" s="147"/>
    </row>
    <row r="19">
      <c r="A19" s="157" t="str">
        <f>SETUP!A5</f>
        <v>Aaron J</v>
      </c>
      <c r="B19" s="143"/>
      <c r="C19" s="143"/>
      <c r="D19" s="143">
        <v>4.0</v>
      </c>
      <c r="E19" s="143"/>
      <c r="F19" s="143"/>
      <c r="G19" s="143"/>
      <c r="H19" s="143"/>
      <c r="I19" s="143">
        <v>4.0</v>
      </c>
      <c r="J19" s="143"/>
      <c r="K19" s="143"/>
      <c r="L19" s="143"/>
      <c r="M19" s="143">
        <v>2.0</v>
      </c>
      <c r="N19" s="158">
        <f t="shared" ref="N19:N30" si="6">sum(B19:M19)*$B$17</f>
        <v>20</v>
      </c>
      <c r="O19" s="147"/>
    </row>
    <row r="20">
      <c r="A20" s="157" t="str">
        <f>SETUP!A6</f>
        <v>Andy V</v>
      </c>
      <c r="B20" s="143"/>
      <c r="C20" s="143"/>
      <c r="D20" s="143"/>
      <c r="E20" s="143"/>
      <c r="F20" s="143"/>
      <c r="G20" s="159"/>
      <c r="H20" s="159"/>
      <c r="I20" s="159"/>
      <c r="J20" s="159"/>
      <c r="K20" s="159"/>
      <c r="L20" s="159"/>
      <c r="M20" s="159"/>
      <c r="N20" s="158">
        <f t="shared" si="6"/>
        <v>0</v>
      </c>
      <c r="O20" s="150"/>
    </row>
    <row r="21">
      <c r="A21" s="157" t="str">
        <f>SETUP!A7</f>
        <v>Bob B</v>
      </c>
      <c r="B21" s="143"/>
      <c r="C21" s="143"/>
      <c r="D21" s="143">
        <v>5.0</v>
      </c>
      <c r="E21" s="159"/>
      <c r="F21" s="143"/>
      <c r="G21" s="143"/>
      <c r="H21" s="159"/>
      <c r="I21" s="143"/>
      <c r="J21" s="143"/>
      <c r="K21" s="143"/>
      <c r="L21" s="143"/>
      <c r="M21" s="143">
        <v>5.0</v>
      </c>
      <c r="N21" s="158">
        <f t="shared" si="6"/>
        <v>20</v>
      </c>
      <c r="O21" s="147"/>
    </row>
    <row r="22">
      <c r="A22" s="157" t="str">
        <f>SETUP!A8</f>
        <v>Brian K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58">
        <f t="shared" si="6"/>
        <v>0</v>
      </c>
      <c r="O22" s="147"/>
    </row>
    <row r="23">
      <c r="A23" s="157" t="str">
        <f>SETUP!A9</f>
        <v>Dave K</v>
      </c>
      <c r="B23" s="143"/>
      <c r="C23" s="143"/>
      <c r="D23" s="143"/>
      <c r="E23" s="143"/>
      <c r="F23" s="143"/>
      <c r="G23" s="159"/>
      <c r="H23" s="159"/>
      <c r="I23" s="159"/>
      <c r="J23" s="143"/>
      <c r="K23" s="159"/>
      <c r="L23" s="159"/>
      <c r="M23" s="143">
        <v>10.0</v>
      </c>
      <c r="N23" s="158">
        <f t="shared" si="6"/>
        <v>20</v>
      </c>
      <c r="O23" s="147"/>
    </row>
    <row r="24">
      <c r="A24" s="157" t="str">
        <f>SETUP!A10</f>
        <v>Eric O</v>
      </c>
      <c r="B24" s="143"/>
      <c r="C24" s="159"/>
      <c r="D24" s="143"/>
      <c r="E24" s="143"/>
      <c r="F24" s="159"/>
      <c r="G24" s="143"/>
      <c r="H24" s="159"/>
      <c r="I24" s="143"/>
      <c r="J24" s="143"/>
      <c r="K24" s="143"/>
      <c r="L24" s="143"/>
      <c r="M24" s="143"/>
      <c r="N24" s="158">
        <f t="shared" si="6"/>
        <v>0</v>
      </c>
      <c r="O24" s="147"/>
    </row>
    <row r="25">
      <c r="A25" s="157" t="str">
        <f>SETUP!A11</f>
        <v>Jeff B</v>
      </c>
      <c r="B25" s="143"/>
      <c r="C25" s="143"/>
      <c r="D25" s="143">
        <v>2.0</v>
      </c>
      <c r="E25" s="143"/>
      <c r="F25" s="159"/>
      <c r="G25" s="159"/>
      <c r="H25" s="159"/>
      <c r="I25" s="143">
        <v>5.0</v>
      </c>
      <c r="J25" s="143"/>
      <c r="K25" s="143"/>
      <c r="L25" s="143"/>
      <c r="M25" s="143">
        <v>3.0</v>
      </c>
      <c r="N25" s="158">
        <f t="shared" si="6"/>
        <v>20</v>
      </c>
      <c r="O25" s="147"/>
    </row>
    <row r="26">
      <c r="A26" s="157" t="str">
        <f>SETUP!A12</f>
        <v>Joe S</v>
      </c>
      <c r="B26" s="143"/>
      <c r="C26" s="143"/>
      <c r="D26" s="143">
        <v>5.0</v>
      </c>
      <c r="E26" s="143"/>
      <c r="F26" s="159"/>
      <c r="G26" s="159"/>
      <c r="H26" s="159"/>
      <c r="I26" s="143"/>
      <c r="J26" s="143"/>
      <c r="K26" s="143"/>
      <c r="L26" s="143"/>
      <c r="M26" s="143">
        <v>5.0</v>
      </c>
      <c r="N26" s="158">
        <f t="shared" si="6"/>
        <v>20</v>
      </c>
      <c r="O26" s="147"/>
    </row>
    <row r="27">
      <c r="A27" s="157" t="str">
        <f>SETUP!A13</f>
        <v>John C</v>
      </c>
      <c r="B27" s="143"/>
      <c r="C27" s="159"/>
      <c r="D27" s="143">
        <v>10.0</v>
      </c>
      <c r="E27" s="143"/>
      <c r="F27" s="159"/>
      <c r="G27" s="159"/>
      <c r="H27" s="159"/>
      <c r="I27" s="143"/>
      <c r="J27" s="143"/>
      <c r="K27" s="143"/>
      <c r="L27" s="143"/>
      <c r="M27" s="143"/>
      <c r="N27" s="158">
        <f t="shared" si="6"/>
        <v>20</v>
      </c>
      <c r="O27" s="147"/>
    </row>
    <row r="28">
      <c r="A28" s="157" t="str">
        <f>SETUP!A14</f>
        <v>Ray H</v>
      </c>
      <c r="B28" s="143"/>
      <c r="C28" s="159"/>
      <c r="D28" s="143"/>
      <c r="E28" s="143"/>
      <c r="F28" s="159"/>
      <c r="G28" s="159"/>
      <c r="H28" s="159"/>
      <c r="I28" s="143"/>
      <c r="J28" s="143"/>
      <c r="K28" s="143"/>
      <c r="L28" s="143"/>
      <c r="M28" s="143"/>
      <c r="N28" s="158">
        <f t="shared" si="6"/>
        <v>0</v>
      </c>
      <c r="O28" s="147"/>
    </row>
    <row r="29">
      <c r="A29" s="157" t="str">
        <f>SETUP!A15</f>
        <v>Russ W</v>
      </c>
      <c r="B29" s="143"/>
      <c r="C29" s="159"/>
      <c r="D29" s="143">
        <v>3.0</v>
      </c>
      <c r="E29" s="143">
        <v>2.0</v>
      </c>
      <c r="F29" s="159"/>
      <c r="G29" s="159"/>
      <c r="H29" s="159"/>
      <c r="I29" s="143">
        <v>5.0</v>
      </c>
      <c r="J29" s="143"/>
      <c r="K29" s="143"/>
      <c r="L29" s="143"/>
      <c r="M29" s="143"/>
      <c r="N29" s="158">
        <f t="shared" si="6"/>
        <v>20</v>
      </c>
      <c r="O29" s="147"/>
    </row>
    <row r="30">
      <c r="A30" s="157" t="str">
        <f>SETUP!A16</f>
        <v>Scott R</v>
      </c>
      <c r="B30" s="143"/>
      <c r="C30" s="143"/>
      <c r="D30" s="143"/>
      <c r="E30" s="159"/>
      <c r="F30" s="159"/>
      <c r="G30" s="159"/>
      <c r="H30" s="159"/>
      <c r="I30" s="143"/>
      <c r="J30" s="143"/>
      <c r="K30" s="143"/>
      <c r="L30" s="143"/>
      <c r="M30" s="143"/>
      <c r="N30" s="158">
        <f t="shared" si="6"/>
        <v>0</v>
      </c>
      <c r="O30" s="147"/>
    </row>
    <row r="31">
      <c r="A31" s="147"/>
      <c r="B31" s="148">
        <f t="shared" ref="B31:M31" si="7">SUM(B19:B30)</f>
        <v>0</v>
      </c>
      <c r="C31" s="148">
        <f t="shared" si="7"/>
        <v>0</v>
      </c>
      <c r="D31" s="148">
        <f t="shared" si="7"/>
        <v>29</v>
      </c>
      <c r="E31" s="148">
        <f t="shared" si="7"/>
        <v>2</v>
      </c>
      <c r="F31" s="148">
        <f t="shared" si="7"/>
        <v>0</v>
      </c>
      <c r="G31" s="148">
        <f t="shared" si="7"/>
        <v>0</v>
      </c>
      <c r="H31" s="148">
        <f t="shared" si="7"/>
        <v>0</v>
      </c>
      <c r="I31" s="148">
        <f t="shared" si="7"/>
        <v>14</v>
      </c>
      <c r="J31" s="148">
        <f t="shared" si="7"/>
        <v>0</v>
      </c>
      <c r="K31" s="148">
        <f t="shared" si="7"/>
        <v>0</v>
      </c>
      <c r="L31" s="148">
        <f t="shared" si="7"/>
        <v>0</v>
      </c>
      <c r="M31" s="148">
        <f t="shared" si="7"/>
        <v>25</v>
      </c>
      <c r="N31" s="149">
        <f>sum(B31:M31)</f>
        <v>70</v>
      </c>
      <c r="O31" s="147"/>
    </row>
  </sheetData>
  <conditionalFormatting sqref="B3:M3 A18 B18:M31 A31">
    <cfRule type="expression" dxfId="6" priority="1">
      <formula>B$18=$P$2</formula>
    </cfRule>
  </conditionalFormatting>
  <conditionalFormatting sqref="B2:N15 B18:M18">
    <cfRule type="expression" dxfId="6" priority="2">
      <formula>B$2=$P$2</formula>
    </cfRule>
  </conditionalFormatting>
  <conditionalFormatting sqref="S15">
    <cfRule type="expression" dxfId="6" priority="3">
      <formula>S15=sum(N1+N17)</formula>
    </cfRule>
  </conditionalFormatting>
  <conditionalFormatting sqref="S15">
    <cfRule type="expression" dxfId="5" priority="4">
      <formula>S15&lt;&gt;sum(N1+N17)</formula>
    </cfRule>
  </conditionalFormatting>
  <dataValidations>
    <dataValidation type="list" allowBlank="1" showErrorMessage="1" sqref="A3:A14 P2:P14 A19:A30">
      <formula1>SETUP!$A$5:$A$16</formula1>
    </dataValidation>
  </dataValidations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4.29"/>
    <col customWidth="1" min="2" max="2" width="17.29"/>
    <col customWidth="1" min="3" max="3" width="8.71"/>
    <col customWidth="1" min="4" max="4" width="3.0"/>
    <col customWidth="1" min="5" max="5" width="4.29"/>
    <col customWidth="1" min="6" max="6" width="17.29"/>
    <col customWidth="1" min="7" max="7" width="8.71"/>
    <col customWidth="1" min="8" max="8" width="3.0"/>
    <col customWidth="1" min="9" max="9" width="4.29"/>
    <col customWidth="1" min="10" max="10" width="17.29"/>
    <col customWidth="1" min="11" max="11" width="8.71"/>
    <col customWidth="1" min="12" max="12" width="3.0"/>
    <col customWidth="1" min="13" max="13" width="4.29"/>
    <col customWidth="1" min="14" max="14" width="17.29"/>
    <col customWidth="1" min="15" max="15" width="8.71"/>
    <col customWidth="1" min="16" max="16" width="3.0"/>
    <col customWidth="1" min="17" max="17" width="4.29"/>
    <col customWidth="1" min="18" max="18" width="17.29"/>
    <col customWidth="1" min="19" max="19" width="8.71"/>
    <col customWidth="1" min="20" max="20" width="3.0"/>
    <col customWidth="1" min="21" max="21" width="4.29"/>
    <col customWidth="1" min="22" max="22" width="17.29"/>
    <col customWidth="1" min="23" max="23" width="8.71"/>
  </cols>
  <sheetData>
    <row r="1" ht="15.0" customHeight="1">
      <c r="A1" s="160"/>
      <c r="B1" s="160"/>
      <c r="E1" s="160"/>
      <c r="F1" s="160"/>
      <c r="I1" s="160"/>
      <c r="J1" s="160"/>
      <c r="M1" s="160"/>
      <c r="N1" s="160"/>
      <c r="Q1" s="160"/>
      <c r="R1" s="160"/>
      <c r="U1" s="160"/>
      <c r="V1" s="160"/>
    </row>
    <row r="2">
      <c r="A2" s="161" t="s">
        <v>87</v>
      </c>
      <c r="B2" s="162"/>
      <c r="C2" s="162"/>
      <c r="E2" s="161" t="s">
        <v>88</v>
      </c>
      <c r="F2" s="163"/>
      <c r="G2" s="162"/>
      <c r="I2" s="161" t="s">
        <v>89</v>
      </c>
      <c r="J2" s="163"/>
      <c r="K2" s="162"/>
      <c r="M2" s="161" t="s">
        <v>90</v>
      </c>
      <c r="N2" s="163"/>
      <c r="O2" s="162"/>
      <c r="Q2" s="161" t="s">
        <v>91</v>
      </c>
      <c r="R2" s="163"/>
      <c r="S2" s="162"/>
      <c r="U2" s="161" t="s">
        <v>92</v>
      </c>
      <c r="V2" s="163"/>
      <c r="W2" s="162"/>
    </row>
    <row r="3" ht="7.5" customHeight="1">
      <c r="A3" s="164"/>
      <c r="B3" s="164"/>
      <c r="C3" s="162"/>
      <c r="E3" s="164"/>
      <c r="F3" s="164"/>
      <c r="G3" s="162"/>
      <c r="I3" s="164"/>
      <c r="J3" s="164"/>
      <c r="K3" s="162"/>
      <c r="M3" s="164"/>
      <c r="N3" s="164"/>
      <c r="O3" s="162"/>
      <c r="Q3" s="164"/>
      <c r="R3" s="164"/>
      <c r="S3" s="162"/>
      <c r="U3" s="164"/>
      <c r="V3" s="164"/>
      <c r="W3" s="162"/>
    </row>
    <row r="4" ht="27.0" customHeight="1">
      <c r="A4" s="165">
        <v>1.0</v>
      </c>
      <c r="B4" s="166" t="s">
        <v>59</v>
      </c>
      <c r="C4" s="167"/>
      <c r="D4" s="168"/>
      <c r="E4" s="165">
        <v>1.0</v>
      </c>
      <c r="F4" s="166" t="s">
        <v>59</v>
      </c>
      <c r="G4" s="167"/>
      <c r="H4" s="168"/>
      <c r="I4" s="165">
        <v>1.0</v>
      </c>
      <c r="J4" s="166" t="s">
        <v>59</v>
      </c>
      <c r="K4" s="167"/>
      <c r="L4" s="168"/>
      <c r="M4" s="165">
        <v>1.0</v>
      </c>
      <c r="N4" s="166" t="s">
        <v>59</v>
      </c>
      <c r="O4" s="167"/>
      <c r="P4" s="168"/>
      <c r="Q4" s="165">
        <v>1.0</v>
      </c>
      <c r="R4" s="166" t="s">
        <v>59</v>
      </c>
      <c r="S4" s="167"/>
      <c r="T4" s="168"/>
      <c r="U4" s="165">
        <v>1.0</v>
      </c>
      <c r="V4" s="166" t="s">
        <v>59</v>
      </c>
      <c r="W4" s="167"/>
    </row>
    <row r="5" ht="27.0" customHeight="1">
      <c r="A5" s="169">
        <v>1.0</v>
      </c>
      <c r="B5" s="170" t="s">
        <v>29</v>
      </c>
      <c r="C5" s="171"/>
      <c r="D5" s="168"/>
      <c r="E5" s="169">
        <v>1.0</v>
      </c>
      <c r="F5" s="170" t="s">
        <v>29</v>
      </c>
      <c r="G5" s="171"/>
      <c r="H5" s="168"/>
      <c r="I5" s="169">
        <v>1.0</v>
      </c>
      <c r="J5" s="170" t="s">
        <v>29</v>
      </c>
      <c r="K5" s="171"/>
      <c r="L5" s="168"/>
      <c r="M5" s="169">
        <v>1.0</v>
      </c>
      <c r="N5" s="170" t="s">
        <v>29</v>
      </c>
      <c r="O5" s="171"/>
      <c r="P5" s="168"/>
      <c r="Q5" s="169">
        <v>1.0</v>
      </c>
      <c r="R5" s="170" t="s">
        <v>29</v>
      </c>
      <c r="S5" s="171"/>
      <c r="T5" s="168"/>
      <c r="U5" s="169">
        <v>1.0</v>
      </c>
      <c r="V5" s="170" t="s">
        <v>29</v>
      </c>
      <c r="W5" s="171"/>
    </row>
    <row r="6" ht="27.0" customHeight="1">
      <c r="A6" s="165">
        <v>1.0</v>
      </c>
      <c r="B6" s="166" t="s">
        <v>21</v>
      </c>
      <c r="C6" s="167"/>
      <c r="D6" s="168"/>
      <c r="E6" s="165">
        <v>1.0</v>
      </c>
      <c r="F6" s="166" t="s">
        <v>21</v>
      </c>
      <c r="G6" s="167"/>
      <c r="H6" s="168"/>
      <c r="I6" s="165">
        <v>1.0</v>
      </c>
      <c r="J6" s="166" t="s">
        <v>21</v>
      </c>
      <c r="K6" s="167"/>
      <c r="L6" s="168"/>
      <c r="M6" s="165">
        <v>1.0</v>
      </c>
      <c r="N6" s="166" t="s">
        <v>21</v>
      </c>
      <c r="O6" s="167"/>
      <c r="P6" s="168"/>
      <c r="Q6" s="165">
        <v>1.0</v>
      </c>
      <c r="R6" s="166" t="s">
        <v>21</v>
      </c>
      <c r="S6" s="167"/>
      <c r="T6" s="168"/>
      <c r="U6" s="165">
        <v>1.0</v>
      </c>
      <c r="V6" s="166" t="s">
        <v>21</v>
      </c>
      <c r="W6" s="167"/>
    </row>
    <row r="7" ht="27.0" customHeight="1">
      <c r="A7" s="169">
        <v>1.0</v>
      </c>
      <c r="B7" s="170" t="s">
        <v>23</v>
      </c>
      <c r="C7" s="171"/>
      <c r="D7" s="168"/>
      <c r="E7" s="169">
        <v>1.0</v>
      </c>
      <c r="F7" s="170" t="s">
        <v>23</v>
      </c>
      <c r="G7" s="171"/>
      <c r="H7" s="168"/>
      <c r="I7" s="169">
        <v>1.0</v>
      </c>
      <c r="J7" s="170" t="s">
        <v>23</v>
      </c>
      <c r="K7" s="171"/>
      <c r="L7" s="168"/>
      <c r="M7" s="169">
        <v>1.0</v>
      </c>
      <c r="N7" s="170" t="s">
        <v>23</v>
      </c>
      <c r="O7" s="171"/>
      <c r="P7" s="168"/>
      <c r="Q7" s="169">
        <v>1.0</v>
      </c>
      <c r="R7" s="170" t="s">
        <v>23</v>
      </c>
      <c r="S7" s="171"/>
      <c r="T7" s="168"/>
      <c r="U7" s="169">
        <v>1.0</v>
      </c>
      <c r="V7" s="170" t="s">
        <v>23</v>
      </c>
      <c r="W7" s="171"/>
    </row>
    <row r="8" ht="27.0" customHeight="1">
      <c r="A8" s="165">
        <v>1.0</v>
      </c>
      <c r="B8" s="166" t="s">
        <v>60</v>
      </c>
      <c r="C8" s="167"/>
      <c r="D8" s="168"/>
      <c r="E8" s="165">
        <v>1.0</v>
      </c>
      <c r="F8" s="166" t="s">
        <v>60</v>
      </c>
      <c r="G8" s="167"/>
      <c r="H8" s="168"/>
      <c r="I8" s="165">
        <v>1.0</v>
      </c>
      <c r="J8" s="166" t="s">
        <v>60</v>
      </c>
      <c r="K8" s="167"/>
      <c r="L8" s="168"/>
      <c r="M8" s="165">
        <v>1.0</v>
      </c>
      <c r="N8" s="166" t="s">
        <v>60</v>
      </c>
      <c r="O8" s="167"/>
      <c r="P8" s="168"/>
      <c r="Q8" s="165">
        <v>1.0</v>
      </c>
      <c r="R8" s="166" t="s">
        <v>60</v>
      </c>
      <c r="S8" s="167"/>
      <c r="T8" s="168"/>
      <c r="U8" s="165">
        <v>1.0</v>
      </c>
      <c r="V8" s="166" t="s">
        <v>60</v>
      </c>
      <c r="W8" s="167"/>
    </row>
    <row r="9" ht="27.0" customHeight="1">
      <c r="A9" s="169">
        <v>1.0</v>
      </c>
      <c r="B9" s="170" t="s">
        <v>27</v>
      </c>
      <c r="C9" s="171"/>
      <c r="D9" s="168"/>
      <c r="E9" s="169">
        <v>1.0</v>
      </c>
      <c r="F9" s="170" t="s">
        <v>27</v>
      </c>
      <c r="G9" s="171"/>
      <c r="H9" s="168"/>
      <c r="I9" s="169">
        <v>1.0</v>
      </c>
      <c r="J9" s="170" t="s">
        <v>27</v>
      </c>
      <c r="K9" s="171"/>
      <c r="L9" s="168"/>
      <c r="M9" s="169">
        <v>1.0</v>
      </c>
      <c r="N9" s="170" t="s">
        <v>27</v>
      </c>
      <c r="O9" s="171"/>
      <c r="P9" s="168"/>
      <c r="Q9" s="169">
        <v>1.0</v>
      </c>
      <c r="R9" s="170" t="s">
        <v>27</v>
      </c>
      <c r="S9" s="171"/>
      <c r="T9" s="168"/>
      <c r="U9" s="169">
        <v>1.0</v>
      </c>
      <c r="V9" s="170" t="s">
        <v>27</v>
      </c>
      <c r="W9" s="171"/>
    </row>
    <row r="10" ht="27.0" customHeight="1">
      <c r="A10" s="165">
        <v>1.0</v>
      </c>
      <c r="B10" s="166" t="s">
        <v>22</v>
      </c>
      <c r="C10" s="167"/>
      <c r="D10" s="168"/>
      <c r="E10" s="165">
        <v>1.0</v>
      </c>
      <c r="F10" s="166" t="s">
        <v>22</v>
      </c>
      <c r="G10" s="167"/>
      <c r="H10" s="168"/>
      <c r="I10" s="165">
        <v>1.0</v>
      </c>
      <c r="J10" s="166" t="s">
        <v>22</v>
      </c>
      <c r="K10" s="167"/>
      <c r="L10" s="168"/>
      <c r="M10" s="165">
        <v>1.0</v>
      </c>
      <c r="N10" s="166" t="s">
        <v>22</v>
      </c>
      <c r="O10" s="167"/>
      <c r="P10" s="168"/>
      <c r="Q10" s="165">
        <v>1.0</v>
      </c>
      <c r="R10" s="166" t="s">
        <v>22</v>
      </c>
      <c r="S10" s="167"/>
      <c r="T10" s="168"/>
      <c r="U10" s="165">
        <v>1.0</v>
      </c>
      <c r="V10" s="166" t="s">
        <v>22</v>
      </c>
      <c r="W10" s="167"/>
    </row>
    <row r="11" ht="27.0" customHeight="1">
      <c r="A11" s="169">
        <v>1.0</v>
      </c>
      <c r="B11" s="170" t="s">
        <v>26</v>
      </c>
      <c r="C11" s="171"/>
      <c r="D11" s="168"/>
      <c r="E11" s="169">
        <v>1.0</v>
      </c>
      <c r="F11" s="170" t="s">
        <v>26</v>
      </c>
      <c r="G11" s="171"/>
      <c r="H11" s="168"/>
      <c r="I11" s="169">
        <v>1.0</v>
      </c>
      <c r="J11" s="170" t="s">
        <v>26</v>
      </c>
      <c r="K11" s="171"/>
      <c r="L11" s="168"/>
      <c r="M11" s="169">
        <v>1.0</v>
      </c>
      <c r="N11" s="170" t="s">
        <v>26</v>
      </c>
      <c r="O11" s="171"/>
      <c r="P11" s="168"/>
      <c r="Q11" s="169">
        <v>1.0</v>
      </c>
      <c r="R11" s="170" t="s">
        <v>26</v>
      </c>
      <c r="S11" s="171"/>
      <c r="T11" s="168"/>
      <c r="U11" s="169">
        <v>1.0</v>
      </c>
      <c r="V11" s="170" t="s">
        <v>26</v>
      </c>
      <c r="W11" s="171"/>
    </row>
    <row r="12" ht="27.0" customHeight="1">
      <c r="A12" s="165">
        <v>1.0</v>
      </c>
      <c r="B12" s="166" t="s">
        <v>61</v>
      </c>
      <c r="C12" s="167"/>
      <c r="D12" s="168"/>
      <c r="E12" s="165">
        <v>1.0</v>
      </c>
      <c r="F12" s="166" t="s">
        <v>61</v>
      </c>
      <c r="G12" s="167"/>
      <c r="H12" s="168"/>
      <c r="I12" s="165">
        <v>1.0</v>
      </c>
      <c r="J12" s="166" t="s">
        <v>61</v>
      </c>
      <c r="K12" s="167"/>
      <c r="L12" s="168"/>
      <c r="M12" s="165">
        <v>1.0</v>
      </c>
      <c r="N12" s="166" t="s">
        <v>61</v>
      </c>
      <c r="O12" s="167"/>
      <c r="P12" s="168"/>
      <c r="Q12" s="165">
        <v>1.0</v>
      </c>
      <c r="R12" s="166" t="s">
        <v>61</v>
      </c>
      <c r="S12" s="167"/>
      <c r="T12" s="168"/>
      <c r="U12" s="165">
        <v>1.0</v>
      </c>
      <c r="V12" s="166" t="s">
        <v>61</v>
      </c>
      <c r="W12" s="167"/>
    </row>
    <row r="13" ht="27.0" customHeight="1">
      <c r="A13" s="169">
        <v>1.0</v>
      </c>
      <c r="B13" s="170" t="s">
        <v>62</v>
      </c>
      <c r="C13" s="171"/>
      <c r="D13" s="168"/>
      <c r="E13" s="169">
        <v>1.0</v>
      </c>
      <c r="F13" s="170" t="s">
        <v>62</v>
      </c>
      <c r="G13" s="171"/>
      <c r="H13" s="168"/>
      <c r="I13" s="169">
        <v>1.0</v>
      </c>
      <c r="J13" s="170" t="s">
        <v>62</v>
      </c>
      <c r="K13" s="171"/>
      <c r="L13" s="168"/>
      <c r="M13" s="169">
        <v>1.0</v>
      </c>
      <c r="N13" s="170" t="s">
        <v>62</v>
      </c>
      <c r="O13" s="171"/>
      <c r="P13" s="168"/>
      <c r="Q13" s="169">
        <v>1.0</v>
      </c>
      <c r="R13" s="170" t="s">
        <v>62</v>
      </c>
      <c r="S13" s="171"/>
      <c r="T13" s="168"/>
      <c r="U13" s="169">
        <v>1.0</v>
      </c>
      <c r="V13" s="170" t="s">
        <v>62</v>
      </c>
      <c r="W13" s="171"/>
    </row>
    <row r="14" ht="27.0" customHeight="1">
      <c r="A14" s="165">
        <v>1.0</v>
      </c>
      <c r="B14" s="166" t="s">
        <v>30</v>
      </c>
      <c r="C14" s="167"/>
      <c r="D14" s="168"/>
      <c r="E14" s="165">
        <v>1.0</v>
      </c>
      <c r="F14" s="166" t="s">
        <v>30</v>
      </c>
      <c r="G14" s="167"/>
      <c r="H14" s="168"/>
      <c r="I14" s="165">
        <v>1.0</v>
      </c>
      <c r="J14" s="166" t="s">
        <v>30</v>
      </c>
      <c r="K14" s="167"/>
      <c r="L14" s="168"/>
      <c r="M14" s="165">
        <v>1.0</v>
      </c>
      <c r="N14" s="166" t="s">
        <v>30</v>
      </c>
      <c r="O14" s="167"/>
      <c r="P14" s="168"/>
      <c r="Q14" s="165">
        <v>1.0</v>
      </c>
      <c r="R14" s="166" t="s">
        <v>30</v>
      </c>
      <c r="S14" s="167"/>
      <c r="T14" s="168"/>
      <c r="U14" s="165">
        <v>1.0</v>
      </c>
      <c r="V14" s="166" t="s">
        <v>30</v>
      </c>
      <c r="W14" s="167"/>
    </row>
    <row r="15" ht="27.0" customHeight="1">
      <c r="A15" s="169">
        <v>1.0</v>
      </c>
      <c r="B15" s="170" t="s">
        <v>25</v>
      </c>
      <c r="C15" s="171"/>
      <c r="D15" s="168"/>
      <c r="E15" s="169">
        <v>1.0</v>
      </c>
      <c r="F15" s="170" t="s">
        <v>25</v>
      </c>
      <c r="G15" s="171"/>
      <c r="H15" s="168"/>
      <c r="I15" s="169">
        <v>1.0</v>
      </c>
      <c r="J15" s="170" t="s">
        <v>25</v>
      </c>
      <c r="K15" s="171"/>
      <c r="L15" s="168"/>
      <c r="M15" s="169">
        <v>1.0</v>
      </c>
      <c r="N15" s="170" t="s">
        <v>25</v>
      </c>
      <c r="O15" s="171"/>
      <c r="P15" s="168"/>
      <c r="Q15" s="169">
        <v>1.0</v>
      </c>
      <c r="R15" s="170" t="s">
        <v>25</v>
      </c>
      <c r="S15" s="171"/>
      <c r="T15" s="168"/>
      <c r="U15" s="169">
        <v>1.0</v>
      </c>
      <c r="V15" s="170" t="s">
        <v>25</v>
      </c>
      <c r="W15" s="171"/>
    </row>
    <row r="16" ht="27.0" customHeight="1">
      <c r="A16" s="172"/>
      <c r="B16" s="173" t="s">
        <v>93</v>
      </c>
      <c r="C16" s="174"/>
      <c r="E16" s="172"/>
      <c r="F16" s="173" t="s">
        <v>93</v>
      </c>
      <c r="G16" s="174"/>
      <c r="I16" s="172"/>
      <c r="J16" s="173" t="s">
        <v>93</v>
      </c>
      <c r="K16" s="174"/>
      <c r="M16" s="172"/>
      <c r="N16" s="173" t="s">
        <v>93</v>
      </c>
      <c r="O16" s="174"/>
      <c r="Q16" s="172"/>
      <c r="R16" s="173" t="s">
        <v>93</v>
      </c>
      <c r="S16" s="174"/>
      <c r="U16" s="172"/>
      <c r="V16" s="173" t="s">
        <v>93</v>
      </c>
      <c r="W16" s="174"/>
    </row>
    <row r="17" ht="15.0" customHeight="1">
      <c r="A17" s="160"/>
      <c r="B17" s="160"/>
      <c r="E17" s="160"/>
      <c r="F17" s="160"/>
      <c r="I17" s="160"/>
      <c r="J17" s="160"/>
      <c r="M17" s="160"/>
      <c r="N17" s="160"/>
      <c r="Q17" s="160"/>
      <c r="R17" s="160"/>
      <c r="U17" s="160"/>
      <c r="V17" s="160"/>
    </row>
    <row r="18">
      <c r="A18" s="161" t="s">
        <v>94</v>
      </c>
      <c r="B18" s="163"/>
      <c r="C18" s="162"/>
      <c r="E18" s="161" t="s">
        <v>95</v>
      </c>
      <c r="F18" s="163"/>
      <c r="G18" s="162"/>
      <c r="I18" s="161" t="s">
        <v>96</v>
      </c>
      <c r="J18" s="163"/>
      <c r="K18" s="162"/>
      <c r="M18" s="161" t="s">
        <v>97</v>
      </c>
      <c r="N18" s="163"/>
      <c r="O18" s="162"/>
      <c r="Q18" s="161" t="s">
        <v>98</v>
      </c>
      <c r="R18" s="163"/>
      <c r="S18" s="162"/>
      <c r="U18" s="161" t="s">
        <v>99</v>
      </c>
      <c r="V18" s="163"/>
      <c r="W18" s="162"/>
    </row>
    <row r="19" ht="7.5" customHeight="1">
      <c r="A19" s="164"/>
      <c r="B19" s="164"/>
      <c r="C19" s="162"/>
      <c r="E19" s="164"/>
      <c r="F19" s="164"/>
      <c r="G19" s="162"/>
      <c r="I19" s="164"/>
      <c r="J19" s="164"/>
      <c r="K19" s="162"/>
      <c r="M19" s="164"/>
      <c r="N19" s="164"/>
      <c r="O19" s="162"/>
      <c r="Q19" s="164"/>
      <c r="R19" s="164"/>
      <c r="S19" s="162"/>
      <c r="U19" s="164"/>
      <c r="V19" s="164"/>
      <c r="W19" s="162"/>
    </row>
    <row r="20" ht="27.0" customHeight="1">
      <c r="A20" s="165">
        <v>1.0</v>
      </c>
      <c r="B20" s="166" t="s">
        <v>59</v>
      </c>
      <c r="C20" s="167"/>
      <c r="D20" s="168"/>
      <c r="E20" s="165">
        <v>1.0</v>
      </c>
      <c r="F20" s="166" t="s">
        <v>59</v>
      </c>
      <c r="G20" s="167"/>
      <c r="H20" s="168"/>
      <c r="I20" s="165">
        <v>1.0</v>
      </c>
      <c r="J20" s="166" t="s">
        <v>59</v>
      </c>
      <c r="K20" s="167"/>
      <c r="L20" s="168"/>
      <c r="M20" s="165">
        <v>1.0</v>
      </c>
      <c r="N20" s="166" t="s">
        <v>59</v>
      </c>
      <c r="O20" s="167"/>
      <c r="P20" s="168"/>
      <c r="Q20" s="165">
        <v>1.0</v>
      </c>
      <c r="R20" s="166" t="s">
        <v>59</v>
      </c>
      <c r="S20" s="167"/>
      <c r="T20" s="168"/>
      <c r="U20" s="165">
        <v>1.0</v>
      </c>
      <c r="V20" s="166" t="s">
        <v>59</v>
      </c>
      <c r="W20" s="167"/>
    </row>
    <row r="21" ht="27.0" customHeight="1">
      <c r="A21" s="169">
        <v>1.0</v>
      </c>
      <c r="B21" s="170" t="s">
        <v>29</v>
      </c>
      <c r="C21" s="171"/>
      <c r="D21" s="168"/>
      <c r="E21" s="169">
        <v>1.0</v>
      </c>
      <c r="F21" s="170" t="s">
        <v>29</v>
      </c>
      <c r="G21" s="171"/>
      <c r="H21" s="168"/>
      <c r="I21" s="169">
        <v>1.0</v>
      </c>
      <c r="J21" s="170" t="s">
        <v>29</v>
      </c>
      <c r="K21" s="171"/>
      <c r="L21" s="168"/>
      <c r="M21" s="169">
        <v>1.0</v>
      </c>
      <c r="N21" s="170" t="s">
        <v>29</v>
      </c>
      <c r="O21" s="171"/>
      <c r="P21" s="168"/>
      <c r="Q21" s="169">
        <v>1.0</v>
      </c>
      <c r="R21" s="170" t="s">
        <v>29</v>
      </c>
      <c r="S21" s="171"/>
      <c r="T21" s="168"/>
      <c r="U21" s="169">
        <v>1.0</v>
      </c>
      <c r="V21" s="170" t="s">
        <v>29</v>
      </c>
      <c r="W21" s="171"/>
    </row>
    <row r="22" ht="27.0" customHeight="1">
      <c r="A22" s="165">
        <v>1.0</v>
      </c>
      <c r="B22" s="166" t="s">
        <v>21</v>
      </c>
      <c r="C22" s="167"/>
      <c r="D22" s="168"/>
      <c r="E22" s="165">
        <v>1.0</v>
      </c>
      <c r="F22" s="166" t="s">
        <v>21</v>
      </c>
      <c r="G22" s="167"/>
      <c r="H22" s="168"/>
      <c r="I22" s="165">
        <v>1.0</v>
      </c>
      <c r="J22" s="166" t="s">
        <v>21</v>
      </c>
      <c r="K22" s="167"/>
      <c r="L22" s="168"/>
      <c r="M22" s="165">
        <v>1.0</v>
      </c>
      <c r="N22" s="166" t="s">
        <v>21</v>
      </c>
      <c r="O22" s="167"/>
      <c r="P22" s="168"/>
      <c r="Q22" s="165">
        <v>1.0</v>
      </c>
      <c r="R22" s="166" t="s">
        <v>21</v>
      </c>
      <c r="S22" s="167"/>
      <c r="T22" s="168"/>
      <c r="U22" s="165">
        <v>1.0</v>
      </c>
      <c r="V22" s="166" t="s">
        <v>21</v>
      </c>
      <c r="W22" s="167"/>
    </row>
    <row r="23" ht="27.0" customHeight="1">
      <c r="A23" s="169">
        <v>1.0</v>
      </c>
      <c r="B23" s="170" t="s">
        <v>23</v>
      </c>
      <c r="C23" s="171"/>
      <c r="D23" s="168"/>
      <c r="E23" s="169">
        <v>1.0</v>
      </c>
      <c r="F23" s="170" t="s">
        <v>23</v>
      </c>
      <c r="G23" s="171"/>
      <c r="H23" s="168"/>
      <c r="I23" s="169">
        <v>1.0</v>
      </c>
      <c r="J23" s="170" t="s">
        <v>23</v>
      </c>
      <c r="K23" s="171"/>
      <c r="L23" s="168"/>
      <c r="M23" s="169">
        <v>1.0</v>
      </c>
      <c r="N23" s="170" t="s">
        <v>23</v>
      </c>
      <c r="O23" s="171"/>
      <c r="P23" s="168"/>
      <c r="Q23" s="169">
        <v>1.0</v>
      </c>
      <c r="R23" s="170" t="s">
        <v>23</v>
      </c>
      <c r="S23" s="171"/>
      <c r="T23" s="168"/>
      <c r="U23" s="169">
        <v>1.0</v>
      </c>
      <c r="V23" s="170" t="s">
        <v>23</v>
      </c>
      <c r="W23" s="171"/>
    </row>
    <row r="24" ht="27.0" customHeight="1">
      <c r="A24" s="165">
        <v>1.0</v>
      </c>
      <c r="B24" s="166" t="s">
        <v>60</v>
      </c>
      <c r="C24" s="167"/>
      <c r="D24" s="168"/>
      <c r="E24" s="165">
        <v>1.0</v>
      </c>
      <c r="F24" s="166" t="s">
        <v>60</v>
      </c>
      <c r="G24" s="167"/>
      <c r="H24" s="168"/>
      <c r="I24" s="165">
        <v>1.0</v>
      </c>
      <c r="J24" s="166" t="s">
        <v>60</v>
      </c>
      <c r="K24" s="167"/>
      <c r="L24" s="168"/>
      <c r="M24" s="165">
        <v>1.0</v>
      </c>
      <c r="N24" s="166" t="s">
        <v>60</v>
      </c>
      <c r="O24" s="167"/>
      <c r="P24" s="168"/>
      <c r="Q24" s="165">
        <v>1.0</v>
      </c>
      <c r="R24" s="166" t="s">
        <v>60</v>
      </c>
      <c r="S24" s="167"/>
      <c r="T24" s="168"/>
      <c r="U24" s="165">
        <v>1.0</v>
      </c>
      <c r="V24" s="166" t="s">
        <v>60</v>
      </c>
      <c r="W24" s="167"/>
    </row>
    <row r="25" ht="27.0" customHeight="1">
      <c r="A25" s="169">
        <v>1.0</v>
      </c>
      <c r="B25" s="170" t="s">
        <v>27</v>
      </c>
      <c r="C25" s="171"/>
      <c r="D25" s="168"/>
      <c r="E25" s="169">
        <v>1.0</v>
      </c>
      <c r="F25" s="170" t="s">
        <v>27</v>
      </c>
      <c r="G25" s="171"/>
      <c r="H25" s="168"/>
      <c r="I25" s="169">
        <v>1.0</v>
      </c>
      <c r="J25" s="170" t="s">
        <v>27</v>
      </c>
      <c r="K25" s="171"/>
      <c r="L25" s="168"/>
      <c r="M25" s="169">
        <v>1.0</v>
      </c>
      <c r="N25" s="170" t="s">
        <v>27</v>
      </c>
      <c r="O25" s="171"/>
      <c r="P25" s="168"/>
      <c r="Q25" s="169">
        <v>1.0</v>
      </c>
      <c r="R25" s="170" t="s">
        <v>27</v>
      </c>
      <c r="S25" s="171"/>
      <c r="T25" s="168"/>
      <c r="U25" s="169">
        <v>1.0</v>
      </c>
      <c r="V25" s="170" t="s">
        <v>27</v>
      </c>
      <c r="W25" s="171"/>
    </row>
    <row r="26" ht="27.0" customHeight="1">
      <c r="A26" s="165">
        <v>1.0</v>
      </c>
      <c r="B26" s="166" t="s">
        <v>22</v>
      </c>
      <c r="C26" s="167"/>
      <c r="D26" s="168"/>
      <c r="E26" s="165">
        <v>1.0</v>
      </c>
      <c r="F26" s="166" t="s">
        <v>22</v>
      </c>
      <c r="G26" s="167"/>
      <c r="H26" s="168"/>
      <c r="I26" s="165">
        <v>1.0</v>
      </c>
      <c r="J26" s="166" t="s">
        <v>22</v>
      </c>
      <c r="K26" s="167"/>
      <c r="L26" s="168"/>
      <c r="M26" s="165">
        <v>1.0</v>
      </c>
      <c r="N26" s="166" t="s">
        <v>22</v>
      </c>
      <c r="O26" s="167"/>
      <c r="P26" s="168"/>
      <c r="Q26" s="165">
        <v>1.0</v>
      </c>
      <c r="R26" s="166" t="s">
        <v>22</v>
      </c>
      <c r="S26" s="167"/>
      <c r="T26" s="168"/>
      <c r="U26" s="165">
        <v>1.0</v>
      </c>
      <c r="V26" s="166" t="s">
        <v>22</v>
      </c>
      <c r="W26" s="167"/>
    </row>
    <row r="27" ht="27.0" customHeight="1">
      <c r="A27" s="169">
        <v>1.0</v>
      </c>
      <c r="B27" s="170" t="s">
        <v>26</v>
      </c>
      <c r="C27" s="171"/>
      <c r="D27" s="168"/>
      <c r="E27" s="169">
        <v>1.0</v>
      </c>
      <c r="F27" s="170" t="s">
        <v>26</v>
      </c>
      <c r="G27" s="171"/>
      <c r="H27" s="168"/>
      <c r="I27" s="169">
        <v>1.0</v>
      </c>
      <c r="J27" s="170" t="s">
        <v>26</v>
      </c>
      <c r="K27" s="171"/>
      <c r="L27" s="168"/>
      <c r="M27" s="169">
        <v>1.0</v>
      </c>
      <c r="N27" s="170" t="s">
        <v>26</v>
      </c>
      <c r="O27" s="171"/>
      <c r="P27" s="168"/>
      <c r="Q27" s="169">
        <v>1.0</v>
      </c>
      <c r="R27" s="170" t="s">
        <v>26</v>
      </c>
      <c r="S27" s="171"/>
      <c r="T27" s="168"/>
      <c r="U27" s="169">
        <v>1.0</v>
      </c>
      <c r="V27" s="170" t="s">
        <v>26</v>
      </c>
      <c r="W27" s="171"/>
    </row>
    <row r="28" ht="27.0" customHeight="1">
      <c r="A28" s="165">
        <v>1.0</v>
      </c>
      <c r="B28" s="166" t="s">
        <v>61</v>
      </c>
      <c r="C28" s="167"/>
      <c r="D28" s="168"/>
      <c r="E28" s="165">
        <v>1.0</v>
      </c>
      <c r="F28" s="166" t="s">
        <v>61</v>
      </c>
      <c r="G28" s="167"/>
      <c r="H28" s="168"/>
      <c r="I28" s="165">
        <v>1.0</v>
      </c>
      <c r="J28" s="166" t="s">
        <v>61</v>
      </c>
      <c r="K28" s="167"/>
      <c r="L28" s="168"/>
      <c r="M28" s="165">
        <v>1.0</v>
      </c>
      <c r="N28" s="166" t="s">
        <v>61</v>
      </c>
      <c r="O28" s="167"/>
      <c r="P28" s="168"/>
      <c r="Q28" s="165">
        <v>1.0</v>
      </c>
      <c r="R28" s="166" t="s">
        <v>61</v>
      </c>
      <c r="S28" s="167"/>
      <c r="T28" s="168"/>
      <c r="U28" s="165">
        <v>1.0</v>
      </c>
      <c r="V28" s="166" t="s">
        <v>61</v>
      </c>
      <c r="W28" s="167"/>
    </row>
    <row r="29" ht="27.0" customHeight="1">
      <c r="A29" s="169">
        <v>1.0</v>
      </c>
      <c r="B29" s="170" t="s">
        <v>62</v>
      </c>
      <c r="C29" s="171"/>
      <c r="D29" s="168"/>
      <c r="E29" s="169">
        <v>1.0</v>
      </c>
      <c r="F29" s="170" t="s">
        <v>62</v>
      </c>
      <c r="G29" s="171"/>
      <c r="H29" s="168"/>
      <c r="I29" s="169">
        <v>1.0</v>
      </c>
      <c r="J29" s="170" t="s">
        <v>62</v>
      </c>
      <c r="K29" s="171"/>
      <c r="L29" s="168"/>
      <c r="M29" s="169">
        <v>1.0</v>
      </c>
      <c r="N29" s="170" t="s">
        <v>62</v>
      </c>
      <c r="O29" s="171"/>
      <c r="P29" s="168"/>
      <c r="Q29" s="169">
        <v>1.0</v>
      </c>
      <c r="R29" s="170" t="s">
        <v>62</v>
      </c>
      <c r="S29" s="171"/>
      <c r="T29" s="168"/>
      <c r="U29" s="169">
        <v>1.0</v>
      </c>
      <c r="V29" s="170" t="s">
        <v>62</v>
      </c>
      <c r="W29" s="171"/>
    </row>
    <row r="30" ht="27.0" customHeight="1">
      <c r="A30" s="165">
        <v>1.0</v>
      </c>
      <c r="B30" s="166" t="s">
        <v>30</v>
      </c>
      <c r="C30" s="167"/>
      <c r="D30" s="168"/>
      <c r="E30" s="165">
        <v>1.0</v>
      </c>
      <c r="F30" s="166" t="s">
        <v>30</v>
      </c>
      <c r="G30" s="167"/>
      <c r="H30" s="168"/>
      <c r="I30" s="165">
        <v>1.0</v>
      </c>
      <c r="J30" s="166" t="s">
        <v>30</v>
      </c>
      <c r="K30" s="167"/>
      <c r="L30" s="168"/>
      <c r="M30" s="165">
        <v>1.0</v>
      </c>
      <c r="N30" s="166" t="s">
        <v>30</v>
      </c>
      <c r="O30" s="167"/>
      <c r="P30" s="168"/>
      <c r="Q30" s="165">
        <v>1.0</v>
      </c>
      <c r="R30" s="166" t="s">
        <v>30</v>
      </c>
      <c r="S30" s="167"/>
      <c r="T30" s="168"/>
      <c r="U30" s="165">
        <v>1.0</v>
      </c>
      <c r="V30" s="166" t="s">
        <v>30</v>
      </c>
      <c r="W30" s="167"/>
    </row>
    <row r="31" ht="27.0" customHeight="1">
      <c r="A31" s="169">
        <v>1.0</v>
      </c>
      <c r="B31" s="170" t="s">
        <v>25</v>
      </c>
      <c r="C31" s="171"/>
      <c r="D31" s="168"/>
      <c r="E31" s="169">
        <v>1.0</v>
      </c>
      <c r="F31" s="170" t="s">
        <v>25</v>
      </c>
      <c r="G31" s="171"/>
      <c r="H31" s="168"/>
      <c r="I31" s="169">
        <v>1.0</v>
      </c>
      <c r="J31" s="170" t="s">
        <v>25</v>
      </c>
      <c r="K31" s="171"/>
      <c r="L31" s="168"/>
      <c r="M31" s="169">
        <v>1.0</v>
      </c>
      <c r="N31" s="170" t="s">
        <v>25</v>
      </c>
      <c r="O31" s="171"/>
      <c r="P31" s="168"/>
      <c r="Q31" s="169">
        <v>1.0</v>
      </c>
      <c r="R31" s="170" t="s">
        <v>25</v>
      </c>
      <c r="S31" s="171"/>
      <c r="T31" s="168"/>
      <c r="U31" s="169">
        <v>1.0</v>
      </c>
      <c r="V31" s="170" t="s">
        <v>25</v>
      </c>
      <c r="W31" s="171"/>
    </row>
    <row r="32" ht="27.0" customHeight="1">
      <c r="A32" s="172"/>
      <c r="B32" s="173" t="s">
        <v>93</v>
      </c>
      <c r="C32" s="174"/>
      <c r="E32" s="172"/>
      <c r="F32" s="173" t="s">
        <v>93</v>
      </c>
      <c r="G32" s="174"/>
      <c r="I32" s="172"/>
      <c r="J32" s="173" t="s">
        <v>93</v>
      </c>
      <c r="K32" s="174"/>
      <c r="M32" s="172"/>
      <c r="N32" s="173" t="s">
        <v>93</v>
      </c>
      <c r="O32" s="174"/>
      <c r="Q32" s="172"/>
      <c r="R32" s="173" t="s">
        <v>93</v>
      </c>
      <c r="S32" s="174"/>
      <c r="U32" s="172"/>
      <c r="V32" s="173" t="s">
        <v>93</v>
      </c>
      <c r="W32" s="174"/>
    </row>
    <row r="33" ht="15.0" customHeight="1">
      <c r="A33" s="160"/>
      <c r="B33" s="160"/>
      <c r="E33" s="160"/>
      <c r="F33" s="160"/>
      <c r="I33" s="160"/>
      <c r="J33" s="160"/>
      <c r="M33" s="160"/>
      <c r="N33" s="160"/>
      <c r="Q33" s="160"/>
      <c r="R33" s="160"/>
      <c r="U33" s="160"/>
      <c r="V33" s="160"/>
    </row>
    <row r="34">
      <c r="A34" s="161" t="s">
        <v>100</v>
      </c>
      <c r="B34" s="162"/>
      <c r="C34" s="162"/>
      <c r="E34" s="161" t="s">
        <v>101</v>
      </c>
      <c r="F34" s="163"/>
      <c r="G34" s="162"/>
      <c r="I34" s="161" t="s">
        <v>102</v>
      </c>
      <c r="J34" s="163"/>
      <c r="K34" s="162"/>
      <c r="M34" s="161" t="s">
        <v>103</v>
      </c>
      <c r="N34" s="163"/>
      <c r="O34" s="162"/>
      <c r="Q34" s="161" t="s">
        <v>104</v>
      </c>
      <c r="R34" s="163"/>
      <c r="S34" s="162"/>
      <c r="U34" s="161" t="s">
        <v>105</v>
      </c>
      <c r="V34" s="163"/>
      <c r="W34" s="162"/>
    </row>
    <row r="35" ht="7.5" customHeight="1">
      <c r="A35" s="164"/>
      <c r="B35" s="164"/>
      <c r="C35" s="162"/>
      <c r="E35" s="164"/>
      <c r="F35" s="164"/>
      <c r="G35" s="162"/>
      <c r="I35" s="164"/>
      <c r="J35" s="164"/>
      <c r="K35" s="162"/>
      <c r="M35" s="164"/>
      <c r="N35" s="164"/>
      <c r="O35" s="162"/>
      <c r="Q35" s="164"/>
      <c r="R35" s="164"/>
      <c r="S35" s="162"/>
      <c r="U35" s="164"/>
      <c r="V35" s="164"/>
      <c r="W35" s="162"/>
    </row>
    <row r="36" ht="27.0" customHeight="1">
      <c r="A36" s="165">
        <v>2.0</v>
      </c>
      <c r="B36" s="166" t="s">
        <v>59</v>
      </c>
      <c r="C36" s="167"/>
      <c r="D36" s="168"/>
      <c r="E36" s="165">
        <v>2.0</v>
      </c>
      <c r="F36" s="166" t="s">
        <v>59</v>
      </c>
      <c r="G36" s="167"/>
      <c r="H36" s="168"/>
      <c r="I36" s="165">
        <v>2.0</v>
      </c>
      <c r="J36" s="166" t="s">
        <v>59</v>
      </c>
      <c r="K36" s="167"/>
      <c r="L36" s="168"/>
      <c r="M36" s="165">
        <v>2.0</v>
      </c>
      <c r="N36" s="166" t="s">
        <v>59</v>
      </c>
      <c r="O36" s="167"/>
      <c r="P36" s="168"/>
      <c r="Q36" s="165">
        <v>2.0</v>
      </c>
      <c r="R36" s="166" t="s">
        <v>59</v>
      </c>
      <c r="S36" s="167"/>
      <c r="T36" s="168"/>
      <c r="U36" s="165">
        <v>2.0</v>
      </c>
      <c r="V36" s="166" t="s">
        <v>59</v>
      </c>
      <c r="W36" s="167"/>
    </row>
    <row r="37" ht="27.0" customHeight="1">
      <c r="A37" s="169">
        <v>2.0</v>
      </c>
      <c r="B37" s="170" t="s">
        <v>29</v>
      </c>
      <c r="C37" s="171"/>
      <c r="D37" s="168"/>
      <c r="E37" s="169">
        <v>2.0</v>
      </c>
      <c r="F37" s="170" t="s">
        <v>29</v>
      </c>
      <c r="G37" s="171"/>
      <c r="H37" s="168"/>
      <c r="I37" s="169">
        <v>2.0</v>
      </c>
      <c r="J37" s="170" t="s">
        <v>29</v>
      </c>
      <c r="K37" s="171"/>
      <c r="L37" s="168"/>
      <c r="M37" s="169">
        <v>2.0</v>
      </c>
      <c r="N37" s="170" t="s">
        <v>29</v>
      </c>
      <c r="O37" s="171"/>
      <c r="P37" s="168"/>
      <c r="Q37" s="169">
        <v>2.0</v>
      </c>
      <c r="R37" s="170" t="s">
        <v>29</v>
      </c>
      <c r="S37" s="171"/>
      <c r="T37" s="168"/>
      <c r="U37" s="169">
        <v>2.0</v>
      </c>
      <c r="V37" s="170" t="s">
        <v>29</v>
      </c>
      <c r="W37" s="171"/>
    </row>
    <row r="38" ht="27.0" customHeight="1">
      <c r="A38" s="169">
        <v>2.0</v>
      </c>
      <c r="B38" s="166" t="s">
        <v>21</v>
      </c>
      <c r="C38" s="167"/>
      <c r="D38" s="168"/>
      <c r="E38" s="169">
        <v>2.0</v>
      </c>
      <c r="F38" s="166" t="s">
        <v>21</v>
      </c>
      <c r="G38" s="167"/>
      <c r="H38" s="168"/>
      <c r="I38" s="169">
        <v>2.0</v>
      </c>
      <c r="J38" s="166" t="s">
        <v>21</v>
      </c>
      <c r="K38" s="167"/>
      <c r="L38" s="168"/>
      <c r="M38" s="169">
        <v>2.0</v>
      </c>
      <c r="N38" s="166" t="s">
        <v>21</v>
      </c>
      <c r="O38" s="167"/>
      <c r="P38" s="168"/>
      <c r="Q38" s="169">
        <v>2.0</v>
      </c>
      <c r="R38" s="166" t="s">
        <v>21</v>
      </c>
      <c r="S38" s="167"/>
      <c r="T38" s="168"/>
      <c r="U38" s="169">
        <v>2.0</v>
      </c>
      <c r="V38" s="166" t="s">
        <v>21</v>
      </c>
      <c r="W38" s="167"/>
    </row>
    <row r="39" ht="27.0" customHeight="1">
      <c r="A39" s="169">
        <v>2.0</v>
      </c>
      <c r="B39" s="170" t="s">
        <v>23</v>
      </c>
      <c r="C39" s="171"/>
      <c r="D39" s="168"/>
      <c r="E39" s="169">
        <v>2.0</v>
      </c>
      <c r="F39" s="170" t="s">
        <v>23</v>
      </c>
      <c r="G39" s="171"/>
      <c r="H39" s="168"/>
      <c r="I39" s="169">
        <v>2.0</v>
      </c>
      <c r="J39" s="170" t="s">
        <v>23</v>
      </c>
      <c r="K39" s="171"/>
      <c r="L39" s="168"/>
      <c r="M39" s="169">
        <v>2.0</v>
      </c>
      <c r="N39" s="170" t="s">
        <v>23</v>
      </c>
      <c r="O39" s="171"/>
      <c r="P39" s="168"/>
      <c r="Q39" s="169">
        <v>2.0</v>
      </c>
      <c r="R39" s="170" t="s">
        <v>23</v>
      </c>
      <c r="S39" s="171"/>
      <c r="T39" s="168"/>
      <c r="U39" s="169">
        <v>2.0</v>
      </c>
      <c r="V39" s="170" t="s">
        <v>23</v>
      </c>
      <c r="W39" s="171"/>
    </row>
    <row r="40" ht="27.0" customHeight="1">
      <c r="A40" s="169">
        <v>2.0</v>
      </c>
      <c r="B40" s="166" t="s">
        <v>60</v>
      </c>
      <c r="C40" s="167"/>
      <c r="D40" s="168"/>
      <c r="E40" s="169">
        <v>2.0</v>
      </c>
      <c r="F40" s="166" t="s">
        <v>60</v>
      </c>
      <c r="G40" s="167"/>
      <c r="H40" s="168"/>
      <c r="I40" s="169">
        <v>2.0</v>
      </c>
      <c r="J40" s="166" t="s">
        <v>60</v>
      </c>
      <c r="K40" s="167"/>
      <c r="L40" s="168"/>
      <c r="M40" s="169">
        <v>2.0</v>
      </c>
      <c r="N40" s="166" t="s">
        <v>60</v>
      </c>
      <c r="O40" s="167"/>
      <c r="P40" s="168"/>
      <c r="Q40" s="169">
        <v>2.0</v>
      </c>
      <c r="R40" s="166" t="s">
        <v>60</v>
      </c>
      <c r="S40" s="167"/>
      <c r="T40" s="168"/>
      <c r="U40" s="169">
        <v>2.0</v>
      </c>
      <c r="V40" s="166" t="s">
        <v>60</v>
      </c>
      <c r="W40" s="167"/>
    </row>
    <row r="41" ht="27.0" customHeight="1">
      <c r="A41" s="169">
        <v>2.0</v>
      </c>
      <c r="B41" s="170" t="s">
        <v>27</v>
      </c>
      <c r="C41" s="171"/>
      <c r="D41" s="168"/>
      <c r="E41" s="169">
        <v>2.0</v>
      </c>
      <c r="F41" s="170" t="s">
        <v>27</v>
      </c>
      <c r="G41" s="171"/>
      <c r="H41" s="168"/>
      <c r="I41" s="169">
        <v>2.0</v>
      </c>
      <c r="J41" s="170" t="s">
        <v>27</v>
      </c>
      <c r="K41" s="171"/>
      <c r="L41" s="168"/>
      <c r="M41" s="169">
        <v>2.0</v>
      </c>
      <c r="N41" s="170" t="s">
        <v>27</v>
      </c>
      <c r="O41" s="171"/>
      <c r="P41" s="168"/>
      <c r="Q41" s="169">
        <v>2.0</v>
      </c>
      <c r="R41" s="170" t="s">
        <v>27</v>
      </c>
      <c r="S41" s="171"/>
      <c r="T41" s="168"/>
      <c r="U41" s="169">
        <v>2.0</v>
      </c>
      <c r="V41" s="170" t="s">
        <v>27</v>
      </c>
      <c r="W41" s="171"/>
    </row>
    <row r="42" ht="27.0" customHeight="1">
      <c r="A42" s="169">
        <v>2.0</v>
      </c>
      <c r="B42" s="166" t="s">
        <v>22</v>
      </c>
      <c r="C42" s="167"/>
      <c r="D42" s="168"/>
      <c r="E42" s="169">
        <v>2.0</v>
      </c>
      <c r="F42" s="166" t="s">
        <v>22</v>
      </c>
      <c r="G42" s="167"/>
      <c r="H42" s="168"/>
      <c r="I42" s="169">
        <v>2.0</v>
      </c>
      <c r="J42" s="166" t="s">
        <v>22</v>
      </c>
      <c r="K42" s="167"/>
      <c r="L42" s="168"/>
      <c r="M42" s="169">
        <v>2.0</v>
      </c>
      <c r="N42" s="166" t="s">
        <v>22</v>
      </c>
      <c r="O42" s="167"/>
      <c r="P42" s="168"/>
      <c r="Q42" s="169">
        <v>2.0</v>
      </c>
      <c r="R42" s="166" t="s">
        <v>22</v>
      </c>
      <c r="S42" s="167"/>
      <c r="T42" s="168"/>
      <c r="U42" s="169">
        <v>2.0</v>
      </c>
      <c r="V42" s="166" t="s">
        <v>22</v>
      </c>
      <c r="W42" s="167"/>
    </row>
    <row r="43" ht="27.0" customHeight="1">
      <c r="A43" s="169">
        <v>2.0</v>
      </c>
      <c r="B43" s="170" t="s">
        <v>26</v>
      </c>
      <c r="C43" s="171"/>
      <c r="D43" s="168"/>
      <c r="E43" s="169">
        <v>2.0</v>
      </c>
      <c r="F43" s="170" t="s">
        <v>26</v>
      </c>
      <c r="G43" s="171"/>
      <c r="H43" s="168"/>
      <c r="I43" s="169">
        <v>2.0</v>
      </c>
      <c r="J43" s="170" t="s">
        <v>26</v>
      </c>
      <c r="K43" s="171"/>
      <c r="L43" s="168"/>
      <c r="M43" s="169">
        <v>2.0</v>
      </c>
      <c r="N43" s="170" t="s">
        <v>26</v>
      </c>
      <c r="O43" s="171"/>
      <c r="P43" s="168"/>
      <c r="Q43" s="169">
        <v>2.0</v>
      </c>
      <c r="R43" s="170" t="s">
        <v>26</v>
      </c>
      <c r="S43" s="171"/>
      <c r="T43" s="168"/>
      <c r="U43" s="169">
        <v>2.0</v>
      </c>
      <c r="V43" s="170" t="s">
        <v>26</v>
      </c>
      <c r="W43" s="171"/>
    </row>
    <row r="44" ht="27.0" customHeight="1">
      <c r="A44" s="169">
        <v>2.0</v>
      </c>
      <c r="B44" s="166" t="s">
        <v>61</v>
      </c>
      <c r="C44" s="167"/>
      <c r="D44" s="168"/>
      <c r="E44" s="169">
        <v>2.0</v>
      </c>
      <c r="F44" s="166" t="s">
        <v>61</v>
      </c>
      <c r="G44" s="167"/>
      <c r="H44" s="168"/>
      <c r="I44" s="169">
        <v>2.0</v>
      </c>
      <c r="J44" s="166" t="s">
        <v>61</v>
      </c>
      <c r="K44" s="167"/>
      <c r="L44" s="168"/>
      <c r="M44" s="169">
        <v>2.0</v>
      </c>
      <c r="N44" s="166" t="s">
        <v>61</v>
      </c>
      <c r="O44" s="167"/>
      <c r="P44" s="168"/>
      <c r="Q44" s="169">
        <v>2.0</v>
      </c>
      <c r="R44" s="166" t="s">
        <v>61</v>
      </c>
      <c r="S44" s="167"/>
      <c r="T44" s="168"/>
      <c r="U44" s="169">
        <v>2.0</v>
      </c>
      <c r="V44" s="166" t="s">
        <v>61</v>
      </c>
      <c r="W44" s="167"/>
    </row>
    <row r="45" ht="27.0" customHeight="1">
      <c r="A45" s="169">
        <v>2.0</v>
      </c>
      <c r="B45" s="170" t="s">
        <v>62</v>
      </c>
      <c r="C45" s="171"/>
      <c r="D45" s="168"/>
      <c r="E45" s="169">
        <v>2.0</v>
      </c>
      <c r="F45" s="170" t="s">
        <v>62</v>
      </c>
      <c r="G45" s="171"/>
      <c r="H45" s="168"/>
      <c r="I45" s="169">
        <v>2.0</v>
      </c>
      <c r="J45" s="170" t="s">
        <v>62</v>
      </c>
      <c r="K45" s="171"/>
      <c r="L45" s="168"/>
      <c r="M45" s="169">
        <v>2.0</v>
      </c>
      <c r="N45" s="170" t="s">
        <v>62</v>
      </c>
      <c r="O45" s="171"/>
      <c r="P45" s="168"/>
      <c r="Q45" s="169">
        <v>2.0</v>
      </c>
      <c r="R45" s="170" t="s">
        <v>62</v>
      </c>
      <c r="S45" s="171"/>
      <c r="T45" s="168"/>
      <c r="U45" s="169">
        <v>2.0</v>
      </c>
      <c r="V45" s="170" t="s">
        <v>62</v>
      </c>
      <c r="W45" s="171"/>
    </row>
    <row r="46" ht="27.0" customHeight="1">
      <c r="A46" s="169">
        <v>2.0</v>
      </c>
      <c r="B46" s="166" t="s">
        <v>30</v>
      </c>
      <c r="C46" s="167"/>
      <c r="D46" s="168"/>
      <c r="E46" s="169">
        <v>2.0</v>
      </c>
      <c r="F46" s="166" t="s">
        <v>30</v>
      </c>
      <c r="G46" s="167"/>
      <c r="H46" s="168"/>
      <c r="I46" s="169">
        <v>2.0</v>
      </c>
      <c r="J46" s="166" t="s">
        <v>30</v>
      </c>
      <c r="K46" s="167"/>
      <c r="L46" s="168"/>
      <c r="M46" s="169">
        <v>2.0</v>
      </c>
      <c r="N46" s="166" t="s">
        <v>30</v>
      </c>
      <c r="O46" s="167"/>
      <c r="P46" s="168"/>
      <c r="Q46" s="169">
        <v>2.0</v>
      </c>
      <c r="R46" s="166" t="s">
        <v>30</v>
      </c>
      <c r="S46" s="167"/>
      <c r="T46" s="168"/>
      <c r="U46" s="169">
        <v>2.0</v>
      </c>
      <c r="V46" s="166" t="s">
        <v>30</v>
      </c>
      <c r="W46" s="167"/>
    </row>
    <row r="47" ht="27.0" customHeight="1">
      <c r="A47" s="169">
        <v>2.0</v>
      </c>
      <c r="B47" s="170" t="s">
        <v>25</v>
      </c>
      <c r="C47" s="171"/>
      <c r="D47" s="168"/>
      <c r="E47" s="169">
        <v>2.0</v>
      </c>
      <c r="F47" s="170" t="s">
        <v>25</v>
      </c>
      <c r="G47" s="171"/>
      <c r="H47" s="168"/>
      <c r="I47" s="169">
        <v>2.0</v>
      </c>
      <c r="J47" s="170" t="s">
        <v>25</v>
      </c>
      <c r="K47" s="171"/>
      <c r="L47" s="168"/>
      <c r="M47" s="169">
        <v>2.0</v>
      </c>
      <c r="N47" s="170" t="s">
        <v>25</v>
      </c>
      <c r="O47" s="171"/>
      <c r="P47" s="168"/>
      <c r="Q47" s="169">
        <v>2.0</v>
      </c>
      <c r="R47" s="170" t="s">
        <v>25</v>
      </c>
      <c r="S47" s="171"/>
      <c r="T47" s="168"/>
      <c r="U47" s="169">
        <v>2.0</v>
      </c>
      <c r="V47" s="170" t="s">
        <v>25</v>
      </c>
      <c r="W47" s="171"/>
    </row>
    <row r="48" ht="27.0" customHeight="1">
      <c r="A48" s="172"/>
      <c r="B48" s="173" t="s">
        <v>106</v>
      </c>
      <c r="C48" s="174"/>
      <c r="E48" s="172"/>
      <c r="F48" s="173" t="s">
        <v>106</v>
      </c>
      <c r="G48" s="174"/>
      <c r="I48" s="172"/>
      <c r="J48" s="173" t="s">
        <v>106</v>
      </c>
      <c r="K48" s="174"/>
      <c r="M48" s="172"/>
      <c r="N48" s="173" t="s">
        <v>106</v>
      </c>
      <c r="O48" s="174"/>
      <c r="Q48" s="172"/>
      <c r="R48" s="173" t="s">
        <v>106</v>
      </c>
      <c r="S48" s="174"/>
      <c r="U48" s="172"/>
      <c r="V48" s="173" t="s">
        <v>106</v>
      </c>
      <c r="W48" s="174"/>
    </row>
    <row r="49" ht="15.0" customHeight="1">
      <c r="A49" s="160"/>
      <c r="B49" s="160"/>
      <c r="E49" s="160"/>
      <c r="F49" s="160"/>
      <c r="I49" s="160"/>
      <c r="J49" s="160"/>
      <c r="M49" s="160"/>
      <c r="N49" s="160"/>
      <c r="Q49" s="160"/>
      <c r="R49" s="160"/>
      <c r="U49" s="160"/>
      <c r="V49" s="160"/>
    </row>
    <row r="50">
      <c r="A50" s="161" t="s">
        <v>107</v>
      </c>
      <c r="B50" s="163"/>
      <c r="C50" s="162"/>
      <c r="E50" s="161" t="s">
        <v>108</v>
      </c>
      <c r="F50" s="163"/>
      <c r="G50" s="162"/>
      <c r="I50" s="161" t="s">
        <v>109</v>
      </c>
      <c r="J50" s="163"/>
      <c r="K50" s="162"/>
      <c r="M50" s="161" t="s">
        <v>110</v>
      </c>
      <c r="N50" s="163"/>
      <c r="O50" s="162"/>
      <c r="Q50" s="161" t="s">
        <v>111</v>
      </c>
      <c r="R50" s="163"/>
      <c r="S50" s="162"/>
      <c r="U50" s="161" t="s">
        <v>112</v>
      </c>
      <c r="V50" s="163"/>
      <c r="W50" s="162"/>
    </row>
    <row r="51" ht="7.5" customHeight="1">
      <c r="A51" s="164"/>
      <c r="B51" s="164"/>
      <c r="C51" s="162"/>
      <c r="E51" s="164"/>
      <c r="F51" s="164"/>
      <c r="G51" s="162"/>
      <c r="I51" s="164"/>
      <c r="J51" s="164"/>
      <c r="K51" s="162"/>
      <c r="M51" s="164"/>
      <c r="N51" s="164"/>
      <c r="O51" s="162"/>
      <c r="Q51" s="164"/>
      <c r="R51" s="164"/>
      <c r="S51" s="162"/>
      <c r="U51" s="164"/>
      <c r="V51" s="164"/>
      <c r="W51" s="162"/>
    </row>
    <row r="52" ht="27.0" customHeight="1">
      <c r="A52" s="165">
        <v>2.0</v>
      </c>
      <c r="B52" s="166" t="s">
        <v>59</v>
      </c>
      <c r="C52" s="167"/>
      <c r="D52" s="168"/>
      <c r="E52" s="165">
        <v>2.0</v>
      </c>
      <c r="F52" s="166" t="s">
        <v>59</v>
      </c>
      <c r="G52" s="167"/>
      <c r="H52" s="168"/>
      <c r="I52" s="165">
        <v>2.0</v>
      </c>
      <c r="J52" s="166" t="s">
        <v>59</v>
      </c>
      <c r="K52" s="167"/>
      <c r="L52" s="168"/>
      <c r="M52" s="165">
        <v>2.0</v>
      </c>
      <c r="N52" s="166" t="s">
        <v>59</v>
      </c>
      <c r="O52" s="167"/>
      <c r="P52" s="168"/>
      <c r="Q52" s="165">
        <v>2.0</v>
      </c>
      <c r="R52" s="166" t="s">
        <v>59</v>
      </c>
      <c r="S52" s="167"/>
      <c r="T52" s="168"/>
      <c r="U52" s="165">
        <v>2.0</v>
      </c>
      <c r="V52" s="166" t="s">
        <v>59</v>
      </c>
      <c r="W52" s="167"/>
    </row>
    <row r="53" ht="27.0" customHeight="1">
      <c r="A53" s="169">
        <v>2.0</v>
      </c>
      <c r="B53" s="170" t="s">
        <v>29</v>
      </c>
      <c r="C53" s="171"/>
      <c r="D53" s="168"/>
      <c r="E53" s="169">
        <v>2.0</v>
      </c>
      <c r="F53" s="170" t="s">
        <v>29</v>
      </c>
      <c r="G53" s="171"/>
      <c r="H53" s="168"/>
      <c r="I53" s="169">
        <v>2.0</v>
      </c>
      <c r="J53" s="170" t="s">
        <v>29</v>
      </c>
      <c r="K53" s="171"/>
      <c r="L53" s="168"/>
      <c r="M53" s="169">
        <v>2.0</v>
      </c>
      <c r="N53" s="170" t="s">
        <v>29</v>
      </c>
      <c r="O53" s="171"/>
      <c r="P53" s="168"/>
      <c r="Q53" s="169">
        <v>2.0</v>
      </c>
      <c r="R53" s="170" t="s">
        <v>29</v>
      </c>
      <c r="S53" s="171"/>
      <c r="T53" s="168"/>
      <c r="U53" s="169">
        <v>2.0</v>
      </c>
      <c r="V53" s="170" t="s">
        <v>29</v>
      </c>
      <c r="W53" s="171"/>
    </row>
    <row r="54" ht="27.0" customHeight="1">
      <c r="A54" s="169">
        <v>2.0</v>
      </c>
      <c r="B54" s="166" t="s">
        <v>21</v>
      </c>
      <c r="C54" s="167"/>
      <c r="D54" s="168"/>
      <c r="E54" s="169">
        <v>2.0</v>
      </c>
      <c r="F54" s="166" t="s">
        <v>21</v>
      </c>
      <c r="G54" s="167"/>
      <c r="H54" s="168"/>
      <c r="I54" s="169">
        <v>2.0</v>
      </c>
      <c r="J54" s="166" t="s">
        <v>21</v>
      </c>
      <c r="K54" s="167"/>
      <c r="L54" s="168"/>
      <c r="M54" s="169">
        <v>2.0</v>
      </c>
      <c r="N54" s="166" t="s">
        <v>21</v>
      </c>
      <c r="O54" s="167"/>
      <c r="P54" s="168"/>
      <c r="Q54" s="169">
        <v>2.0</v>
      </c>
      <c r="R54" s="166" t="s">
        <v>21</v>
      </c>
      <c r="S54" s="167"/>
      <c r="T54" s="168"/>
      <c r="U54" s="169">
        <v>2.0</v>
      </c>
      <c r="V54" s="166" t="s">
        <v>21</v>
      </c>
      <c r="W54" s="167"/>
    </row>
    <row r="55" ht="27.0" customHeight="1">
      <c r="A55" s="169">
        <v>2.0</v>
      </c>
      <c r="B55" s="170" t="s">
        <v>23</v>
      </c>
      <c r="C55" s="171"/>
      <c r="D55" s="168"/>
      <c r="E55" s="169">
        <v>2.0</v>
      </c>
      <c r="F55" s="170" t="s">
        <v>23</v>
      </c>
      <c r="G55" s="171"/>
      <c r="H55" s="168"/>
      <c r="I55" s="169">
        <v>2.0</v>
      </c>
      <c r="J55" s="170" t="s">
        <v>23</v>
      </c>
      <c r="K55" s="171"/>
      <c r="L55" s="168"/>
      <c r="M55" s="169">
        <v>2.0</v>
      </c>
      <c r="N55" s="170" t="s">
        <v>23</v>
      </c>
      <c r="O55" s="171"/>
      <c r="P55" s="168"/>
      <c r="Q55" s="169">
        <v>2.0</v>
      </c>
      <c r="R55" s="170" t="s">
        <v>23</v>
      </c>
      <c r="S55" s="171"/>
      <c r="T55" s="168"/>
      <c r="U55" s="169">
        <v>2.0</v>
      </c>
      <c r="V55" s="170" t="s">
        <v>23</v>
      </c>
      <c r="W55" s="171"/>
    </row>
    <row r="56" ht="27.0" customHeight="1">
      <c r="A56" s="169">
        <v>2.0</v>
      </c>
      <c r="B56" s="166" t="s">
        <v>60</v>
      </c>
      <c r="C56" s="167"/>
      <c r="D56" s="168"/>
      <c r="E56" s="169">
        <v>2.0</v>
      </c>
      <c r="F56" s="166" t="s">
        <v>60</v>
      </c>
      <c r="G56" s="167"/>
      <c r="H56" s="168"/>
      <c r="I56" s="169">
        <v>2.0</v>
      </c>
      <c r="J56" s="166" t="s">
        <v>60</v>
      </c>
      <c r="K56" s="167"/>
      <c r="L56" s="168"/>
      <c r="M56" s="169">
        <v>2.0</v>
      </c>
      <c r="N56" s="166" t="s">
        <v>60</v>
      </c>
      <c r="O56" s="167"/>
      <c r="P56" s="168"/>
      <c r="Q56" s="169">
        <v>2.0</v>
      </c>
      <c r="R56" s="166" t="s">
        <v>60</v>
      </c>
      <c r="S56" s="167"/>
      <c r="T56" s="168"/>
      <c r="U56" s="169">
        <v>2.0</v>
      </c>
      <c r="V56" s="166" t="s">
        <v>60</v>
      </c>
      <c r="W56" s="167"/>
    </row>
    <row r="57" ht="27.0" customHeight="1">
      <c r="A57" s="169">
        <v>2.0</v>
      </c>
      <c r="B57" s="170" t="s">
        <v>27</v>
      </c>
      <c r="C57" s="171"/>
      <c r="D57" s="168"/>
      <c r="E57" s="169">
        <v>2.0</v>
      </c>
      <c r="F57" s="170" t="s">
        <v>27</v>
      </c>
      <c r="G57" s="171"/>
      <c r="H57" s="168"/>
      <c r="I57" s="169">
        <v>2.0</v>
      </c>
      <c r="J57" s="170" t="s">
        <v>27</v>
      </c>
      <c r="K57" s="171"/>
      <c r="L57" s="168"/>
      <c r="M57" s="169">
        <v>2.0</v>
      </c>
      <c r="N57" s="170" t="s">
        <v>27</v>
      </c>
      <c r="O57" s="171"/>
      <c r="P57" s="168"/>
      <c r="Q57" s="169">
        <v>2.0</v>
      </c>
      <c r="R57" s="170" t="s">
        <v>27</v>
      </c>
      <c r="S57" s="171"/>
      <c r="T57" s="168"/>
      <c r="U57" s="169">
        <v>2.0</v>
      </c>
      <c r="V57" s="170" t="s">
        <v>27</v>
      </c>
      <c r="W57" s="171"/>
    </row>
    <row r="58" ht="27.0" customHeight="1">
      <c r="A58" s="169">
        <v>2.0</v>
      </c>
      <c r="B58" s="166" t="s">
        <v>22</v>
      </c>
      <c r="C58" s="167"/>
      <c r="D58" s="168"/>
      <c r="E58" s="169">
        <v>2.0</v>
      </c>
      <c r="F58" s="166" t="s">
        <v>22</v>
      </c>
      <c r="G58" s="167"/>
      <c r="H58" s="168"/>
      <c r="I58" s="169">
        <v>2.0</v>
      </c>
      <c r="J58" s="166" t="s">
        <v>22</v>
      </c>
      <c r="K58" s="167"/>
      <c r="L58" s="168"/>
      <c r="M58" s="169">
        <v>2.0</v>
      </c>
      <c r="N58" s="166" t="s">
        <v>22</v>
      </c>
      <c r="O58" s="167"/>
      <c r="P58" s="168"/>
      <c r="Q58" s="169">
        <v>2.0</v>
      </c>
      <c r="R58" s="166" t="s">
        <v>22</v>
      </c>
      <c r="S58" s="167"/>
      <c r="T58" s="168"/>
      <c r="U58" s="169">
        <v>2.0</v>
      </c>
      <c r="V58" s="166" t="s">
        <v>22</v>
      </c>
      <c r="W58" s="167"/>
    </row>
    <row r="59" ht="27.0" customHeight="1">
      <c r="A59" s="169">
        <v>2.0</v>
      </c>
      <c r="B59" s="170" t="s">
        <v>26</v>
      </c>
      <c r="C59" s="171"/>
      <c r="D59" s="168"/>
      <c r="E59" s="169">
        <v>2.0</v>
      </c>
      <c r="F59" s="170" t="s">
        <v>26</v>
      </c>
      <c r="G59" s="171"/>
      <c r="H59" s="168"/>
      <c r="I59" s="169">
        <v>2.0</v>
      </c>
      <c r="J59" s="170" t="s">
        <v>26</v>
      </c>
      <c r="K59" s="171"/>
      <c r="L59" s="168"/>
      <c r="M59" s="169">
        <v>2.0</v>
      </c>
      <c r="N59" s="170" t="s">
        <v>26</v>
      </c>
      <c r="O59" s="171"/>
      <c r="P59" s="168"/>
      <c r="Q59" s="169">
        <v>2.0</v>
      </c>
      <c r="R59" s="170" t="s">
        <v>26</v>
      </c>
      <c r="S59" s="171"/>
      <c r="T59" s="168"/>
      <c r="U59" s="169">
        <v>2.0</v>
      </c>
      <c r="V59" s="170" t="s">
        <v>26</v>
      </c>
      <c r="W59" s="171"/>
    </row>
    <row r="60" ht="27.0" customHeight="1">
      <c r="A60" s="169">
        <v>2.0</v>
      </c>
      <c r="B60" s="166" t="s">
        <v>61</v>
      </c>
      <c r="C60" s="167"/>
      <c r="D60" s="168"/>
      <c r="E60" s="169">
        <v>2.0</v>
      </c>
      <c r="F60" s="166" t="s">
        <v>61</v>
      </c>
      <c r="G60" s="167"/>
      <c r="H60" s="168"/>
      <c r="I60" s="169">
        <v>2.0</v>
      </c>
      <c r="J60" s="166" t="s">
        <v>61</v>
      </c>
      <c r="K60" s="167"/>
      <c r="L60" s="168"/>
      <c r="M60" s="169">
        <v>2.0</v>
      </c>
      <c r="N60" s="166" t="s">
        <v>61</v>
      </c>
      <c r="O60" s="167"/>
      <c r="P60" s="168"/>
      <c r="Q60" s="169">
        <v>2.0</v>
      </c>
      <c r="R60" s="166" t="s">
        <v>61</v>
      </c>
      <c r="S60" s="167"/>
      <c r="T60" s="168"/>
      <c r="U60" s="169">
        <v>2.0</v>
      </c>
      <c r="V60" s="166" t="s">
        <v>61</v>
      </c>
      <c r="W60" s="167"/>
    </row>
    <row r="61" ht="27.0" customHeight="1">
      <c r="A61" s="169">
        <v>2.0</v>
      </c>
      <c r="B61" s="170" t="s">
        <v>62</v>
      </c>
      <c r="C61" s="171"/>
      <c r="D61" s="168"/>
      <c r="E61" s="169">
        <v>2.0</v>
      </c>
      <c r="F61" s="170" t="s">
        <v>62</v>
      </c>
      <c r="G61" s="171"/>
      <c r="H61" s="168"/>
      <c r="I61" s="169">
        <v>2.0</v>
      </c>
      <c r="J61" s="170" t="s">
        <v>62</v>
      </c>
      <c r="K61" s="171"/>
      <c r="L61" s="168"/>
      <c r="M61" s="169">
        <v>2.0</v>
      </c>
      <c r="N61" s="170" t="s">
        <v>62</v>
      </c>
      <c r="O61" s="171"/>
      <c r="P61" s="168"/>
      <c r="Q61" s="169">
        <v>2.0</v>
      </c>
      <c r="R61" s="170" t="s">
        <v>62</v>
      </c>
      <c r="S61" s="171"/>
      <c r="T61" s="168"/>
      <c r="U61" s="169">
        <v>2.0</v>
      </c>
      <c r="V61" s="170" t="s">
        <v>62</v>
      </c>
      <c r="W61" s="171"/>
    </row>
    <row r="62" ht="27.0" customHeight="1">
      <c r="A62" s="169">
        <v>2.0</v>
      </c>
      <c r="B62" s="166" t="s">
        <v>30</v>
      </c>
      <c r="C62" s="167"/>
      <c r="D62" s="168"/>
      <c r="E62" s="169">
        <v>2.0</v>
      </c>
      <c r="F62" s="166" t="s">
        <v>30</v>
      </c>
      <c r="G62" s="167"/>
      <c r="H62" s="168"/>
      <c r="I62" s="169">
        <v>2.0</v>
      </c>
      <c r="J62" s="166" t="s">
        <v>30</v>
      </c>
      <c r="K62" s="167"/>
      <c r="L62" s="168"/>
      <c r="M62" s="169">
        <v>2.0</v>
      </c>
      <c r="N62" s="166" t="s">
        <v>30</v>
      </c>
      <c r="O62" s="167"/>
      <c r="P62" s="168"/>
      <c r="Q62" s="169">
        <v>2.0</v>
      </c>
      <c r="R62" s="166" t="s">
        <v>30</v>
      </c>
      <c r="S62" s="167"/>
      <c r="T62" s="168"/>
      <c r="U62" s="169">
        <v>2.0</v>
      </c>
      <c r="V62" s="166" t="s">
        <v>30</v>
      </c>
      <c r="W62" s="167"/>
    </row>
    <row r="63" ht="27.0" customHeight="1">
      <c r="A63" s="169">
        <v>2.0</v>
      </c>
      <c r="B63" s="170" t="s">
        <v>25</v>
      </c>
      <c r="C63" s="171"/>
      <c r="D63" s="168"/>
      <c r="E63" s="169">
        <v>2.0</v>
      </c>
      <c r="F63" s="170" t="s">
        <v>25</v>
      </c>
      <c r="G63" s="171"/>
      <c r="H63" s="168"/>
      <c r="I63" s="169">
        <v>2.0</v>
      </c>
      <c r="J63" s="170" t="s">
        <v>25</v>
      </c>
      <c r="K63" s="171"/>
      <c r="L63" s="168"/>
      <c r="M63" s="169">
        <v>2.0</v>
      </c>
      <c r="N63" s="170" t="s">
        <v>25</v>
      </c>
      <c r="O63" s="171"/>
      <c r="P63" s="168"/>
      <c r="Q63" s="169">
        <v>2.0</v>
      </c>
      <c r="R63" s="170" t="s">
        <v>25</v>
      </c>
      <c r="S63" s="171"/>
      <c r="T63" s="168"/>
      <c r="U63" s="169">
        <v>2.0</v>
      </c>
      <c r="V63" s="170" t="s">
        <v>25</v>
      </c>
      <c r="W63" s="171"/>
    </row>
    <row r="64" ht="27.0" customHeight="1">
      <c r="A64" s="172"/>
      <c r="B64" s="173" t="s">
        <v>106</v>
      </c>
      <c r="C64" s="174"/>
      <c r="E64" s="172"/>
      <c r="F64" s="173" t="s">
        <v>106</v>
      </c>
      <c r="G64" s="174"/>
      <c r="I64" s="172"/>
      <c r="J64" s="173" t="s">
        <v>106</v>
      </c>
      <c r="K64" s="174"/>
      <c r="M64" s="172"/>
      <c r="N64" s="173" t="s">
        <v>106</v>
      </c>
      <c r="O64" s="174"/>
      <c r="Q64" s="172"/>
      <c r="R64" s="173" t="s">
        <v>106</v>
      </c>
      <c r="S64" s="174"/>
      <c r="U64" s="172"/>
      <c r="V64" s="173" t="s">
        <v>106</v>
      </c>
      <c r="W64" s="174"/>
    </row>
  </sheetData>
  <printOptions horizontalCentered="1"/>
  <pageMargins bottom="0.15" footer="0.0" header="0.0" left="0.0673469387755102" right="0.0673469387755102" top="0.15"/>
  <pageSetup cellComments="atEnd" orientation="landscape" pageOrder="overThenDown"/>
  <rowBreaks count="2" manualBreakCount="2">
    <brk man="1"/>
    <brk id="33" man="1"/>
  </rowBreaks>
  <colBreaks count="2" manualBreakCount="2">
    <brk man="1"/>
    <brk id="23" man="1"/>
  </colBreaks>
  <drawing r:id="rId1"/>
</worksheet>
</file>