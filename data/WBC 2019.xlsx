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4"/>
    <sheet state="visible" name="Scorecards" sheetId="2" r:id="rId5"/>
    <sheet state="visible" name="Stock Market" sheetId="3" r:id="rId6"/>
    <sheet state="visible" name="BettingScoreboard" sheetId="4" r:id="rId7"/>
    <sheet state="visible" name="Score Calcuations" sheetId="5" r:id="rId8"/>
    <sheet state="visible" name="Betting SETUP" sheetId="6" r:id="rId9"/>
    <sheet state="visible" name="Players and Handis SETUP" sheetId="7" r:id="rId10"/>
    <sheet state="visible" name="Stock Market Print Sheet" sheetId="8" r:id="rId11"/>
    <sheet state="hidden" name="Handis From Tracker" sheetId="9" r:id="rId12"/>
  </sheets>
  <definedNames>
    <definedName name="SkinsGrossPerRound">'Betting SETUP'!$J$6:$J$13</definedName>
    <definedName name="SkinsNetCumulative">'Betting SETUP'!$I$6:$I$13</definedName>
    <definedName name="Round4Scores">Scorecards!$A$46:$Y$53</definedName>
    <definedName name="Round2Scores">Scorecards!$A$18:$Y$25</definedName>
    <definedName name="SkinsGrossCumulative">'Betting SETUP'!$H$6:$H$13</definedName>
    <definedName name="ScoresRankFirst">'Score Calcuations'!$A$3:$N$10</definedName>
    <definedName name="CTP">'Betting SETUP'!$L$6:$L$13</definedName>
    <definedName name="ScoresFullNameFirst">'Score Calcuations'!$B$3:$N$10</definedName>
    <definedName name="Round1Scores">Scorecards!$A$4:$Y$11</definedName>
    <definedName name="PlayersInitials">'Players and Handis SETUP'!$A$3:$A$10</definedName>
    <definedName name="SkinsNetPerRound">'Betting SETUP'!$K$6:$K$13</definedName>
    <definedName name="HandiFromTracker">'Handis From Tracker'!$A$1:$B$9</definedName>
    <definedName name="ScoresInitialsFirst">'Score Calcuations'!$D$3:$N$10</definedName>
    <definedName name="PlayersNames">'Players and Handis SETUP'!$C$3:$C$10</definedName>
    <definedName name="BettingSetup">'Betting SETUP'!$A$6:$L$13</definedName>
    <definedName name="CumulativeNetScores">'Score Calcuations'!$N$3:$N$10</definedName>
    <definedName name="PlayersAndHandis">'Players and Handis SETUP'!$A$3:$G$10</definedName>
    <definedName name="CumulativeGrossScores">'Score Calcuations'!$M$3:$M$10</definedName>
    <definedName name="Round3Scores">Scorecards!$A$32:$Y$39</definedName>
  </definedNames>
  <calcPr/>
</workbook>
</file>

<file path=xl/sharedStrings.xml><?xml version="1.0" encoding="utf-8"?>
<sst xmlns="http://schemas.openxmlformats.org/spreadsheetml/2006/main" count="443" uniqueCount="94">
  <si>
    <t>2019 WANNABE CUP</t>
  </si>
  <si>
    <t>POS</t>
  </si>
  <si>
    <t>SCORE</t>
  </si>
  <si>
    <t>TO PAR</t>
  </si>
  <si>
    <t>PLAYER</t>
  </si>
  <si>
    <t>Hole</t>
  </si>
  <si>
    <t>OUT</t>
  </si>
  <si>
    <t>IN</t>
  </si>
  <si>
    <t>TOTAL</t>
  </si>
  <si>
    <t>NET</t>
  </si>
  <si>
    <t>Player</t>
  </si>
  <si>
    <t>Handi</t>
  </si>
  <si>
    <t>Par</t>
  </si>
  <si>
    <t>AJ</t>
  </si>
  <si>
    <t>AV</t>
  </si>
  <si>
    <t>BB</t>
  </si>
  <si>
    <t>BK</t>
  </si>
  <si>
    <t>EO</t>
  </si>
  <si>
    <t>JB</t>
  </si>
  <si>
    <t>JC</t>
  </si>
  <si>
    <t>SR</t>
  </si>
  <si>
    <t>SKIN</t>
  </si>
  <si>
    <t>CTP</t>
  </si>
  <si>
    <t>$1 Shares</t>
  </si>
  <si>
    <t>TOTAL $1</t>
  </si>
  <si>
    <t>FINAL</t>
  </si>
  <si>
    <t>PAYOUT</t>
  </si>
  <si>
    <t>Aaron J</t>
  </si>
  <si>
    <t>Andy V</t>
  </si>
  <si>
    <t>Bob B</t>
  </si>
  <si>
    <t>Brian K</t>
  </si>
  <si>
    <t>Eric O</t>
  </si>
  <si>
    <t>Jeff B</t>
  </si>
  <si>
    <t>John C</t>
  </si>
  <si>
    <t>Scott R</t>
  </si>
  <si>
    <t>WBC Winner</t>
  </si>
  <si>
    <t>$2 Shares</t>
  </si>
  <si>
    <t>$1 winners</t>
  </si>
  <si>
    <t>$2 winners</t>
  </si>
  <si>
    <t xml:space="preserve"> </t>
  </si>
  <si>
    <t>TOTAL $2</t>
  </si>
  <si>
    <t>Low Net Per Round</t>
  </si>
  <si>
    <t># of Winners</t>
  </si>
  <si>
    <t>$</t>
  </si>
  <si>
    <t>Skins</t>
  </si>
  <si>
    <t>Skin $</t>
  </si>
  <si>
    <t>SV</t>
  </si>
  <si>
    <t>DK</t>
  </si>
  <si>
    <t>CTP $</t>
  </si>
  <si>
    <t>RANK</t>
  </si>
  <si>
    <t>w/o TIES</t>
  </si>
  <si>
    <t>w/ TIES</t>
  </si>
  <si>
    <t>GROSS</t>
  </si>
  <si>
    <t>Number of Individual Rounds</t>
  </si>
  <si>
    <t>ACTIVE</t>
  </si>
  <si>
    <t>NO</t>
  </si>
  <si>
    <t>YES</t>
  </si>
  <si>
    <t>PER ROUND</t>
  </si>
  <si>
    <t>N/A</t>
  </si>
  <si>
    <t>Low Score - Gross - Per Round</t>
  </si>
  <si>
    <t>Low Score - Net - Per Round</t>
  </si>
  <si>
    <t>Low Round - Gross</t>
  </si>
  <si>
    <t>Low Round - Net</t>
  </si>
  <si>
    <t>Low Cumulative - Gross</t>
  </si>
  <si>
    <t>Low Cumulative - Net</t>
  </si>
  <si>
    <t>Skins - Gross - Cumulative</t>
  </si>
  <si>
    <t>Skins - Net - Cumulative</t>
  </si>
  <si>
    <t>Skins - Gross - Per Round</t>
  </si>
  <si>
    <t>Skins - Net - Per Round</t>
  </si>
  <si>
    <t>Y</t>
  </si>
  <si>
    <t>TULLYMORE</t>
  </si>
  <si>
    <t>ST IVES</t>
  </si>
  <si>
    <t>4.5 to 5.2</t>
  </si>
  <si>
    <t>Index</t>
  </si>
  <si>
    <t>5.3 to 6.0</t>
  </si>
  <si>
    <t>6.1 to 6.8</t>
  </si>
  <si>
    <t>6.9 to 7.6</t>
  </si>
  <si>
    <t>7.7 to 8.4</t>
  </si>
  <si>
    <t>8.5 to 9.2</t>
  </si>
  <si>
    <t>9.3 to 10.0</t>
  </si>
  <si>
    <t>10.1 to 10.8</t>
  </si>
  <si>
    <t>10.9 to 11.6</t>
  </si>
  <si>
    <t>11.7 to 12.4</t>
  </si>
  <si>
    <t>12.5 to 13.2</t>
  </si>
  <si>
    <t>13.3 to 14.0</t>
  </si>
  <si>
    <t>14.1 to 14.8</t>
  </si>
  <si>
    <t>14.9 to 15.6</t>
  </si>
  <si>
    <t>15.7 to 16.4</t>
  </si>
  <si>
    <t>16.5 to 17.2</t>
  </si>
  <si>
    <t>17.3 to 18.0</t>
  </si>
  <si>
    <t>18.1 to 18.8</t>
  </si>
  <si>
    <t>YOUR NAME</t>
  </si>
  <si>
    <t>TOTAL $1 SHARES</t>
  </si>
  <si>
    <t>TOTAL $2 SHARES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</si>
</sst>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_);[Red]\(&quot;$&quot;#,##0.00\)"/>
    <numFmt numFmtId="165" formatCode="&quot;$&quot;#,##0"/>
    <numFmt numFmtId="166" formatCode="&quot;$&quot;#,##0.00"/>
    <numFmt numFmtId="167" formatCode="&quot;$&quot;#,##0_);[Red]\(&quot;$&quot;#,##0\)"/>
    <numFmt numFmtId="168" formatCode="&quot;$&quot;#,##0.0"/>
    <numFmt numFmtId="169" formatCode="0.0"/>
  </numFmts>
  <fonts count="16">
    <font>
      <sz val="11.0"/>
      <color rgb="FF000000"/>
      <name val="Calibri"/>
    </font>
    <font>
      <sz val="36.0"/>
      <color rgb="FFFFFFFF"/>
      <name val="Calibri"/>
    </font>
    <font/>
    <font>
      <b/>
      <sz val="18.0"/>
      <color rgb="FF000000"/>
      <name val="Calibri"/>
    </font>
    <font>
      <b/>
      <sz val="11.0"/>
      <color rgb="FF000000"/>
      <name val="Calibri"/>
    </font>
    <font>
      <sz val="18.0"/>
      <color rgb="FF000000"/>
      <name val="Calibri"/>
    </font>
    <font>
      <sz val="20.0"/>
      <color rgb="FF000000"/>
      <name val="Calibri"/>
    </font>
    <font>
      <sz val="10.0"/>
      <color rgb="FF000000"/>
      <name val="Calibri"/>
    </font>
    <font>
      <sz val="10.0"/>
      <color rgb="FFFFFFFF"/>
      <name val="Calibri"/>
    </font>
    <font>
      <sz val="10.0"/>
      <name val="Calibri"/>
    </font>
    <font>
      <b/>
      <sz val="10.0"/>
      <color rgb="FF000000"/>
      <name val="Calibri"/>
    </font>
    <font>
      <b/>
      <sz val="10.0"/>
    </font>
    <font>
      <b/>
      <sz val="10.0"/>
      <name val="Calibri"/>
    </font>
    <font>
      <sz val="10.0"/>
    </font>
    <font>
      <sz val="18.0"/>
    </font>
    <font>
      <sz val="14.0"/>
      <color rgb="FF000000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4A86E8"/>
        <bgColor rgb="FF4A86E8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rgb="FFCCCCCC"/>
        <bgColor rgb="FFCCCCCC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0"/>
    </xf>
    <xf borderId="4" fillId="3" fontId="4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4" fillId="4" fontId="3" numFmtId="0" xfId="0" applyAlignment="1" applyBorder="1" applyFill="1" applyFont="1">
      <alignment horizontal="center" shrinkToFit="0" vertical="center" wrapText="0"/>
    </xf>
    <xf borderId="4" fillId="5" fontId="3" numFmtId="0" xfId="0" applyAlignment="1" applyBorder="1" applyFill="1" applyFont="1">
      <alignment horizontal="center" shrinkToFit="0" vertical="center" wrapText="0"/>
    </xf>
    <xf borderId="4" fillId="0" fontId="6" numFmtId="0" xfId="0" applyAlignment="1" applyBorder="1" applyFont="1">
      <alignment horizontal="center" shrinkToFit="0" vertical="center" wrapText="0"/>
    </xf>
    <xf borderId="4" fillId="0" fontId="0" numFmtId="1" xfId="0" applyAlignment="1" applyBorder="1" applyFont="1" applyNumberFormat="1">
      <alignment horizontal="center" shrinkToFit="0" vertical="center" wrapText="0"/>
    </xf>
    <xf borderId="0" fillId="0" fontId="7" numFmtId="0" xfId="0" applyAlignment="1" applyFont="1">
      <alignment horizontal="center" shrinkToFit="0" wrapText="0"/>
    </xf>
    <xf borderId="5" fillId="6" fontId="8" numFmtId="0" xfId="0" applyAlignment="1" applyBorder="1" applyFill="1" applyFont="1">
      <alignment horizontal="center" readingOrder="0" shrinkToFit="0" wrapText="0"/>
    </xf>
    <xf borderId="6" fillId="0" fontId="2" numFmtId="0" xfId="0" applyBorder="1" applyFont="1"/>
    <xf borderId="7" fillId="0" fontId="2" numFmtId="0" xfId="0" applyBorder="1" applyFont="1"/>
    <xf borderId="4" fillId="7" fontId="9" numFmtId="0" xfId="0" applyAlignment="1" applyBorder="1" applyFill="1" applyFont="1">
      <alignment horizontal="center" readingOrder="0" shrinkToFit="0" wrapText="0"/>
    </xf>
    <xf borderId="8" fillId="6" fontId="8" numFmtId="0" xfId="0" applyAlignment="1" applyBorder="1" applyFont="1">
      <alignment horizontal="center" shrinkToFit="0" wrapText="0"/>
    </xf>
    <xf borderId="8" fillId="8" fontId="7" numFmtId="0" xfId="0" applyAlignment="1" applyBorder="1" applyFill="1" applyFont="1">
      <alignment horizontal="center" shrinkToFit="0" wrapText="0"/>
    </xf>
    <xf borderId="4" fillId="8" fontId="10" numFmtId="0" xfId="0" applyAlignment="1" applyBorder="1" applyFont="1">
      <alignment horizontal="left" shrinkToFit="0" wrapText="0"/>
    </xf>
    <xf borderId="4" fillId="6" fontId="8" numFmtId="0" xfId="0" applyAlignment="1" applyBorder="1" applyFont="1">
      <alignment horizontal="center" shrinkToFit="0" wrapText="0"/>
    </xf>
    <xf borderId="4" fillId="8" fontId="7" numFmtId="0" xfId="0" applyAlignment="1" applyBorder="1" applyFont="1">
      <alignment horizontal="center" readingOrder="0" shrinkToFit="0" wrapText="0"/>
    </xf>
    <xf borderId="4" fillId="8" fontId="7" numFmtId="0" xfId="0" applyAlignment="1" applyBorder="1" applyFont="1">
      <alignment horizontal="center" shrinkToFit="0" wrapText="0"/>
    </xf>
    <xf borderId="9" fillId="9" fontId="7" numFmtId="0" xfId="0" applyAlignment="1" applyBorder="1" applyFill="1" applyFont="1">
      <alignment horizontal="center" readingOrder="0" shrinkToFit="0" wrapText="0"/>
    </xf>
    <xf borderId="4" fillId="9" fontId="7" numFmtId="1" xfId="0" applyAlignment="1" applyBorder="1" applyFont="1" applyNumberFormat="1">
      <alignment horizontal="center" readingOrder="0" shrinkToFit="0" wrapText="0"/>
    </xf>
    <xf borderId="4" fillId="9" fontId="7" numFmtId="0" xfId="0" applyAlignment="1" applyBorder="1" applyFont="1">
      <alignment horizontal="center" readingOrder="0" shrinkToFit="0" wrapText="0"/>
    </xf>
    <xf borderId="4" fillId="9" fontId="7" numFmtId="0" xfId="0" applyAlignment="1" applyBorder="1" applyFont="1">
      <alignment horizontal="center" shrinkToFit="0" wrapText="0"/>
    </xf>
    <xf borderId="4" fillId="9" fontId="7" numFmtId="1" xfId="0" applyAlignment="1" applyBorder="1" applyFont="1" applyNumberFormat="1">
      <alignment horizontal="center" shrinkToFit="0" wrapText="0"/>
    </xf>
    <xf borderId="10" fillId="4" fontId="7" numFmtId="0" xfId="0" applyAlignment="1" applyBorder="1" applyFont="1">
      <alignment horizontal="center" readingOrder="0" shrinkToFit="0" wrapText="0"/>
    </xf>
    <xf borderId="4" fillId="4" fontId="7" numFmtId="1" xfId="0" applyAlignment="1" applyBorder="1" applyFont="1" applyNumberFormat="1">
      <alignment horizontal="center" readingOrder="0" shrinkToFit="0" wrapText="0"/>
    </xf>
    <xf borderId="4" fillId="4" fontId="7" numFmtId="0" xfId="0" applyAlignment="1" applyBorder="1" applyFont="1">
      <alignment horizontal="center" readingOrder="0" shrinkToFit="0" wrapText="0"/>
    </xf>
    <xf borderId="4" fillId="4" fontId="7" numFmtId="0" xfId="0" applyAlignment="1" applyBorder="1" applyFont="1">
      <alignment horizontal="center" shrinkToFit="0" wrapText="0"/>
    </xf>
    <xf borderId="4" fillId="4" fontId="7" numFmtId="1" xfId="0" applyAlignment="1" applyBorder="1" applyFont="1" applyNumberFormat="1">
      <alignment horizontal="center" shrinkToFit="0" wrapText="0"/>
    </xf>
    <xf borderId="11" fillId="4" fontId="7" numFmtId="0" xfId="0" applyAlignment="1" applyBorder="1" applyFont="1">
      <alignment horizontal="center" readingOrder="0" shrinkToFit="0" wrapText="0"/>
    </xf>
    <xf borderId="11" fillId="9" fontId="7" numFmtId="0" xfId="0" applyAlignment="1" applyBorder="1" applyFont="1">
      <alignment horizontal="center" readingOrder="0" shrinkToFit="0" wrapText="0"/>
    </xf>
    <xf borderId="4" fillId="8" fontId="10" numFmtId="0" xfId="0" applyAlignment="1" applyBorder="1" applyFont="1">
      <alignment horizontal="center" shrinkToFit="0" wrapText="0"/>
    </xf>
    <xf borderId="4" fillId="8" fontId="7" numFmtId="164" xfId="0" applyAlignment="1" applyBorder="1" applyFont="1" applyNumberFormat="1">
      <alignment horizontal="center" shrinkToFit="0" wrapText="0"/>
    </xf>
    <xf borderId="4" fillId="8" fontId="7" numFmtId="0" xfId="0" applyAlignment="1" applyBorder="1" applyFont="1">
      <alignment horizontal="center" readingOrder="0" shrinkToFit="0" wrapText="0"/>
    </xf>
    <xf borderId="5" fillId="8" fontId="11" numFmtId="0" xfId="0" applyAlignment="1" applyBorder="1" applyFont="1">
      <alignment horizontal="center" readingOrder="0" vertical="center"/>
    </xf>
    <xf borderId="10" fillId="8" fontId="11" numFmtId="165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4" fillId="8" fontId="11" numFmtId="0" xfId="0" applyAlignment="1" applyBorder="1" applyFont="1">
      <alignment horizontal="center" readingOrder="0" vertical="center"/>
    </xf>
    <xf borderId="4" fillId="10" fontId="12" numFmtId="0" xfId="0" applyAlignment="1" applyBorder="1" applyFill="1" applyFont="1">
      <alignment horizontal="center" readingOrder="0" vertical="center"/>
    </xf>
    <xf borderId="4" fillId="9" fontId="10" numFmtId="0" xfId="0" applyAlignment="1" applyBorder="1" applyFont="1">
      <alignment horizontal="center" readingOrder="0" shrinkToFit="0" vertical="center" wrapText="0"/>
    </xf>
    <xf borderId="4" fillId="9" fontId="13" numFmtId="0" xfId="0" applyAlignment="1" applyBorder="1" applyFont="1">
      <alignment horizontal="center" readingOrder="0" vertical="center"/>
    </xf>
    <xf borderId="4" fillId="9" fontId="13" numFmtId="165" xfId="0" applyAlignment="1" applyBorder="1" applyFont="1" applyNumberFormat="1">
      <alignment horizontal="center" readingOrder="0" vertical="center"/>
    </xf>
    <xf borderId="4" fillId="4" fontId="10" numFmtId="0" xfId="0" applyAlignment="1" applyBorder="1" applyFont="1">
      <alignment horizontal="center" readingOrder="0" shrinkToFit="0" vertical="center" wrapText="0"/>
    </xf>
    <xf borderId="4" fillId="4" fontId="7" numFmtId="165" xfId="0" applyAlignment="1" applyBorder="1" applyFont="1" applyNumberFormat="1">
      <alignment horizontal="center" vertical="center"/>
    </xf>
    <xf borderId="12" fillId="0" fontId="2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readingOrder="0" vertical="center"/>
    </xf>
    <xf borderId="4" fillId="0" fontId="13" numFmtId="165" xfId="0" applyAlignment="1" applyBorder="1" applyFont="1" applyNumberFormat="1">
      <alignment horizontal="center" readingOrder="0" vertical="center"/>
    </xf>
    <xf borderId="12" fillId="0" fontId="13" numFmtId="166" xfId="0" applyAlignment="1" applyBorder="1" applyFont="1" applyNumberFormat="1">
      <alignment horizontal="center" readingOrder="0" vertical="center"/>
    </xf>
    <xf borderId="4" fillId="9" fontId="11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4" fillId="11" fontId="11" numFmtId="0" xfId="0" applyAlignment="1" applyBorder="1" applyFill="1" applyFont="1">
      <alignment horizontal="center" readingOrder="0" vertical="center"/>
    </xf>
    <xf borderId="0" fillId="4" fontId="13" numFmtId="0" xfId="0" applyAlignment="1" applyFont="1">
      <alignment horizontal="center" vertical="center"/>
    </xf>
    <xf borderId="0" fillId="0" fontId="2" numFmtId="166" xfId="0" applyFont="1" applyNumberFormat="1"/>
    <xf borderId="6" fillId="8" fontId="11" numFmtId="0" xfId="0" applyAlignment="1" applyBorder="1" applyFont="1">
      <alignment horizontal="center" readingOrder="0" vertical="center"/>
    </xf>
    <xf borderId="13" fillId="0" fontId="11" numFmtId="0" xfId="0" applyAlignment="1" applyBorder="1" applyFont="1">
      <alignment horizontal="center" readingOrder="0" vertical="center"/>
    </xf>
    <xf borderId="10" fillId="8" fontId="11" numFmtId="0" xfId="0" applyAlignment="1" applyBorder="1" applyFont="1">
      <alignment horizontal="center" readingOrder="0" vertical="center"/>
    </xf>
    <xf borderId="4" fillId="8" fontId="11" numFmtId="166" xfId="0" applyAlignment="1" applyBorder="1" applyFont="1" applyNumberFormat="1">
      <alignment horizontal="center" readingOrder="0" vertical="center"/>
    </xf>
    <xf borderId="14" fillId="8" fontId="11" numFmtId="166" xfId="0" applyAlignment="1" applyBorder="1" applyFont="1" applyNumberFormat="1">
      <alignment horizontal="center" readingOrder="0" vertical="center"/>
    </xf>
    <xf borderId="15" fillId="9" fontId="10" numFmtId="0" xfId="0" applyAlignment="1" applyBorder="1" applyFont="1">
      <alignment horizontal="center" readingOrder="0" shrinkToFit="0" vertical="center" wrapText="0"/>
    </xf>
    <xf borderId="4" fillId="9" fontId="13" numFmtId="165" xfId="0" applyAlignment="1" applyBorder="1" applyFont="1" applyNumberFormat="1">
      <alignment horizontal="center" vertical="center"/>
    </xf>
    <xf borderId="4" fillId="9" fontId="7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vertical="center"/>
    </xf>
    <xf borderId="4" fillId="4" fontId="13" numFmtId="165" xfId="0" applyAlignment="1" applyBorder="1" applyFont="1" applyNumberFormat="1">
      <alignment horizontal="center" vertical="center"/>
    </xf>
    <xf borderId="0" fillId="0" fontId="13" numFmtId="0" xfId="0" applyAlignment="1" applyFont="1">
      <alignment horizontal="center" readingOrder="0" vertical="center"/>
    </xf>
    <xf borderId="4" fillId="4" fontId="7" numFmtId="0" xfId="0" applyAlignment="1" applyBorder="1" applyFont="1">
      <alignment horizontal="center" vertical="center"/>
    </xf>
    <xf borderId="4" fillId="9" fontId="13" numFmtId="0" xfId="0" applyAlignment="1" applyBorder="1" applyFont="1">
      <alignment horizontal="center" vertical="center"/>
    </xf>
    <xf borderId="13" fillId="8" fontId="10" numFmtId="0" xfId="0" applyAlignment="1" applyBorder="1" applyFont="1">
      <alignment horizontal="center" readingOrder="0" shrinkToFit="0" vertical="center" wrapText="1"/>
    </xf>
    <xf borderId="15" fillId="8" fontId="10" numFmtId="0" xfId="0" applyAlignment="1" applyBorder="1" applyFont="1">
      <alignment horizontal="center" shrinkToFit="0" vertical="center" wrapText="1"/>
    </xf>
    <xf borderId="9" fillId="9" fontId="7" numFmtId="0" xfId="0" applyAlignment="1" applyBorder="1" applyFont="1">
      <alignment horizontal="center" readingOrder="0" shrinkToFit="0" vertical="center" wrapText="0"/>
    </xf>
    <xf borderId="4" fillId="9" fontId="7" numFmtId="1" xfId="0" applyAlignment="1" applyBorder="1" applyFont="1" applyNumberFormat="1">
      <alignment horizontal="center" shrinkToFit="0" vertical="center" wrapText="0"/>
    </xf>
    <xf borderId="9" fillId="4" fontId="7" numFmtId="0" xfId="0" applyAlignment="1" applyBorder="1" applyFont="1">
      <alignment horizontal="center" readingOrder="0" shrinkToFit="0" vertical="center" wrapText="0"/>
    </xf>
    <xf borderId="4" fillId="4" fontId="7" numFmtId="1" xfId="0" applyAlignment="1" applyBorder="1" applyFont="1" applyNumberFormat="1">
      <alignment horizontal="center" shrinkToFit="0" vertical="center" wrapText="0"/>
    </xf>
    <xf borderId="4" fillId="4" fontId="7" numFmtId="0" xfId="0" applyAlignment="1" applyBorder="1" applyFont="1">
      <alignment horizontal="center" shrinkToFit="0" vertical="center" wrapText="0"/>
    </xf>
    <xf borderId="4" fillId="0" fontId="7" numFmtId="0" xfId="0" applyAlignment="1" applyBorder="1" applyFont="1">
      <alignment horizontal="center" readingOrder="0" shrinkToFit="0" vertical="center" wrapText="0"/>
    </xf>
    <xf borderId="4" fillId="0" fontId="7" numFmtId="165" xfId="0" applyAlignment="1" applyBorder="1" applyFont="1" applyNumberForma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4" fillId="8" fontId="10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4" fillId="9" fontId="7" numFmtId="0" xfId="0" applyAlignment="1" applyBorder="1" applyFont="1">
      <alignment horizontal="center" readingOrder="0" shrinkToFit="0" vertical="center" wrapText="0"/>
    </xf>
    <xf borderId="4" fillId="9" fontId="7" numFmtId="0" xfId="0" applyAlignment="1" applyBorder="1" applyFont="1">
      <alignment horizontal="center" shrinkToFit="0" vertical="center" wrapText="0"/>
    </xf>
    <xf borderId="4" fillId="9" fontId="7" numFmtId="167" xfId="0" applyAlignment="1" applyBorder="1" applyFont="1" applyNumberFormat="1">
      <alignment horizontal="center" shrinkToFit="0" vertical="center" wrapText="0"/>
    </xf>
    <xf borderId="4" fillId="4" fontId="7" numFmtId="0" xfId="0" applyAlignment="1" applyBorder="1" applyFont="1">
      <alignment horizontal="center" readingOrder="0" shrinkToFit="0" vertical="center" wrapText="0"/>
    </xf>
    <xf borderId="4" fillId="4" fontId="7" numFmtId="167" xfId="0" applyAlignment="1" applyBorder="1" applyFont="1" applyNumberFormat="1">
      <alignment horizontal="center" shrinkToFit="0" vertical="center" wrapText="0"/>
    </xf>
    <xf borderId="0" fillId="4" fontId="7" numFmtId="0" xfId="0" applyAlignment="1" applyFont="1">
      <alignment horizontal="center" shrinkToFit="0" vertical="center" wrapText="0"/>
    </xf>
    <xf borderId="0" fillId="4" fontId="7" numFmtId="0" xfId="0" applyAlignment="1" applyFont="1">
      <alignment horizontal="center" shrinkToFit="0" vertical="center" wrapText="0"/>
    </xf>
    <xf borderId="0" fillId="4" fontId="7" numFmtId="167" xfId="0" applyAlignment="1" applyFont="1" applyNumberFormat="1">
      <alignment horizontal="center" shrinkToFit="0" vertical="center" wrapText="0"/>
    </xf>
    <xf borderId="4" fillId="12" fontId="10" numFmtId="0" xfId="0" applyAlignment="1" applyBorder="1" applyFill="1" applyFont="1">
      <alignment horizontal="center" readingOrder="0" shrinkToFit="0" vertical="center" wrapText="0"/>
    </xf>
    <xf borderId="14" fillId="13" fontId="10" numFmtId="0" xfId="0" applyAlignment="1" applyBorder="1" applyFill="1" applyFont="1">
      <alignment horizontal="center" shrinkToFit="0" vertical="center" wrapText="0"/>
    </xf>
    <xf borderId="4" fillId="12" fontId="10" numFmtId="0" xfId="0" applyAlignment="1" applyBorder="1" applyFont="1">
      <alignment horizontal="center" shrinkToFit="0" vertical="center" wrapText="0"/>
    </xf>
    <xf borderId="5" fillId="12" fontId="10" numFmtId="0" xfId="0" applyAlignment="1" applyBorder="1" applyFont="1">
      <alignment horizontal="center" shrinkToFit="0" vertical="center" wrapText="0"/>
    </xf>
    <xf borderId="10" fillId="0" fontId="2" numFmtId="0" xfId="0" applyBorder="1" applyFont="1"/>
    <xf borderId="4" fillId="13" fontId="7" numFmtId="0" xfId="0" applyAlignment="1" applyBorder="1" applyFont="1">
      <alignment horizontal="center" readingOrder="0" shrinkToFit="0" vertical="center" wrapText="0"/>
    </xf>
    <xf borderId="15" fillId="0" fontId="2" numFmtId="0" xfId="0" applyBorder="1" applyFont="1"/>
    <xf borderId="4" fillId="13" fontId="7" numFmtId="0" xfId="0" applyAlignment="1" applyBorder="1" applyFont="1">
      <alignment horizontal="center" shrinkToFit="0" vertical="center" wrapText="0"/>
    </xf>
    <xf borderId="4" fillId="13" fontId="10" numFmtId="0" xfId="0" applyAlignment="1" applyBorder="1" applyFont="1">
      <alignment horizontal="center" shrinkToFit="0" vertical="center" wrapText="0"/>
    </xf>
    <xf borderId="4" fillId="4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shrinkToFit="0" vertical="center" wrapText="0"/>
    </xf>
    <xf borderId="4" fillId="0" fontId="7" numFmtId="1" xfId="0" applyAlignment="1" applyBorder="1" applyFont="1" applyNumberFormat="1">
      <alignment horizontal="center" shrinkToFit="0" vertical="center" wrapText="0"/>
    </xf>
    <xf borderId="4" fillId="14" fontId="10" numFmtId="0" xfId="0" applyAlignment="1" applyBorder="1" applyFill="1" applyFont="1">
      <alignment horizontal="center" shrinkToFit="0" vertical="center" wrapText="0"/>
    </xf>
    <xf borderId="4" fillId="15" fontId="10" numFmtId="1" xfId="0" applyAlignment="1" applyBorder="1" applyFill="1" applyFont="1" applyNumberFormat="1">
      <alignment horizontal="center" shrinkToFit="0" vertical="center" wrapText="0"/>
    </xf>
    <xf borderId="4" fillId="4" fontId="10" numFmtId="0" xfId="0" applyAlignment="1" applyBorder="1" applyFont="1">
      <alignment horizontal="center" shrinkToFit="0" vertical="center" wrapText="1"/>
    </xf>
    <xf borderId="10" fillId="4" fontId="7" numFmtId="0" xfId="0" applyAlignment="1" applyBorder="1" applyFont="1">
      <alignment horizontal="center" readingOrder="0" vertical="center"/>
    </xf>
    <xf borderId="16" fillId="4" fontId="9" numFmtId="0" xfId="0" applyAlignment="1" applyBorder="1" applyFont="1">
      <alignment vertical="center"/>
    </xf>
    <xf borderId="15" fillId="4" fontId="10" numFmtId="164" xfId="0" applyAlignment="1" applyBorder="1" applyFont="1" applyNumberFormat="1">
      <alignment horizontal="center" readingOrder="0" shrinkToFit="0" vertical="center" wrapText="1"/>
    </xf>
    <xf borderId="13" fillId="4" fontId="7" numFmtId="165" xfId="0" applyAlignment="1" applyBorder="1" applyFont="1" applyNumberFormat="1">
      <alignment horizontal="center" readingOrder="0" vertical="center"/>
    </xf>
    <xf borderId="15" fillId="11" fontId="10" numFmtId="164" xfId="0" applyAlignment="1" applyBorder="1" applyFont="1" applyNumberFormat="1">
      <alignment horizontal="center" vertical="center"/>
    </xf>
    <xf borderId="13" fillId="4" fontId="9" numFmtId="165" xfId="0" applyAlignment="1" applyBorder="1" applyFont="1" applyNumberFormat="1">
      <alignment vertical="center"/>
    </xf>
    <xf borderId="13" fillId="4" fontId="10" numFmtId="168" xfId="0" applyAlignment="1" applyBorder="1" applyFont="1" applyNumberFormat="1">
      <alignment horizontal="center" readingOrder="0" vertical="center"/>
    </xf>
    <xf borderId="13" fillId="4" fontId="10" numFmtId="165" xfId="0" applyAlignment="1" applyBorder="1" applyFont="1" applyNumberFormat="1">
      <alignment horizontal="center" readingOrder="0" vertical="center"/>
    </xf>
    <xf borderId="15" fillId="10" fontId="10" numFmtId="164" xfId="0" applyAlignment="1" applyBorder="1" applyFont="1" applyNumberFormat="1">
      <alignment horizontal="center" vertical="center"/>
    </xf>
    <xf borderId="13" fillId="4" fontId="9" numFmtId="167" xfId="0" applyAlignment="1" applyBorder="1" applyFont="1" applyNumberFormat="1">
      <alignment vertical="center"/>
    </xf>
    <xf borderId="13" fillId="16" fontId="10" numFmtId="167" xfId="0" applyAlignment="1" applyBorder="1" applyFill="1" applyFont="1" applyNumberFormat="1">
      <alignment horizontal="center" vertical="center"/>
    </xf>
    <xf borderId="13" fillId="4" fontId="10" numFmtId="167" xfId="0" applyAlignment="1" applyBorder="1" applyFont="1" applyNumberFormat="1">
      <alignment horizontal="center" vertical="center"/>
    </xf>
    <xf borderId="13" fillId="4" fontId="9" numFmtId="167" xfId="0" applyAlignment="1" applyBorder="1" applyFont="1" applyNumberFormat="1">
      <alignment vertical="center"/>
    </xf>
    <xf borderId="13" fillId="8" fontId="10" numFmtId="0" xfId="0" applyAlignment="1" applyBorder="1" applyFont="1">
      <alignment horizontal="center" shrinkToFit="0" vertical="center" wrapText="1"/>
    </xf>
    <xf borderId="13" fillId="9" fontId="9" numFmtId="0" xfId="0" applyAlignment="1" applyBorder="1" applyFont="1">
      <alignment vertical="center"/>
    </xf>
    <xf borderId="13" fillId="9" fontId="7" numFmtId="0" xfId="0" applyAlignment="1" applyBorder="1" applyFont="1">
      <alignment horizontal="center" vertical="center"/>
    </xf>
    <xf borderId="13" fillId="9" fontId="7" numFmtId="0" xfId="0" applyAlignment="1" applyBorder="1" applyFont="1">
      <alignment horizontal="center" readingOrder="0" vertical="center"/>
    </xf>
    <xf borderId="4" fillId="4" fontId="9" numFmtId="0" xfId="0" applyAlignment="1" applyBorder="1" applyFont="1">
      <alignment vertical="center"/>
    </xf>
    <xf borderId="11" fillId="9" fontId="7" numFmtId="0" xfId="0" applyAlignment="1" applyBorder="1" applyFont="1">
      <alignment horizontal="center" readingOrder="0" shrinkToFit="0" vertical="center" wrapText="0"/>
    </xf>
    <xf borderId="15" fillId="5" fontId="10" numFmtId="164" xfId="0" applyAlignment="1" applyBorder="1" applyFont="1" applyNumberFormat="1">
      <alignment horizontal="center" vertical="center"/>
    </xf>
    <xf borderId="13" fillId="5" fontId="10" numFmtId="164" xfId="0" applyAlignment="1" applyBorder="1" applyFont="1" applyNumberFormat="1">
      <alignment horizontal="center" vertical="center"/>
    </xf>
    <xf borderId="4" fillId="8" fontId="10" numFmtId="0" xfId="0" applyAlignment="1" applyBorder="1" applyFont="1">
      <alignment horizontal="center" readingOrder="0" shrinkToFit="0" vertical="center" wrapText="0"/>
    </xf>
    <xf borderId="4" fillId="8" fontId="10" numFmtId="169" xfId="0" applyAlignment="1" applyBorder="1" applyFont="1" applyNumberFormat="1">
      <alignment horizontal="center" readingOrder="0" shrinkToFit="0" vertical="center" wrapText="0"/>
    </xf>
    <xf borderId="4" fillId="9" fontId="7" numFmtId="169" xfId="0" applyAlignment="1" applyBorder="1" applyFont="1" applyNumberFormat="1">
      <alignment horizontal="center" readingOrder="0" shrinkToFit="0" vertical="center" wrapText="0"/>
    </xf>
    <xf borderId="4" fillId="4" fontId="7" numFmtId="169" xfId="0" applyAlignment="1" applyBorder="1" applyFont="1" applyNumberFormat="1">
      <alignment horizontal="center" readingOrder="0" shrinkToFit="0" vertical="center" wrapText="0"/>
    </xf>
    <xf borderId="0" fillId="4" fontId="7" numFmtId="0" xfId="0" applyAlignment="1" applyFont="1">
      <alignment horizontal="center" readingOrder="0" shrinkToFit="0" vertical="center" wrapText="0"/>
    </xf>
    <xf borderId="0" fillId="4" fontId="7" numFmtId="169" xfId="0" applyAlignment="1" applyFont="1" applyNumberFormat="1">
      <alignment horizontal="center" readingOrder="0" shrinkToFit="0" vertical="center" wrapText="0"/>
    </xf>
    <xf borderId="0" fillId="0" fontId="14" numFmtId="0" xfId="0" applyAlignment="1" applyFont="1">
      <alignment readingOrder="0"/>
    </xf>
    <xf borderId="16" fillId="0" fontId="2" numFmtId="0" xfId="0" applyBorder="1" applyFont="1"/>
    <xf borderId="4" fillId="9" fontId="5" numFmtId="0" xfId="0" applyAlignment="1" applyBorder="1" applyFont="1">
      <alignment horizontal="center" readingOrder="0" shrinkToFit="0" vertical="center" wrapText="0"/>
    </xf>
    <xf borderId="4" fillId="9" fontId="2" numFmtId="0" xfId="0" applyBorder="1" applyFont="1"/>
    <xf borderId="4" fillId="4" fontId="5" numFmtId="0" xfId="0" applyAlignment="1" applyBorder="1" applyFont="1">
      <alignment horizontal="center" readingOrder="0" shrinkToFit="0" vertical="center" wrapText="0"/>
    </xf>
    <xf borderId="4" fillId="0" fontId="2" numFmtId="0" xfId="0" applyBorder="1" applyFont="1"/>
    <xf borderId="4" fillId="8" fontId="15" numFmtId="0" xfId="0" applyAlignment="1" applyBorder="1" applyFont="1">
      <alignment horizontal="center" readingOrder="0" shrinkToFit="0" vertical="center" wrapText="1"/>
    </xf>
    <xf borderId="4" fillId="8" fontId="2" numFmtId="0" xfId="0" applyBorder="1" applyFont="1"/>
    <xf borderId="0" fillId="0" fontId="14" numFmtId="0" xfId="0" applyFont="1"/>
  </cellXfs>
  <cellStyles count="1">
    <cellStyle xfId="0" name="Normal" builtinId="0"/>
  </cellStyles>
  <dxfs count="9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  <tableStyles count="10">
    <tableStyle count="2" pivot="0" name="BettingScoreboard-style">
      <tableStyleElement dxfId="3" type="firstRowStripe"/>
      <tableStyleElement dxfId="4" type="secondRowStripe"/>
    </tableStyle>
    <tableStyle count="2" pivot="0" name="BettingScoreboard-style 2">
      <tableStyleElement dxfId="3" type="firstRowStripe"/>
      <tableStyleElement dxfId="4" type="secondRowStripe"/>
    </tableStyle>
    <tableStyle count="3" pivot="0" name="Betting SETUP-style">
      <tableStyleElement dxfId="5" type="headerRow"/>
      <tableStyleElement dxfId="3" type="firstRowStripe"/>
      <tableStyleElement dxfId="6" type="secondRowStripe"/>
    </tableStyle>
    <tableStyle count="2" pivot="0" name="Betting SETUP-style 2">
      <tableStyleElement dxfId="3" type="firstRowStripe"/>
      <tableStyleElement dxfId="4" type="secondRowStripe"/>
    </tableStyle>
    <tableStyle count="2" pivot="0" name="Betting SETUP-style 3">
      <tableStyleElement dxfId="3" type="firstRowStripe"/>
      <tableStyleElement dxfId="4" type="secondRowStripe"/>
    </tableStyle>
    <tableStyle count="2" pivot="0" name="Betting SETUP-style 4">
      <tableStyleElement dxfId="3" type="firstRowStripe"/>
      <tableStyleElement dxfId="4" type="secondRowStripe"/>
    </tableStyle>
    <tableStyle count="2" pivot="0" name="Betting SETUP-style 5">
      <tableStyleElement dxfId="3" type="firstRowStripe"/>
      <tableStyleElement dxfId="4" type="secondRowStripe"/>
    </tableStyle>
    <tableStyle count="2" pivot="0" name="Betting SETUP-style 6">
      <tableStyleElement dxfId="3" type="firstRowStripe"/>
      <tableStyleElement dxfId="4" type="secondRowStripe"/>
    </tableStyle>
    <tableStyle count="2" pivot="0" name="Betting SETUP-style 7">
      <tableStyleElement dxfId="3" type="firstRowStripe"/>
      <tableStyleElement dxfId="4" type="secondRowStripe"/>
    </tableStyle>
    <tableStyle count="2" pivot="0" name="Betting SETUP-style 8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A9" displayName="Table_1" name="Table_1" id="1">
  <tableColumns count="1">
    <tableColumn name="Column1" id="1"/>
  </tableColumns>
  <tableStyleInfo name="BettingScoreboard-style" showColumnStripes="0" showFirstColumn="1" showLastColumn="1" showRowStripes="1"/>
</table>
</file>

<file path=xl/tables/table2.xml><?xml version="1.0" encoding="utf-8"?>
<table xmlns="http://schemas.openxmlformats.org/spreadsheetml/2006/main" headerRowCount="0" ref="A24:A31" displayName="Table_2" name="Table_2" id="2">
  <tableColumns count="1">
    <tableColumn name="Column1" id="1"/>
  </tableColumns>
  <tableStyleInfo name="BettingScoreboard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:G2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etting SETUP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4:B13" displayName="Table_4" name="Table_4" id="4">
  <tableColumns count="2">
    <tableColumn name="Column1" id="1"/>
    <tableColumn name="Column2" id="2"/>
  </tableColumns>
  <tableStyleInfo name="Betting SETUP-style 2" showColumnStripes="0" showFirstColumn="1" showLastColumn="1" showRowStripes="1"/>
</table>
</file>

<file path=xl/tables/table5.xml><?xml version="1.0" encoding="utf-8"?>
<table xmlns="http://schemas.openxmlformats.org/spreadsheetml/2006/main" headerRowCount="0" ref="C4:D13" displayName="Table_5" name="Table_5" id="5">
  <tableColumns count="2">
    <tableColumn name="Column1" id="1"/>
    <tableColumn name="Column2" id="2"/>
  </tableColumns>
  <tableStyleInfo name="Betting SETUP-style 3" showColumnStripes="0" showFirstColumn="1" showLastColumn="1" showRowStripes="1"/>
</table>
</file>

<file path=xl/tables/table6.xml><?xml version="1.0" encoding="utf-8"?>
<table xmlns="http://schemas.openxmlformats.org/spreadsheetml/2006/main" headerRowCount="0" ref="E4:F13" displayName="Table_6" name="Table_6" id="6">
  <tableColumns count="2">
    <tableColumn name="Column1" id="1"/>
    <tableColumn name="Column2" id="2"/>
  </tableColumns>
  <tableStyleInfo name="Betting SETUP-style 4" showColumnStripes="0" showFirstColumn="1" showLastColumn="1" showRowStripes="1"/>
</table>
</file>

<file path=xl/tables/table7.xml><?xml version="1.0" encoding="utf-8"?>
<table xmlns="http://schemas.openxmlformats.org/spreadsheetml/2006/main" headerRowCount="0" ref="G4:G13" displayName="Table_7" name="Table_7" id="7">
  <tableColumns count="1">
    <tableColumn name="Column1" id="1"/>
  </tableColumns>
  <tableStyleInfo name="Betting SETUP-style 5" showColumnStripes="0" showFirstColumn="1" showLastColumn="1" showRowStripes="1"/>
</table>
</file>

<file path=xl/tables/table8.xml><?xml version="1.0" encoding="utf-8"?>
<table xmlns="http://schemas.openxmlformats.org/spreadsheetml/2006/main" headerRowCount="0" ref="H4:H13" displayName="Table_8" name="Table_8" id="8">
  <tableColumns count="1">
    <tableColumn name="Column1" id="1"/>
  </tableColumns>
  <tableStyleInfo name="Betting SETUP-style 6" showColumnStripes="0" showFirstColumn="1" showLastColumn="1" showRowStripes="1"/>
</table>
</file>

<file path=xl/tables/table9.xml><?xml version="1.0" encoding="utf-8"?>
<table xmlns="http://schemas.openxmlformats.org/spreadsheetml/2006/main" headerRowCount="0" ref="I4:K13" displayName="Table_9" name="Table_9" id="9">
  <tableColumns count="3">
    <tableColumn name="Column1" id="1"/>
    <tableColumn name="Column2" id="2"/>
    <tableColumn name="Column3" id="3"/>
  </tableColumns>
  <tableStyleInfo name="Betting SETUP-style 7" showColumnStripes="0" showFirstColumn="1" showLastColumn="1" showRowStripes="1"/>
</table>
</file>

<file path=xl/tables/table10.xml><?xml version="1.0" encoding="utf-8"?>
<table xmlns="http://schemas.openxmlformats.org/spreadsheetml/2006/main" headerRowCount="0" ref="L4:L13" displayName="Table_10" name="Table_10" id="10">
  <tableColumns count="1">
    <tableColumn name="Column1" id="1"/>
  </tableColumns>
  <tableStyleInfo name="Betting SETUP-style 8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15" Type="http://schemas.openxmlformats.org/officeDocument/2006/relationships/table" Target="../tables/table8.xml"/><Relationship Id="rId14" Type="http://schemas.openxmlformats.org/officeDocument/2006/relationships/table" Target="../tables/table7.xml"/><Relationship Id="rId17" Type="http://schemas.openxmlformats.org/officeDocument/2006/relationships/table" Target="../tables/table10.xml"/><Relationship Id="rId16" Type="http://schemas.openxmlformats.org/officeDocument/2006/relationships/table" Target="../tables/table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9.14"/>
    <col customWidth="1" min="2" max="3" width="13.43"/>
    <col customWidth="1" min="4" max="4" width="24.14"/>
    <col customWidth="1" min="5" max="8" width="13.43"/>
  </cols>
  <sheetData>
    <row r="1" ht="39.0" customHeight="1">
      <c r="A1" s="1" t="s">
        <v>0</v>
      </c>
      <c r="B1" s="2"/>
      <c r="C1" s="2"/>
      <c r="D1" s="2"/>
      <c r="E1" s="2"/>
      <c r="F1" s="2"/>
      <c r="G1" s="2"/>
      <c r="H1" s="3"/>
    </row>
    <row r="2" ht="23.25" customHeight="1">
      <c r="A2" s="4" t="s">
        <v>1</v>
      </c>
      <c r="B2" s="4" t="s">
        <v>2</v>
      </c>
      <c r="C2" s="4" t="s">
        <v>3</v>
      </c>
      <c r="D2" s="4" t="s">
        <v>4</v>
      </c>
      <c r="E2" s="5" t="str">
        <f>Scorecards!C1</f>
        <v>TULLYMORE</v>
      </c>
      <c r="F2" s="5" t="str">
        <f>Scorecards!C15</f>
        <v>ST IVES</v>
      </c>
      <c r="G2" s="5" t="str">
        <f>Scorecards!C29</f>
        <v>TULLYMORE</v>
      </c>
      <c r="H2" s="5" t="str">
        <f>Scorecards!C43</f>
        <v>ST IVES</v>
      </c>
    </row>
    <row r="3" ht="26.25" customHeight="1">
      <c r="A3" s="6">
        <f>VLOOKUP(D3,ScoresFullNameFirst,2,FALSE)</f>
        <v>1</v>
      </c>
      <c r="B3" s="7">
        <f>VLOOKUP(D3,ScoresFullNameFirst,12,FALSE)</f>
        <v>328</v>
      </c>
      <c r="C3" s="8">
        <f>SUM((IF(E3="",0,Scorecards!$X$3-E3)),(IF(F3="",0,Scorecards!$X$17-F3)),(IF(G3="",0,Scorecards!$X$31-G3)),(IF(H3="",0,Scorecards!$X$45-H3)))*-1</f>
        <v>12</v>
      </c>
      <c r="D3" s="9" t="str">
        <f>VLOOKUP((ROW()-2),ScoresRankFirst,2,FALSE)</f>
        <v>Scott R</v>
      </c>
      <c r="E3" s="10">
        <f>VLOOKUP(D3,ScoresFullNameFirst,5,FALSE)</f>
        <v>73</v>
      </c>
      <c r="F3" s="10">
        <f>VLOOKUP(D3,ScoresFullNameFirst,7,FALSE)</f>
        <v>76</v>
      </c>
      <c r="G3" s="10">
        <f>VLOOKUP(D3,ScoresFullNameFirst,9,FALSE)</f>
        <v>74</v>
      </c>
      <c r="H3" s="10">
        <f>VLOOKUP(D3,ScoresFullNameFirst,11,FALSE)</f>
        <v>77</v>
      </c>
    </row>
    <row r="4" ht="26.25" customHeight="1">
      <c r="A4" s="6">
        <f>VLOOKUP(D4,ScoresFullNameFirst,2,FALSE)</f>
        <v>2</v>
      </c>
      <c r="B4" s="7">
        <f>VLOOKUP(D4,ScoresFullNameFirst,12,FALSE)</f>
        <v>365</v>
      </c>
      <c r="C4" s="8">
        <f>SUM((IF(E4="",0,Scorecards!$X$3-E4)),(IF(F4="",0,Scorecards!$X$17-F4)),(IF(G4="",0,Scorecards!$X$31-G4)),(IF(H4="",0,Scorecards!$X$45-H4)))*-1</f>
        <v>17</v>
      </c>
      <c r="D4" s="9" t="str">
        <f>VLOOKUP((ROW()-2),ScoresRankFirst,2,FALSE)</f>
        <v>Brian K</v>
      </c>
      <c r="E4" s="10">
        <f>VLOOKUP(D4,ScoresFullNameFirst,5,FALSE)</f>
        <v>84</v>
      </c>
      <c r="F4" s="10">
        <f>VLOOKUP(D4,ScoresFullNameFirst,7,FALSE)</f>
        <v>71</v>
      </c>
      <c r="G4" s="10">
        <f>VLOOKUP(D4,ScoresFullNameFirst,9,FALSE)</f>
        <v>78</v>
      </c>
      <c r="H4" s="10">
        <f>VLOOKUP(D4,ScoresFullNameFirst,11,FALSE)</f>
        <v>72</v>
      </c>
    </row>
    <row r="5" ht="26.25" customHeight="1">
      <c r="A5" s="6">
        <f>VLOOKUP(D5,ScoresFullNameFirst,2,FALSE)</f>
        <v>3</v>
      </c>
      <c r="B5" s="7">
        <f>VLOOKUP(D5,ScoresFullNameFirst,12,FALSE)</f>
        <v>344</v>
      </c>
      <c r="C5" s="8">
        <f>SUM((IF(E5="",0,Scorecards!$X$3-E5)),(IF(F5="",0,Scorecards!$X$17-F5)),(IF(G5="",0,Scorecards!$X$31-G5)),(IF(H5="",0,Scorecards!$X$45-H5)))*-1</f>
        <v>28</v>
      </c>
      <c r="D5" s="9" t="str">
        <f>VLOOKUP((ROW()-2),ScoresRankFirst,2,FALSE)</f>
        <v>Aaron J</v>
      </c>
      <c r="E5" s="10">
        <f>VLOOKUP(D5,ScoresFullNameFirst,5,FALSE)</f>
        <v>84</v>
      </c>
      <c r="F5" s="10">
        <f>VLOOKUP(D5,ScoresFullNameFirst,7,FALSE)</f>
        <v>74</v>
      </c>
      <c r="G5" s="10">
        <f>VLOOKUP(D5,ScoresFullNameFirst,9,FALSE)</f>
        <v>73</v>
      </c>
      <c r="H5" s="10">
        <f>VLOOKUP(D5,ScoresFullNameFirst,11,FALSE)</f>
        <v>85</v>
      </c>
    </row>
    <row r="6" ht="26.25" customHeight="1">
      <c r="A6" s="6">
        <f>VLOOKUP(D6,ScoresFullNameFirst,2,FALSE)</f>
        <v>4</v>
      </c>
      <c r="B6" s="7">
        <f>VLOOKUP(D6,ScoresFullNameFirst,12,FALSE)</f>
        <v>373</v>
      </c>
      <c r="C6" s="8">
        <f>SUM((IF(E6="",0,Scorecards!$X$3-E6)),(IF(F6="",0,Scorecards!$X$17-F6)),(IF(G6="",0,Scorecards!$X$31-G6)),(IF(H6="",0,Scorecards!$X$45-H6)))*-1</f>
        <v>37</v>
      </c>
      <c r="D6" s="9" t="str">
        <f>VLOOKUP((ROW()-2),ScoresRankFirst,2,FALSE)</f>
        <v>John C</v>
      </c>
      <c r="E6" s="10">
        <f>VLOOKUP(D6,ScoresFullNameFirst,5,FALSE)</f>
        <v>79</v>
      </c>
      <c r="F6" s="10">
        <f>VLOOKUP(D6,ScoresFullNameFirst,7,FALSE)</f>
        <v>81</v>
      </c>
      <c r="G6" s="10">
        <f>VLOOKUP(D6,ScoresFullNameFirst,9,FALSE)</f>
        <v>91</v>
      </c>
      <c r="H6" s="10">
        <f>VLOOKUP(D6,ScoresFullNameFirst,11,FALSE)</f>
        <v>74</v>
      </c>
    </row>
    <row r="7" ht="26.25" customHeight="1">
      <c r="A7" s="6">
        <f>VLOOKUP(D7,ScoresFullNameFirst,2,FALSE)</f>
        <v>5</v>
      </c>
      <c r="B7" s="7">
        <f>VLOOKUP(D7,ScoresFullNameFirst,12,FALSE)</f>
        <v>399</v>
      </c>
      <c r="C7" s="8">
        <f>SUM((IF(E7="",0,Scorecards!$X$3-E7)),(IF(F7="",0,Scorecards!$X$17-F7)),(IF(G7="",0,Scorecards!$X$31-G7)),(IF(H7="",0,Scorecards!$X$45-H7)))*-1</f>
        <v>43</v>
      </c>
      <c r="D7" s="9" t="str">
        <f>VLOOKUP((ROW()-2),ScoresRankFirst,2,FALSE)</f>
        <v>Eric O</v>
      </c>
      <c r="E7" s="10">
        <f>VLOOKUP(D7,ScoresFullNameFirst,5,FALSE)</f>
        <v>84</v>
      </c>
      <c r="F7" s="10">
        <f>VLOOKUP(D7,ScoresFullNameFirst,7,FALSE)</f>
        <v>84</v>
      </c>
      <c r="G7" s="10">
        <f>VLOOKUP(D7,ScoresFullNameFirst,9,FALSE)</f>
        <v>77</v>
      </c>
      <c r="H7" s="10">
        <f>VLOOKUP(D7,ScoresFullNameFirst,11,FALSE)</f>
        <v>86</v>
      </c>
    </row>
    <row r="8" ht="26.25" customHeight="1">
      <c r="A8" s="6">
        <f>VLOOKUP(D8,ScoresFullNameFirst,2,FALSE)</f>
        <v>6</v>
      </c>
      <c r="B8" s="7">
        <f>VLOOKUP(D8,ScoresFullNameFirst,12,FALSE)</f>
        <v>396</v>
      </c>
      <c r="C8" s="8">
        <f>SUM((IF(E8="",0,Scorecards!$X$3-E8)),(IF(F8="",0,Scorecards!$X$17-F8)),(IF(G8="",0,Scorecards!$X$31-G8)),(IF(H8="",0,Scorecards!$X$45-H8)))*-1</f>
        <v>48</v>
      </c>
      <c r="D8" s="9" t="str">
        <f>VLOOKUP((ROW()-2),ScoresRankFirst,2,FALSE)</f>
        <v>Bob B</v>
      </c>
      <c r="E8" s="10">
        <f>VLOOKUP(D8,ScoresFullNameFirst,5,FALSE)</f>
        <v>76</v>
      </c>
      <c r="F8" s="10">
        <f>VLOOKUP(D8,ScoresFullNameFirst,7,FALSE)</f>
        <v>80</v>
      </c>
      <c r="G8" s="10">
        <f>VLOOKUP(D8,ScoresFullNameFirst,9,FALSE)</f>
        <v>94</v>
      </c>
      <c r="H8" s="10">
        <f>VLOOKUP(D8,ScoresFullNameFirst,11,FALSE)</f>
        <v>86</v>
      </c>
    </row>
    <row r="9" ht="26.25" customHeight="1">
      <c r="A9" s="6">
        <f>VLOOKUP(D9,ScoresFullNameFirst,2,FALSE)</f>
        <v>6</v>
      </c>
      <c r="B9" s="7">
        <f>VLOOKUP(D9,ScoresFullNameFirst,12,FALSE)</f>
        <v>396</v>
      </c>
      <c r="C9" s="8">
        <f>SUM((IF(E9="",0,Scorecards!$X$3-E9)),(IF(F9="",0,Scorecards!$X$17-F9)),(IF(G9="",0,Scorecards!$X$31-G9)),(IF(H9="",0,Scorecards!$X$45-H9)))*-1</f>
        <v>48</v>
      </c>
      <c r="D9" s="9" t="str">
        <f>VLOOKUP((ROW()-2),ScoresRankFirst,2,FALSE)</f>
        <v>Jeff B</v>
      </c>
      <c r="E9" s="10">
        <f>VLOOKUP(D9,ScoresFullNameFirst,5,FALSE)</f>
        <v>77</v>
      </c>
      <c r="F9" s="10">
        <f>VLOOKUP(D9,ScoresFullNameFirst,7,FALSE)</f>
        <v>84</v>
      </c>
      <c r="G9" s="10">
        <f>VLOOKUP(D9,ScoresFullNameFirst,9,FALSE)</f>
        <v>89</v>
      </c>
      <c r="H9" s="10">
        <f>VLOOKUP(D9,ScoresFullNameFirst,11,FALSE)</f>
        <v>86</v>
      </c>
    </row>
    <row r="10" ht="26.25" customHeight="1">
      <c r="A10" s="6">
        <f>VLOOKUP(D10,ScoresFullNameFirst,2,FALSE)</f>
        <v>8</v>
      </c>
      <c r="B10" s="7">
        <f>VLOOKUP(D10,ScoresFullNameFirst,12,FALSE)</f>
        <v>402</v>
      </c>
      <c r="C10" s="8">
        <f>SUM((IF(E10="",0,Scorecards!$X$3-E10)),(IF(F10="",0,Scorecards!$X$17-F10)),(IF(G10="",0,Scorecards!$X$31-G10)),(IF(H10="",0,Scorecards!$X$45-H10)))*-1</f>
        <v>50</v>
      </c>
      <c r="D10" s="9" t="str">
        <f>VLOOKUP((ROW()-2),ScoresRankFirst,2,FALSE)</f>
        <v>Andy V</v>
      </c>
      <c r="E10" s="10">
        <f>VLOOKUP(D10,ScoresFullNameFirst,5,FALSE)</f>
        <v>82</v>
      </c>
      <c r="F10" s="10">
        <f>VLOOKUP(D10,ScoresFullNameFirst,7,FALSE)</f>
        <v>84</v>
      </c>
      <c r="G10" s="10">
        <f>VLOOKUP(D10,ScoresFullNameFirst,9,FALSE)</f>
        <v>95</v>
      </c>
      <c r="H10" s="10">
        <f>VLOOKUP(D10,ScoresFullNameFirst,11,FALSE)</f>
        <v>77</v>
      </c>
    </row>
  </sheetData>
  <mergeCells count="1">
    <mergeCell ref="A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1.86"/>
    <col customWidth="1" min="2" max="21" width="5.0"/>
    <col customWidth="1" min="22" max="23" width="3.57"/>
    <col customWidth="1" min="24" max="25" width="7.43"/>
  </cols>
  <sheetData>
    <row r="1" ht="12.75" customHeight="1">
      <c r="A1" s="11"/>
      <c r="B1" s="11"/>
      <c r="C1" s="12" t="str">
        <f>'Players and Handis SETUP'!D1</f>
        <v>TULLYMORE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4"/>
      <c r="X1" s="15">
        <v>71.2</v>
      </c>
      <c r="Y1" s="15">
        <v>141.0</v>
      </c>
    </row>
    <row r="2" ht="12.75" customHeight="1">
      <c r="A2" s="11"/>
      <c r="B2" s="11"/>
      <c r="C2" s="16" t="s">
        <v>5</v>
      </c>
      <c r="D2" s="17">
        <v>1.0</v>
      </c>
      <c r="E2" s="17">
        <v>2.0</v>
      </c>
      <c r="F2" s="17">
        <v>3.0</v>
      </c>
      <c r="G2" s="17">
        <v>4.0</v>
      </c>
      <c r="H2" s="17">
        <v>5.0</v>
      </c>
      <c r="I2" s="17">
        <v>6.0</v>
      </c>
      <c r="J2" s="17">
        <v>7.0</v>
      </c>
      <c r="K2" s="17">
        <v>8.0</v>
      </c>
      <c r="L2" s="17">
        <v>9.0</v>
      </c>
      <c r="M2" s="17">
        <v>10.0</v>
      </c>
      <c r="N2" s="17">
        <v>11.0</v>
      </c>
      <c r="O2" s="17">
        <v>12.0</v>
      </c>
      <c r="P2" s="17">
        <v>13.0</v>
      </c>
      <c r="Q2" s="17">
        <v>14.0</v>
      </c>
      <c r="R2" s="17">
        <v>15.0</v>
      </c>
      <c r="S2" s="17">
        <v>16.0</v>
      </c>
      <c r="T2" s="17">
        <v>17.0</v>
      </c>
      <c r="U2" s="17">
        <v>18.0</v>
      </c>
      <c r="V2" s="17" t="s">
        <v>6</v>
      </c>
      <c r="W2" s="17" t="s">
        <v>7</v>
      </c>
      <c r="X2" s="17" t="s">
        <v>8</v>
      </c>
      <c r="Y2" s="17" t="s">
        <v>9</v>
      </c>
    </row>
    <row r="3" ht="12.75" customHeight="1">
      <c r="A3" s="18" t="s">
        <v>10</v>
      </c>
      <c r="B3" s="18" t="s">
        <v>11</v>
      </c>
      <c r="C3" s="19" t="s">
        <v>12</v>
      </c>
      <c r="D3" s="20">
        <v>5.0</v>
      </c>
      <c r="E3" s="20">
        <v>4.0</v>
      </c>
      <c r="F3" s="20">
        <v>4.0</v>
      </c>
      <c r="G3" s="20">
        <v>3.0</v>
      </c>
      <c r="H3" s="20">
        <v>3.0</v>
      </c>
      <c r="I3" s="20">
        <v>4.0</v>
      </c>
      <c r="J3" s="20">
        <v>3.0</v>
      </c>
      <c r="K3" s="20">
        <v>5.0</v>
      </c>
      <c r="L3" s="20">
        <v>4.0</v>
      </c>
      <c r="M3" s="21">
        <v>4.0</v>
      </c>
      <c r="N3" s="20">
        <v>4.0</v>
      </c>
      <c r="O3" s="20">
        <v>3.0</v>
      </c>
      <c r="P3" s="20">
        <v>5.0</v>
      </c>
      <c r="Q3" s="20">
        <v>4.0</v>
      </c>
      <c r="R3" s="20">
        <v>3.0</v>
      </c>
      <c r="S3" s="20">
        <v>5.0</v>
      </c>
      <c r="T3" s="20">
        <v>4.0</v>
      </c>
      <c r="U3" s="20">
        <v>5.0</v>
      </c>
      <c r="V3" s="21">
        <f t="shared" ref="V3:V11" si="1">SUM(D3:L3)</f>
        <v>35</v>
      </c>
      <c r="W3" s="21">
        <f t="shared" ref="W3:W11" si="2">SUM(M3:U3)</f>
        <v>37</v>
      </c>
      <c r="X3" s="21">
        <f>V3+W3</f>
        <v>72</v>
      </c>
      <c r="Y3" s="21"/>
    </row>
    <row r="4" ht="12.75" customHeight="1">
      <c r="A4" s="22" t="s">
        <v>13</v>
      </c>
      <c r="B4" s="23">
        <v>7.0</v>
      </c>
      <c r="C4" s="19"/>
      <c r="D4" s="24">
        <v>5.0</v>
      </c>
      <c r="E4" s="24">
        <v>5.0</v>
      </c>
      <c r="F4" s="24">
        <v>5.0</v>
      </c>
      <c r="G4" s="24">
        <v>5.0</v>
      </c>
      <c r="H4" s="24">
        <v>3.0</v>
      </c>
      <c r="I4" s="24">
        <v>4.0</v>
      </c>
      <c r="J4" s="24">
        <v>3.0</v>
      </c>
      <c r="K4" s="24">
        <v>6.0</v>
      </c>
      <c r="L4" s="24">
        <v>4.0</v>
      </c>
      <c r="M4" s="24">
        <v>7.0</v>
      </c>
      <c r="N4" s="24">
        <v>5.0</v>
      </c>
      <c r="O4" s="24">
        <v>5.0</v>
      </c>
      <c r="P4" s="24">
        <v>7.0</v>
      </c>
      <c r="Q4" s="24">
        <v>4.0</v>
      </c>
      <c r="R4" s="24">
        <v>4.0</v>
      </c>
      <c r="S4" s="24">
        <v>6.0</v>
      </c>
      <c r="T4" s="24">
        <v>6.0</v>
      </c>
      <c r="U4" s="24">
        <v>7.0</v>
      </c>
      <c r="V4" s="25">
        <f t="shared" si="1"/>
        <v>40</v>
      </c>
      <c r="W4" s="25">
        <f t="shared" si="2"/>
        <v>51</v>
      </c>
      <c r="X4" s="25">
        <f t="shared" ref="X4:X11" si="3">IF(W4&gt;0,V4+W4,"")</f>
        <v>91</v>
      </c>
      <c r="Y4" s="26">
        <f t="shared" ref="Y4:Y11" si="4">IF(W4=0,"",X4-B4)</f>
        <v>84</v>
      </c>
    </row>
    <row r="5" ht="12.75" customHeight="1">
      <c r="A5" s="27" t="s">
        <v>14</v>
      </c>
      <c r="B5" s="28">
        <v>16.0</v>
      </c>
      <c r="C5" s="19"/>
      <c r="D5" s="29">
        <v>6.0</v>
      </c>
      <c r="E5" s="29">
        <v>6.0</v>
      </c>
      <c r="F5" s="29">
        <v>4.0</v>
      </c>
      <c r="G5" s="29">
        <v>6.0</v>
      </c>
      <c r="H5" s="29">
        <v>4.0</v>
      </c>
      <c r="I5" s="29">
        <v>7.0</v>
      </c>
      <c r="J5" s="29">
        <v>3.0</v>
      </c>
      <c r="K5" s="29">
        <v>6.0</v>
      </c>
      <c r="L5" s="29">
        <v>7.0</v>
      </c>
      <c r="M5" s="29">
        <v>5.0</v>
      </c>
      <c r="N5" s="29">
        <v>5.0</v>
      </c>
      <c r="O5" s="29">
        <v>4.0</v>
      </c>
      <c r="P5" s="29">
        <v>8.0</v>
      </c>
      <c r="Q5" s="29">
        <v>4.0</v>
      </c>
      <c r="R5" s="29">
        <v>4.0</v>
      </c>
      <c r="S5" s="29">
        <v>8.0</v>
      </c>
      <c r="T5" s="29">
        <v>4.0</v>
      </c>
      <c r="U5" s="29">
        <v>7.0</v>
      </c>
      <c r="V5" s="30">
        <f t="shared" si="1"/>
        <v>49</v>
      </c>
      <c r="W5" s="30">
        <f t="shared" si="2"/>
        <v>49</v>
      </c>
      <c r="X5" s="30">
        <f t="shared" si="3"/>
        <v>98</v>
      </c>
      <c r="Y5" s="31">
        <f t="shared" si="4"/>
        <v>82</v>
      </c>
    </row>
    <row r="6" ht="12.75" customHeight="1">
      <c r="A6" s="22" t="s">
        <v>15</v>
      </c>
      <c r="B6" s="23">
        <v>15.0</v>
      </c>
      <c r="C6" s="19"/>
      <c r="D6" s="24">
        <v>6.0</v>
      </c>
      <c r="E6" s="24">
        <v>6.0</v>
      </c>
      <c r="F6" s="24">
        <v>6.0</v>
      </c>
      <c r="G6" s="24">
        <v>4.0</v>
      </c>
      <c r="H6" s="24">
        <v>4.0</v>
      </c>
      <c r="I6" s="24">
        <v>5.0</v>
      </c>
      <c r="J6" s="24">
        <v>3.0</v>
      </c>
      <c r="K6" s="24">
        <v>6.0</v>
      </c>
      <c r="L6" s="24">
        <v>7.0</v>
      </c>
      <c r="M6" s="24">
        <v>5.0</v>
      </c>
      <c r="N6" s="24">
        <v>5.0</v>
      </c>
      <c r="O6" s="24">
        <v>3.0</v>
      </c>
      <c r="P6" s="24">
        <v>7.0</v>
      </c>
      <c r="Q6" s="24">
        <v>4.0</v>
      </c>
      <c r="R6" s="24">
        <v>3.0</v>
      </c>
      <c r="S6" s="24">
        <v>6.0</v>
      </c>
      <c r="T6" s="24">
        <v>4.0</v>
      </c>
      <c r="U6" s="24">
        <v>7.0</v>
      </c>
      <c r="V6" s="25">
        <f t="shared" si="1"/>
        <v>47</v>
      </c>
      <c r="W6" s="25">
        <f t="shared" si="2"/>
        <v>44</v>
      </c>
      <c r="X6" s="25">
        <f t="shared" si="3"/>
        <v>91</v>
      </c>
      <c r="Y6" s="26">
        <f t="shared" si="4"/>
        <v>76</v>
      </c>
    </row>
    <row r="7" ht="12.75" customHeight="1">
      <c r="A7" s="27" t="s">
        <v>16</v>
      </c>
      <c r="B7" s="28">
        <v>15.0</v>
      </c>
      <c r="C7" s="19"/>
      <c r="D7" s="29">
        <v>8.0</v>
      </c>
      <c r="E7" s="29">
        <v>7.0</v>
      </c>
      <c r="F7" s="29">
        <v>8.0</v>
      </c>
      <c r="G7" s="29">
        <v>4.0</v>
      </c>
      <c r="H7" s="29">
        <v>4.0</v>
      </c>
      <c r="I7" s="29">
        <v>5.0</v>
      </c>
      <c r="J7" s="29">
        <v>3.0</v>
      </c>
      <c r="K7" s="29">
        <v>8.0</v>
      </c>
      <c r="L7" s="29">
        <v>5.0</v>
      </c>
      <c r="M7" s="29">
        <v>10.0</v>
      </c>
      <c r="N7" s="29">
        <v>5.0</v>
      </c>
      <c r="O7" s="29">
        <v>2.0</v>
      </c>
      <c r="P7" s="29">
        <v>6.0</v>
      </c>
      <c r="Q7" s="29">
        <v>5.0</v>
      </c>
      <c r="R7" s="29">
        <v>4.0</v>
      </c>
      <c r="S7" s="29">
        <v>4.0</v>
      </c>
      <c r="T7" s="29">
        <v>6.0</v>
      </c>
      <c r="U7" s="29">
        <v>5.0</v>
      </c>
      <c r="V7" s="30">
        <f t="shared" si="1"/>
        <v>52</v>
      </c>
      <c r="W7" s="30">
        <f t="shared" si="2"/>
        <v>47</v>
      </c>
      <c r="X7" s="30">
        <f t="shared" si="3"/>
        <v>99</v>
      </c>
      <c r="Y7" s="31">
        <f t="shared" si="4"/>
        <v>84</v>
      </c>
    </row>
    <row r="8" ht="12.75" customHeight="1">
      <c r="A8" s="22" t="s">
        <v>17</v>
      </c>
      <c r="B8" s="23">
        <v>17.0</v>
      </c>
      <c r="C8" s="19"/>
      <c r="D8" s="24">
        <v>7.0</v>
      </c>
      <c r="E8" s="24">
        <v>6.0</v>
      </c>
      <c r="F8" s="24">
        <v>8.0</v>
      </c>
      <c r="G8" s="24">
        <v>4.0</v>
      </c>
      <c r="H8" s="24">
        <v>4.0</v>
      </c>
      <c r="I8" s="24">
        <v>7.0</v>
      </c>
      <c r="J8" s="24">
        <v>7.0</v>
      </c>
      <c r="K8" s="24">
        <v>6.0</v>
      </c>
      <c r="L8" s="24">
        <v>3.0</v>
      </c>
      <c r="M8" s="24">
        <v>4.0</v>
      </c>
      <c r="N8" s="24">
        <v>5.0</v>
      </c>
      <c r="O8" s="24">
        <v>4.0</v>
      </c>
      <c r="P8" s="24">
        <v>5.0</v>
      </c>
      <c r="Q8" s="24">
        <v>6.0</v>
      </c>
      <c r="R8" s="24">
        <v>5.0</v>
      </c>
      <c r="S8" s="24">
        <v>7.0</v>
      </c>
      <c r="T8" s="24">
        <v>7.0</v>
      </c>
      <c r="U8" s="24">
        <v>6.0</v>
      </c>
      <c r="V8" s="25">
        <f t="shared" si="1"/>
        <v>52</v>
      </c>
      <c r="W8" s="25">
        <f t="shared" si="2"/>
        <v>49</v>
      </c>
      <c r="X8" s="25">
        <f t="shared" si="3"/>
        <v>101</v>
      </c>
      <c r="Y8" s="26">
        <f t="shared" si="4"/>
        <v>84</v>
      </c>
    </row>
    <row r="9" ht="12.75" customHeight="1">
      <c r="A9" s="32" t="s">
        <v>18</v>
      </c>
      <c r="B9" s="28">
        <v>15.0</v>
      </c>
      <c r="C9" s="19"/>
      <c r="D9" s="29">
        <v>5.0</v>
      </c>
      <c r="E9" s="29">
        <v>5.0</v>
      </c>
      <c r="F9" s="29">
        <v>5.0</v>
      </c>
      <c r="G9" s="29">
        <v>3.0</v>
      </c>
      <c r="H9" s="29">
        <v>4.0</v>
      </c>
      <c r="I9" s="29">
        <v>4.0</v>
      </c>
      <c r="J9" s="29">
        <v>3.0</v>
      </c>
      <c r="K9" s="29">
        <v>6.0</v>
      </c>
      <c r="L9" s="29">
        <v>4.0</v>
      </c>
      <c r="M9" s="29">
        <v>9.0</v>
      </c>
      <c r="N9" s="29">
        <v>4.0</v>
      </c>
      <c r="O9" s="29">
        <v>4.0</v>
      </c>
      <c r="P9" s="29">
        <v>7.0</v>
      </c>
      <c r="Q9" s="29">
        <v>7.0</v>
      </c>
      <c r="R9" s="29">
        <v>5.0</v>
      </c>
      <c r="S9" s="29">
        <v>5.0</v>
      </c>
      <c r="T9" s="29">
        <v>6.0</v>
      </c>
      <c r="U9" s="29">
        <v>6.0</v>
      </c>
      <c r="V9" s="30">
        <f t="shared" si="1"/>
        <v>39</v>
      </c>
      <c r="W9" s="30">
        <f t="shared" si="2"/>
        <v>53</v>
      </c>
      <c r="X9" s="30">
        <f t="shared" si="3"/>
        <v>92</v>
      </c>
      <c r="Y9" s="31">
        <f t="shared" si="4"/>
        <v>77</v>
      </c>
    </row>
    <row r="10" ht="12.75" customHeight="1">
      <c r="A10" s="33" t="s">
        <v>19</v>
      </c>
      <c r="B10" s="23">
        <v>12.0</v>
      </c>
      <c r="C10" s="19"/>
      <c r="D10" s="24">
        <v>7.0</v>
      </c>
      <c r="E10" s="24">
        <v>5.0</v>
      </c>
      <c r="F10" s="24">
        <v>5.0</v>
      </c>
      <c r="G10" s="24">
        <v>3.0</v>
      </c>
      <c r="H10" s="24">
        <v>3.0</v>
      </c>
      <c r="I10" s="24">
        <v>4.0</v>
      </c>
      <c r="J10" s="24">
        <v>4.0</v>
      </c>
      <c r="K10" s="24">
        <v>7.0</v>
      </c>
      <c r="L10" s="24">
        <v>4.0</v>
      </c>
      <c r="M10" s="24">
        <v>6.0</v>
      </c>
      <c r="N10" s="24">
        <v>5.0</v>
      </c>
      <c r="O10" s="24">
        <v>4.0</v>
      </c>
      <c r="P10" s="24">
        <v>7.0</v>
      </c>
      <c r="Q10" s="24">
        <v>5.0</v>
      </c>
      <c r="R10" s="24">
        <v>4.0</v>
      </c>
      <c r="S10" s="24">
        <v>6.0</v>
      </c>
      <c r="T10" s="24">
        <v>5.0</v>
      </c>
      <c r="U10" s="24">
        <v>7.0</v>
      </c>
      <c r="V10" s="25">
        <f t="shared" si="1"/>
        <v>42</v>
      </c>
      <c r="W10" s="25">
        <f t="shared" si="2"/>
        <v>49</v>
      </c>
      <c r="X10" s="25">
        <f t="shared" si="3"/>
        <v>91</v>
      </c>
      <c r="Y10" s="26">
        <f t="shared" si="4"/>
        <v>79</v>
      </c>
    </row>
    <row r="11" ht="12.75" customHeight="1">
      <c r="A11" s="32" t="s">
        <v>20</v>
      </c>
      <c r="B11" s="28">
        <v>7.0</v>
      </c>
      <c r="C11" s="19"/>
      <c r="D11" s="29">
        <v>6.0</v>
      </c>
      <c r="E11" s="29">
        <v>4.0</v>
      </c>
      <c r="F11" s="29">
        <v>5.0</v>
      </c>
      <c r="G11" s="29">
        <v>4.0</v>
      </c>
      <c r="H11" s="29">
        <v>4.0</v>
      </c>
      <c r="I11" s="29">
        <v>4.0</v>
      </c>
      <c r="J11" s="29">
        <v>3.0</v>
      </c>
      <c r="K11" s="29">
        <v>5.0</v>
      </c>
      <c r="L11" s="29">
        <v>7.0</v>
      </c>
      <c r="M11" s="29">
        <v>5.0</v>
      </c>
      <c r="N11" s="29">
        <v>4.0</v>
      </c>
      <c r="O11" s="29">
        <v>3.0</v>
      </c>
      <c r="P11" s="29">
        <v>6.0</v>
      </c>
      <c r="Q11" s="29">
        <v>4.0</v>
      </c>
      <c r="R11" s="29">
        <v>3.0</v>
      </c>
      <c r="S11" s="29">
        <v>4.0</v>
      </c>
      <c r="T11" s="29">
        <v>4.0</v>
      </c>
      <c r="U11" s="29">
        <v>5.0</v>
      </c>
      <c r="V11" s="30">
        <f t="shared" si="1"/>
        <v>42</v>
      </c>
      <c r="W11" s="30">
        <f t="shared" si="2"/>
        <v>38</v>
      </c>
      <c r="X11" s="30">
        <f t="shared" si="3"/>
        <v>80</v>
      </c>
      <c r="Y11" s="31">
        <f t="shared" si="4"/>
        <v>73</v>
      </c>
    </row>
    <row r="12" ht="12.75" customHeight="1">
      <c r="A12" s="34"/>
      <c r="B12" s="34"/>
      <c r="C12" s="19" t="s">
        <v>21</v>
      </c>
      <c r="D12" s="21" t="str">
        <f t="array" ref="D12">IF(OR(SUM(IF(IF(SkinsGrossCumulative="Y", D4:D11, 10)=MIN(IF(SkinsGrossCumulative="Y", D4:D11, 10)), 1, 0)) &gt; 1, MIN(IF(SkinsGrossCumulative="Y", D4:D11, 10)) &gt; D3), "", INDEX(PlayersInitials,MATCH(MIN(IF(SkinsGrossCumulative="Y",D4:D11,10)),IF(SkinsGrossCumulative="Y",D4:D11,10),0)))</f>
        <v/>
      </c>
      <c r="E12" s="21" t="str">
        <f t="array" ref="E12">IF(OR(SUM(IF(IF(SkinsGrossCumulative="Y", E4:E11, 10)=MIN(IF(SkinsGrossCumulative="Y", E4:E11, 10)), 1, 0)) &gt; 1, MIN(IF(SkinsGrossCumulative="Y", E4:E11, 10)) &gt; E3), "", INDEX(PlayersInitials,MATCH(MIN(IF(SkinsGrossCumulative="Y",E4:E11,10)),IF(SkinsGrossCumulative="Y",E4:E11,10),0)))</f>
        <v>SR</v>
      </c>
      <c r="F12" s="21" t="str">
        <f t="array" ref="F12">IF(OR(SUM(IF(IF(SkinsGrossCumulative="Y", F4:F11, 10)=MIN(IF(SkinsGrossCumulative="Y", F4:F11, 10)), 1, 0)) &gt; 1, MIN(IF(SkinsGrossCumulative="Y", F4:F11, 10)) &gt; F3), "", INDEX(PlayersInitials,MATCH(MIN(IF(SkinsGrossCumulative="Y",F4:F11,10)),IF(SkinsGrossCumulative="Y",F4:F11,10),0)))</f>
        <v>AV</v>
      </c>
      <c r="G12" s="21" t="str">
        <f t="array" ref="G12">IF(OR(SUM(IF(IF(SkinsGrossCumulative="Y", G4:G11, 10)=MIN(IF(SkinsGrossCumulative="Y", G4:G11, 10)), 1, 0)) &gt; 1, MIN(IF(SkinsGrossCumulative="Y", G4:G11, 10)) &gt; G3), "", INDEX(PlayersInitials,MATCH(MIN(IF(SkinsGrossCumulative="Y",G4:G11,10)),IF(SkinsGrossCumulative="Y",G4:G11,10),0)))</f>
        <v/>
      </c>
      <c r="H12" s="21" t="str">
        <f t="array" ref="H12">IF(OR(SUM(IF(IF(SkinsGrossCumulative="Y", H4:H11, 10)=MIN(IF(SkinsGrossCumulative="Y", H4:H11, 10)), 1, 0)) &gt; 1, MIN(IF(SkinsGrossCumulative="Y", H4:H11, 10)) &gt; H3), "", INDEX(PlayersInitials,MATCH(MIN(IF(SkinsGrossCumulative="Y",H4:H11,10)),IF(SkinsGrossCumulative="Y",H4:H11,10),0)))</f>
        <v/>
      </c>
      <c r="I12" s="21" t="str">
        <f t="array" ref="I12">IF(OR(SUM(IF(IF(SkinsGrossCumulative="Y", I4:I11, 10)=MIN(IF(SkinsGrossCumulative="Y", I4:I11, 10)), 1, 0)) &gt; 1, MIN(IF(SkinsGrossCumulative="Y", I4:I11, 10)) &gt; I3), "", INDEX(PlayersInitials,MATCH(MIN(IF(SkinsGrossCumulative="Y",I4:I11,10)),IF(SkinsGrossCumulative="Y",I4:I11,10),0)))</f>
        <v/>
      </c>
      <c r="J12" s="21" t="str">
        <f t="array" ref="J12">IF(OR(SUM(IF(IF(SkinsGrossCumulative="Y", J4:J11, 10)=MIN(IF(SkinsGrossCumulative="Y", J4:J11, 10)), 1, 0)) &gt; 1, MIN(IF(SkinsGrossCumulative="Y", J4:J11, 10)) &gt; J3), "", INDEX(PlayersInitials,MATCH(MIN(IF(SkinsGrossCumulative="Y",J4:J11,10)),IF(SkinsGrossCumulative="Y",J4:J11,10),0)))</f>
        <v/>
      </c>
      <c r="K12" s="21" t="str">
        <f t="array" ref="K12">IF(OR(SUM(IF(IF(SkinsGrossCumulative="Y", K4:K11, 10)=MIN(IF(SkinsGrossCumulative="Y", K4:K11, 10)), 1, 0)) &gt; 1, MIN(IF(SkinsGrossCumulative="Y", K4:K11, 10)) &gt; K3), "", INDEX(PlayersInitials,MATCH(MIN(IF(SkinsGrossCumulative="Y",K4:K11,10)),IF(SkinsGrossCumulative="Y",K4:K11,10),0)))</f>
        <v>SR</v>
      </c>
      <c r="L12" s="21" t="str">
        <f t="array" ref="L12">IF(OR(SUM(IF(IF(SkinsGrossCumulative="Y", L4:L11, 10)=MIN(IF(SkinsGrossCumulative="Y", L4:L11, 10)), 1, 0)) &gt; 1, MIN(IF(SkinsGrossCumulative="Y", L4:L11, 10)) &gt; L3), "", INDEX(PlayersInitials,MATCH(MIN(IF(SkinsGrossCumulative="Y",L4:L11,10)),IF(SkinsGrossCumulative="Y",L4:L11,10),0)))</f>
        <v>EO</v>
      </c>
      <c r="M12" s="21" t="str">
        <f t="array" ref="M12">IF(OR(SUM(IF(IF(SkinsGrossCumulative="Y", M4:M11, 10)=MIN(IF(SkinsGrossCumulative="Y", M4:M11, 10)), 1, 0)) &gt; 1, MIN(IF(SkinsGrossCumulative="Y", M4:M11, 10)) &gt; M3), "", INDEX(PlayersInitials,MATCH(MIN(IF(SkinsGrossCumulative="Y",M4:M11,10)),IF(SkinsGrossCumulative="Y",M4:M11,10),0)))</f>
        <v>EO</v>
      </c>
      <c r="N12" s="21" t="str">
        <f t="array" ref="N12">IF(OR(SUM(IF(IF(SkinsGrossCumulative="Y", N4:N11, 10)=MIN(IF(SkinsGrossCumulative="Y", N4:N11, 10)), 1, 0)) &gt; 1, MIN(IF(SkinsGrossCumulative="Y", N4:N11, 10)) &gt; N3), "", INDEX(PlayersInitials,MATCH(MIN(IF(SkinsGrossCumulative="Y",N4:N11,10)),IF(SkinsGrossCumulative="Y",N4:N11,10),0)))</f>
        <v/>
      </c>
      <c r="O12" s="21" t="str">
        <f t="array" ref="O12">IF(OR(SUM(IF(IF(SkinsGrossCumulative="Y", O4:O11, 10)=MIN(IF(SkinsGrossCumulative="Y", O4:O11, 10)), 1, 0)) &gt; 1, MIN(IF(SkinsGrossCumulative="Y", O4:O11, 10)) &gt; O3), "", INDEX(PlayersInitials,MATCH(MIN(IF(SkinsGrossCumulative="Y",O4:O11,10)),IF(SkinsGrossCumulative="Y",O4:O11,10),0)))</f>
        <v>BK</v>
      </c>
      <c r="P12" s="21" t="str">
        <f t="array" ref="P12">IF(OR(SUM(IF(IF(SkinsGrossCumulative="Y", P4:P11, 10)=MIN(IF(SkinsGrossCumulative="Y", P4:P11, 10)), 1, 0)) &gt; 1, MIN(IF(SkinsGrossCumulative="Y", P4:P11, 10)) &gt; P3), "", INDEX(PlayersInitials,MATCH(MIN(IF(SkinsGrossCumulative="Y",P4:P11,10)),IF(SkinsGrossCumulative="Y",P4:P11,10),0)))</f>
        <v>EO</v>
      </c>
      <c r="Q12" s="21" t="str">
        <f t="array" ref="Q12">IF(OR(SUM(IF(IF(SkinsGrossCumulative="Y", Q4:Q11, 10)=MIN(IF(SkinsGrossCumulative="Y", Q4:Q11, 10)), 1, 0)) &gt; 1, MIN(IF(SkinsGrossCumulative="Y", Q4:Q11, 10)) &gt; Q3), "", INDEX(PlayersInitials,MATCH(MIN(IF(SkinsGrossCumulative="Y",Q4:Q11,10)),IF(SkinsGrossCumulative="Y",Q4:Q11,10),0)))</f>
        <v/>
      </c>
      <c r="R12" s="21" t="str">
        <f t="array" ref="R12">IF(OR(SUM(IF(IF(SkinsGrossCumulative="Y", R4:R11, 10)=MIN(IF(SkinsGrossCumulative="Y", R4:R11, 10)), 1, 0)) &gt; 1, MIN(IF(SkinsGrossCumulative="Y", R4:R11, 10)) &gt; R3), "", INDEX(PlayersInitials,MATCH(MIN(IF(SkinsGrossCumulative="Y",R4:R11,10)),IF(SkinsGrossCumulative="Y",R4:R11,10),0)))</f>
        <v/>
      </c>
      <c r="S12" s="21" t="str">
        <f t="array" ref="S12">IF(OR(SUM(IF(IF(SkinsGrossCumulative="Y", S4:S11, 10)=MIN(IF(SkinsGrossCumulative="Y", S4:S11, 10)), 1, 0)) &gt; 1, MIN(IF(SkinsGrossCumulative="Y", S4:S11, 10)) &gt; S3), "", INDEX(PlayersInitials,MATCH(MIN(IF(SkinsGrossCumulative="Y",S4:S11,10)),IF(SkinsGrossCumulative="Y",S4:S11,10),0)))</f>
        <v/>
      </c>
      <c r="T12" s="21" t="str">
        <f t="array" ref="T12">IF(OR(SUM(IF(IF(SkinsGrossCumulative="Y", T4:T11, 10)=MIN(IF(SkinsGrossCumulative="Y", T4:T11, 10)), 1, 0)) &gt; 1, MIN(IF(SkinsGrossCumulative="Y", T4:T11, 10)) &gt; T3), "", INDEX(PlayersInitials,MATCH(MIN(IF(SkinsGrossCumulative="Y",T4:T11,10)),IF(SkinsGrossCumulative="Y",T4:T11,10),0)))</f>
        <v/>
      </c>
      <c r="U12" s="21" t="str">
        <f t="array" ref="U12">IF(OR(SUM(IF(IF(SkinsGrossCumulative="Y", U4:U11, 10)=MIN(IF(SkinsGrossCumulative="Y", U4:U11, 10)), 1, 0)) &gt; 1, MIN(IF(SkinsGrossCumulative="Y", U4:U11, 10)) &gt; U3), "", INDEX(PlayersInitials,MATCH(MIN(IF(SkinsGrossCumulative="Y",U4:U11,10)),IF(SkinsGrossCumulative="Y",U4:U11,10),0)))</f>
        <v/>
      </c>
      <c r="V12" s="21"/>
      <c r="W12" s="21"/>
      <c r="X12" s="21">
        <f>18-COUNTBLANK(D12:U12)</f>
        <v>7</v>
      </c>
      <c r="Y12" s="35"/>
    </row>
    <row r="13" ht="12.75" customHeight="1">
      <c r="A13" s="11"/>
      <c r="B13" s="11"/>
      <c r="C13" s="19" t="s">
        <v>22</v>
      </c>
      <c r="D13" s="21"/>
      <c r="E13" s="20"/>
      <c r="F13" s="36"/>
      <c r="G13" s="20"/>
      <c r="H13" s="20"/>
      <c r="I13" s="21"/>
      <c r="J13" s="21"/>
      <c r="K13" s="21"/>
      <c r="L13" s="21"/>
      <c r="M13" s="21"/>
      <c r="N13" s="21"/>
      <c r="O13" s="21"/>
      <c r="P13" s="21"/>
      <c r="Q13" s="21"/>
      <c r="R13" s="20"/>
      <c r="S13" s="21"/>
      <c r="T13" s="21"/>
      <c r="U13" s="21"/>
      <c r="V13" s="21">
        <f>countif(D3:L3,3)</f>
        <v>3</v>
      </c>
      <c r="W13" s="21">
        <f>countif(M3:U3,3)</f>
        <v>2</v>
      </c>
      <c r="X13" s="21">
        <f>COUNTA(D13:U13)</f>
        <v>0</v>
      </c>
      <c r="Y13" s="35"/>
    </row>
    <row r="14" ht="12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2.75" customHeight="1">
      <c r="A15" s="11"/>
      <c r="B15" s="11"/>
      <c r="C15" s="12" t="str">
        <f>'Players and Handis SETUP'!E1</f>
        <v>ST IVES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4"/>
      <c r="X15" s="15">
        <v>70.5</v>
      </c>
      <c r="Y15" s="15">
        <v>141.0</v>
      </c>
    </row>
    <row r="16" ht="12.75" customHeight="1">
      <c r="A16" s="11"/>
      <c r="B16" s="11"/>
      <c r="C16" s="16" t="s">
        <v>5</v>
      </c>
      <c r="D16" s="17">
        <v>1.0</v>
      </c>
      <c r="E16" s="17">
        <v>2.0</v>
      </c>
      <c r="F16" s="17">
        <v>3.0</v>
      </c>
      <c r="G16" s="17">
        <v>4.0</v>
      </c>
      <c r="H16" s="17">
        <v>5.0</v>
      </c>
      <c r="I16" s="17">
        <v>6.0</v>
      </c>
      <c r="J16" s="17">
        <v>7.0</v>
      </c>
      <c r="K16" s="17">
        <v>8.0</v>
      </c>
      <c r="L16" s="17">
        <v>9.0</v>
      </c>
      <c r="M16" s="17">
        <v>10.0</v>
      </c>
      <c r="N16" s="17">
        <v>11.0</v>
      </c>
      <c r="O16" s="17">
        <v>12.0</v>
      </c>
      <c r="P16" s="17">
        <v>13.0</v>
      </c>
      <c r="Q16" s="17">
        <v>14.0</v>
      </c>
      <c r="R16" s="17">
        <v>15.0</v>
      </c>
      <c r="S16" s="17">
        <v>16.0</v>
      </c>
      <c r="T16" s="17">
        <v>17.0</v>
      </c>
      <c r="U16" s="17">
        <v>18.0</v>
      </c>
      <c r="V16" s="17" t="s">
        <v>6</v>
      </c>
      <c r="W16" s="17" t="s">
        <v>7</v>
      </c>
      <c r="X16" s="17" t="s">
        <v>8</v>
      </c>
      <c r="Y16" s="17" t="s">
        <v>9</v>
      </c>
    </row>
    <row r="17" ht="12.75" customHeight="1">
      <c r="A17" s="18" t="s">
        <v>10</v>
      </c>
      <c r="B17" s="18" t="s">
        <v>11</v>
      </c>
      <c r="C17" s="19" t="s">
        <v>12</v>
      </c>
      <c r="D17" s="20">
        <v>4.0</v>
      </c>
      <c r="E17" s="20">
        <v>3.0</v>
      </c>
      <c r="F17" s="20">
        <v>4.0</v>
      </c>
      <c r="G17" s="20">
        <v>5.0</v>
      </c>
      <c r="H17" s="20">
        <v>4.0</v>
      </c>
      <c r="I17" s="20">
        <v>4.0</v>
      </c>
      <c r="J17" s="20">
        <v>5.0</v>
      </c>
      <c r="K17" s="20">
        <v>3.0</v>
      </c>
      <c r="L17" s="20">
        <v>4.0</v>
      </c>
      <c r="M17" s="20">
        <v>4.0</v>
      </c>
      <c r="N17" s="20">
        <v>5.0</v>
      </c>
      <c r="O17" s="20">
        <v>4.0</v>
      </c>
      <c r="P17" s="20">
        <v>3.0</v>
      </c>
      <c r="Q17" s="21">
        <v>4.0</v>
      </c>
      <c r="R17" s="20">
        <v>4.0</v>
      </c>
      <c r="S17" s="20">
        <v>3.0</v>
      </c>
      <c r="T17" s="20">
        <v>5.0</v>
      </c>
      <c r="U17" s="21">
        <v>4.0</v>
      </c>
      <c r="V17" s="21">
        <f t="shared" ref="V17:V25" si="5">SUM(D17:L17)</f>
        <v>36</v>
      </c>
      <c r="W17" s="21">
        <f t="shared" ref="W17:W25" si="6">SUM(M17:U17)</f>
        <v>36</v>
      </c>
      <c r="X17" s="21">
        <f>V17+W17</f>
        <v>72</v>
      </c>
      <c r="Y17" s="21"/>
    </row>
    <row r="18" ht="12.75" customHeight="1">
      <c r="A18" s="22" t="s">
        <v>13</v>
      </c>
      <c r="B18" s="23">
        <v>7.0</v>
      </c>
      <c r="C18" s="19"/>
      <c r="D18" s="24">
        <v>7.0</v>
      </c>
      <c r="E18" s="24">
        <v>3.0</v>
      </c>
      <c r="F18" s="24">
        <v>6.0</v>
      </c>
      <c r="G18" s="24">
        <v>6.0</v>
      </c>
      <c r="H18" s="24">
        <v>4.0</v>
      </c>
      <c r="I18" s="24">
        <v>3.0</v>
      </c>
      <c r="J18" s="24">
        <v>4.0</v>
      </c>
      <c r="K18" s="24">
        <v>3.0</v>
      </c>
      <c r="L18" s="24">
        <v>4.0</v>
      </c>
      <c r="M18" s="24">
        <v>4.0</v>
      </c>
      <c r="N18" s="24">
        <v>5.0</v>
      </c>
      <c r="O18" s="24">
        <v>5.0</v>
      </c>
      <c r="P18" s="24">
        <v>4.0</v>
      </c>
      <c r="Q18" s="24">
        <v>5.0</v>
      </c>
      <c r="R18" s="24">
        <v>4.0</v>
      </c>
      <c r="S18" s="24">
        <v>4.0</v>
      </c>
      <c r="T18" s="24">
        <v>5.0</v>
      </c>
      <c r="U18" s="24">
        <v>5.0</v>
      </c>
      <c r="V18" s="25">
        <f t="shared" si="5"/>
        <v>40</v>
      </c>
      <c r="W18" s="25">
        <f t="shared" si="6"/>
        <v>41</v>
      </c>
      <c r="X18" s="25">
        <f t="shared" ref="X18:X25" si="7">IF(W18&gt;0,V18+W18,"")</f>
        <v>81</v>
      </c>
      <c r="Y18" s="26">
        <f t="shared" ref="Y18:Y25" si="8">IF(W18=0,"",X18-B18)</f>
        <v>74</v>
      </c>
    </row>
    <row r="19" ht="12.75" customHeight="1">
      <c r="A19" s="27" t="s">
        <v>14</v>
      </c>
      <c r="B19" s="28">
        <v>16.0</v>
      </c>
      <c r="C19" s="19"/>
      <c r="D19" s="29">
        <v>7.0</v>
      </c>
      <c r="E19" s="29">
        <v>4.0</v>
      </c>
      <c r="F19" s="29">
        <v>6.0</v>
      </c>
      <c r="G19" s="29">
        <v>7.0</v>
      </c>
      <c r="H19" s="29">
        <v>7.0</v>
      </c>
      <c r="I19" s="29">
        <v>4.0</v>
      </c>
      <c r="J19" s="29">
        <v>8.0</v>
      </c>
      <c r="K19" s="29">
        <v>4.0</v>
      </c>
      <c r="L19" s="29">
        <v>4.0</v>
      </c>
      <c r="M19" s="29">
        <v>4.0</v>
      </c>
      <c r="N19" s="29">
        <v>7.0</v>
      </c>
      <c r="O19" s="29">
        <v>5.0</v>
      </c>
      <c r="P19" s="29">
        <v>5.0</v>
      </c>
      <c r="Q19" s="29">
        <v>6.0</v>
      </c>
      <c r="R19" s="29">
        <v>6.0</v>
      </c>
      <c r="S19" s="29">
        <v>3.0</v>
      </c>
      <c r="T19" s="29">
        <v>6.0</v>
      </c>
      <c r="U19" s="29">
        <v>7.0</v>
      </c>
      <c r="V19" s="30">
        <f t="shared" si="5"/>
        <v>51</v>
      </c>
      <c r="W19" s="30">
        <f t="shared" si="6"/>
        <v>49</v>
      </c>
      <c r="X19" s="30">
        <f t="shared" si="7"/>
        <v>100</v>
      </c>
      <c r="Y19" s="31">
        <f t="shared" si="8"/>
        <v>84</v>
      </c>
    </row>
    <row r="20" ht="12.75" customHeight="1">
      <c r="A20" s="22" t="s">
        <v>15</v>
      </c>
      <c r="B20" s="23">
        <v>15.0</v>
      </c>
      <c r="C20" s="19"/>
      <c r="D20" s="24">
        <v>7.0</v>
      </c>
      <c r="E20" s="24">
        <v>4.0</v>
      </c>
      <c r="F20" s="24">
        <v>7.0</v>
      </c>
      <c r="G20" s="24">
        <v>5.0</v>
      </c>
      <c r="H20" s="24">
        <v>4.0</v>
      </c>
      <c r="I20" s="24">
        <v>5.0</v>
      </c>
      <c r="J20" s="24">
        <v>7.0</v>
      </c>
      <c r="K20" s="24">
        <v>4.0</v>
      </c>
      <c r="L20" s="24">
        <v>6.0</v>
      </c>
      <c r="M20" s="24">
        <v>5.0</v>
      </c>
      <c r="N20" s="24">
        <v>6.0</v>
      </c>
      <c r="O20" s="24">
        <v>5.0</v>
      </c>
      <c r="P20" s="24">
        <v>3.0</v>
      </c>
      <c r="Q20" s="24">
        <v>6.0</v>
      </c>
      <c r="R20" s="24">
        <v>5.0</v>
      </c>
      <c r="S20" s="24">
        <v>4.0</v>
      </c>
      <c r="T20" s="24">
        <v>6.0</v>
      </c>
      <c r="U20" s="24">
        <v>6.0</v>
      </c>
      <c r="V20" s="25">
        <f t="shared" si="5"/>
        <v>49</v>
      </c>
      <c r="W20" s="25">
        <f t="shared" si="6"/>
        <v>46</v>
      </c>
      <c r="X20" s="25">
        <f t="shared" si="7"/>
        <v>95</v>
      </c>
      <c r="Y20" s="26">
        <f t="shared" si="8"/>
        <v>80</v>
      </c>
    </row>
    <row r="21" ht="12.75" customHeight="1">
      <c r="A21" s="27" t="s">
        <v>16</v>
      </c>
      <c r="B21" s="28">
        <v>15.0</v>
      </c>
      <c r="C21" s="19"/>
      <c r="D21" s="29">
        <v>6.0</v>
      </c>
      <c r="E21" s="29">
        <v>3.0</v>
      </c>
      <c r="F21" s="29">
        <v>3.0</v>
      </c>
      <c r="G21" s="29">
        <v>5.0</v>
      </c>
      <c r="H21" s="29">
        <v>4.0</v>
      </c>
      <c r="I21" s="29">
        <v>4.0</v>
      </c>
      <c r="J21" s="29">
        <v>7.0</v>
      </c>
      <c r="K21" s="29">
        <v>5.0</v>
      </c>
      <c r="L21" s="29">
        <v>4.0</v>
      </c>
      <c r="M21" s="29">
        <v>5.0</v>
      </c>
      <c r="N21" s="29">
        <v>8.0</v>
      </c>
      <c r="O21" s="29">
        <v>5.0</v>
      </c>
      <c r="P21" s="29">
        <v>3.0</v>
      </c>
      <c r="Q21" s="29">
        <v>5.0</v>
      </c>
      <c r="R21" s="29">
        <v>4.0</v>
      </c>
      <c r="S21" s="29">
        <v>3.0</v>
      </c>
      <c r="T21" s="29">
        <v>7.0</v>
      </c>
      <c r="U21" s="29">
        <v>5.0</v>
      </c>
      <c r="V21" s="30">
        <f t="shared" si="5"/>
        <v>41</v>
      </c>
      <c r="W21" s="30">
        <f t="shared" si="6"/>
        <v>45</v>
      </c>
      <c r="X21" s="30">
        <f t="shared" si="7"/>
        <v>86</v>
      </c>
      <c r="Y21" s="31">
        <f t="shared" si="8"/>
        <v>71</v>
      </c>
    </row>
    <row r="22" ht="12.75" customHeight="1">
      <c r="A22" s="22" t="s">
        <v>17</v>
      </c>
      <c r="B22" s="23">
        <v>17.0</v>
      </c>
      <c r="C22" s="19"/>
      <c r="D22" s="24">
        <v>9.0</v>
      </c>
      <c r="E22" s="24">
        <v>6.0</v>
      </c>
      <c r="F22" s="24">
        <v>5.0</v>
      </c>
      <c r="G22" s="24">
        <v>7.0</v>
      </c>
      <c r="H22" s="24">
        <v>5.0</v>
      </c>
      <c r="I22" s="24">
        <v>5.0</v>
      </c>
      <c r="J22" s="24">
        <v>5.0</v>
      </c>
      <c r="K22" s="24">
        <v>3.0</v>
      </c>
      <c r="L22" s="24">
        <v>5.0</v>
      </c>
      <c r="M22" s="24">
        <v>4.0</v>
      </c>
      <c r="N22" s="24">
        <v>8.0</v>
      </c>
      <c r="O22" s="24">
        <v>6.0</v>
      </c>
      <c r="P22" s="24">
        <v>4.0</v>
      </c>
      <c r="Q22" s="24">
        <v>8.0</v>
      </c>
      <c r="R22" s="24">
        <v>5.0</v>
      </c>
      <c r="S22" s="24">
        <v>4.0</v>
      </c>
      <c r="T22" s="24">
        <v>7.0</v>
      </c>
      <c r="U22" s="24">
        <v>5.0</v>
      </c>
      <c r="V22" s="25">
        <f t="shared" si="5"/>
        <v>50</v>
      </c>
      <c r="W22" s="25">
        <f t="shared" si="6"/>
        <v>51</v>
      </c>
      <c r="X22" s="25">
        <f t="shared" si="7"/>
        <v>101</v>
      </c>
      <c r="Y22" s="26">
        <f t="shared" si="8"/>
        <v>84</v>
      </c>
    </row>
    <row r="23" ht="12.75" customHeight="1">
      <c r="A23" s="32" t="s">
        <v>18</v>
      </c>
      <c r="B23" s="28">
        <v>15.0</v>
      </c>
      <c r="C23" s="19"/>
      <c r="D23" s="29">
        <v>5.0</v>
      </c>
      <c r="E23" s="29">
        <v>6.0</v>
      </c>
      <c r="F23" s="29">
        <v>6.0</v>
      </c>
      <c r="G23" s="29">
        <v>7.0</v>
      </c>
      <c r="H23" s="29">
        <v>7.0</v>
      </c>
      <c r="I23" s="29">
        <v>6.0</v>
      </c>
      <c r="J23" s="29">
        <v>5.0</v>
      </c>
      <c r="K23" s="29">
        <v>4.0</v>
      </c>
      <c r="L23" s="29">
        <v>4.0</v>
      </c>
      <c r="M23" s="29">
        <v>5.0</v>
      </c>
      <c r="N23" s="29">
        <v>6.0</v>
      </c>
      <c r="O23" s="29">
        <v>5.0</v>
      </c>
      <c r="P23" s="29">
        <v>5.0</v>
      </c>
      <c r="Q23" s="29">
        <v>6.0</v>
      </c>
      <c r="R23" s="29">
        <v>7.0</v>
      </c>
      <c r="S23" s="29">
        <v>4.0</v>
      </c>
      <c r="T23" s="29">
        <v>5.0</v>
      </c>
      <c r="U23" s="29">
        <v>6.0</v>
      </c>
      <c r="V23" s="30">
        <f t="shared" si="5"/>
        <v>50</v>
      </c>
      <c r="W23" s="30">
        <f t="shared" si="6"/>
        <v>49</v>
      </c>
      <c r="X23" s="30">
        <f t="shared" si="7"/>
        <v>99</v>
      </c>
      <c r="Y23" s="31">
        <f t="shared" si="8"/>
        <v>84</v>
      </c>
    </row>
    <row r="24" ht="12.75" customHeight="1">
      <c r="A24" s="33" t="s">
        <v>19</v>
      </c>
      <c r="B24" s="23">
        <v>12.0</v>
      </c>
      <c r="C24" s="19"/>
      <c r="D24" s="24">
        <v>5.0</v>
      </c>
      <c r="E24" s="24">
        <v>6.0</v>
      </c>
      <c r="F24" s="24">
        <v>8.0</v>
      </c>
      <c r="G24" s="24">
        <v>6.0</v>
      </c>
      <c r="H24" s="24">
        <v>6.0</v>
      </c>
      <c r="I24" s="24">
        <v>5.0</v>
      </c>
      <c r="J24" s="24">
        <v>6.0</v>
      </c>
      <c r="K24" s="24">
        <v>4.0</v>
      </c>
      <c r="L24" s="24">
        <v>6.0</v>
      </c>
      <c r="M24" s="24">
        <v>6.0</v>
      </c>
      <c r="N24" s="24">
        <v>5.0</v>
      </c>
      <c r="O24" s="24">
        <v>4.0</v>
      </c>
      <c r="P24" s="24">
        <v>5.0</v>
      </c>
      <c r="Q24" s="24">
        <v>5.0</v>
      </c>
      <c r="R24" s="24">
        <v>5.0</v>
      </c>
      <c r="S24" s="24">
        <v>3.0</v>
      </c>
      <c r="T24" s="24">
        <v>5.0</v>
      </c>
      <c r="U24" s="24">
        <v>3.0</v>
      </c>
      <c r="V24" s="25">
        <f t="shared" si="5"/>
        <v>52</v>
      </c>
      <c r="W24" s="25">
        <f t="shared" si="6"/>
        <v>41</v>
      </c>
      <c r="X24" s="25">
        <f t="shared" si="7"/>
        <v>93</v>
      </c>
      <c r="Y24" s="26">
        <f t="shared" si="8"/>
        <v>81</v>
      </c>
    </row>
    <row r="25" ht="12.75" customHeight="1">
      <c r="A25" s="32" t="s">
        <v>20</v>
      </c>
      <c r="B25" s="28">
        <v>7.0</v>
      </c>
      <c r="C25" s="19"/>
      <c r="D25" s="29">
        <v>5.0</v>
      </c>
      <c r="E25" s="29">
        <v>3.0</v>
      </c>
      <c r="F25" s="29">
        <v>6.0</v>
      </c>
      <c r="G25" s="29">
        <v>5.0</v>
      </c>
      <c r="H25" s="29">
        <v>5.0</v>
      </c>
      <c r="I25" s="29">
        <v>5.0</v>
      </c>
      <c r="J25" s="29">
        <v>7.0</v>
      </c>
      <c r="K25" s="29">
        <v>3.0</v>
      </c>
      <c r="L25" s="29">
        <v>4.0</v>
      </c>
      <c r="M25" s="29">
        <v>4.0</v>
      </c>
      <c r="N25" s="29">
        <v>5.0</v>
      </c>
      <c r="O25" s="29">
        <v>5.0</v>
      </c>
      <c r="P25" s="29">
        <v>4.0</v>
      </c>
      <c r="Q25" s="29">
        <v>5.0</v>
      </c>
      <c r="R25" s="29">
        <v>4.0</v>
      </c>
      <c r="S25" s="29">
        <v>3.0</v>
      </c>
      <c r="T25" s="29">
        <v>5.0</v>
      </c>
      <c r="U25" s="29">
        <v>5.0</v>
      </c>
      <c r="V25" s="30">
        <f t="shared" si="5"/>
        <v>43</v>
      </c>
      <c r="W25" s="30">
        <f t="shared" si="6"/>
        <v>40</v>
      </c>
      <c r="X25" s="30">
        <f t="shared" si="7"/>
        <v>83</v>
      </c>
      <c r="Y25" s="31">
        <f t="shared" si="8"/>
        <v>76</v>
      </c>
    </row>
    <row r="26" ht="12.75" customHeight="1">
      <c r="A26" s="34"/>
      <c r="B26" s="34"/>
      <c r="C26" s="19" t="s">
        <v>21</v>
      </c>
      <c r="D26" s="21" t="str">
        <f t="array" ref="D26">IF(OR(SUM(IF(IF(SkinsGrossCumulative="Y", D18:D25, 10)=MIN(IF(SkinsGrossCumulative="Y", D18:D25, 10)), 1, 0)) &gt; 1, MIN(IF(SkinsGrossCumulative="Y", D18:D25, 10)) &gt; D17), "", INDEX(PlayersInitials,MATCH(MIN(IF(SkinsGrossCumulative="Y",D18:D25,10)),IF(SkinsGrossCumulative="Y",D18:D25,10),0)))</f>
        <v/>
      </c>
      <c r="E26" s="21" t="str">
        <f t="array" ref="E26">IF(OR(SUM(IF(IF(SkinsGrossCumulative="Y", E18:E25, 10)=MIN(IF(SkinsGrossCumulative="Y", E18:E25, 10)), 1, 0)) &gt; 1, MIN(IF(SkinsGrossCumulative="Y", E18:E25, 10)) &gt; E17), "", INDEX(PlayersInitials,MATCH(MIN(IF(SkinsGrossCumulative="Y",E18:E25,10)),IF(SkinsGrossCumulative="Y",E18:E25,10),0)))</f>
        <v/>
      </c>
      <c r="F26" s="21" t="str">
        <f t="array" ref="F26">IF(OR(SUM(IF(IF(SkinsGrossCumulative="Y", F18:F25, 10)=MIN(IF(SkinsGrossCumulative="Y", F18:F25, 10)), 1, 0)) &gt; 1, MIN(IF(SkinsGrossCumulative="Y", F18:F25, 10)) &gt; F17), "", INDEX(PlayersInitials,MATCH(MIN(IF(SkinsGrossCumulative="Y",F18:F25,10)),IF(SkinsGrossCumulative="Y",F18:F25,10),0)))</f>
        <v>BK</v>
      </c>
      <c r="G26" s="21" t="str">
        <f t="array" ref="G26">IF(OR(SUM(IF(IF(SkinsGrossCumulative="Y", G18:G25, 10)=MIN(IF(SkinsGrossCumulative="Y", G18:G25, 10)), 1, 0)) &gt; 1, MIN(IF(SkinsGrossCumulative="Y", G18:G25, 10)) &gt; G17), "", INDEX(PlayersInitials,MATCH(MIN(IF(SkinsGrossCumulative="Y",G18:G25,10)),IF(SkinsGrossCumulative="Y",G18:G25,10),0)))</f>
        <v/>
      </c>
      <c r="H26" s="21" t="str">
        <f t="array" ref="H26">IF(OR(SUM(IF(IF(SkinsGrossCumulative="Y", H18:H25, 10)=MIN(IF(SkinsGrossCumulative="Y", H18:H25, 10)), 1, 0)) &gt; 1, MIN(IF(SkinsGrossCumulative="Y", H18:H25, 10)) &gt; H17), "", INDEX(PlayersInitials,MATCH(MIN(IF(SkinsGrossCumulative="Y",H18:H25,10)),IF(SkinsGrossCumulative="Y",H18:H25,10),0)))</f>
        <v/>
      </c>
      <c r="I26" s="21" t="str">
        <f t="array" ref="I26">IF(OR(SUM(IF(IF(SkinsGrossCumulative="Y", I18:I25, 10)=MIN(IF(SkinsGrossCumulative="Y", I18:I25, 10)), 1, 0)) &gt; 1, MIN(IF(SkinsGrossCumulative="Y", I18:I25, 10)) &gt; I17), "", INDEX(PlayersInitials,MATCH(MIN(IF(SkinsGrossCumulative="Y",I18:I25,10)),IF(SkinsGrossCumulative="Y",I18:I25,10),0)))</f>
        <v>AJ</v>
      </c>
      <c r="J26" s="21" t="str">
        <f t="array" ref="J26">IF(OR(SUM(IF(IF(SkinsGrossCumulative="Y", J18:J25, 10)=MIN(IF(SkinsGrossCumulative="Y", J18:J25, 10)), 1, 0)) &gt; 1, MIN(IF(SkinsGrossCumulative="Y", J18:J25, 10)) &gt; J17), "", INDEX(PlayersInitials,MATCH(MIN(IF(SkinsGrossCumulative="Y",J18:J25,10)),IF(SkinsGrossCumulative="Y",J18:J25,10),0)))</f>
        <v>AJ</v>
      </c>
      <c r="K26" s="21" t="str">
        <f t="array" ref="K26">IF(OR(SUM(IF(IF(SkinsGrossCumulative="Y", K18:K25, 10)=MIN(IF(SkinsGrossCumulative="Y", K18:K25, 10)), 1, 0)) &gt; 1, MIN(IF(SkinsGrossCumulative="Y", K18:K25, 10)) &gt; K17), "", INDEX(PlayersInitials,MATCH(MIN(IF(SkinsGrossCumulative="Y",K18:K25,10)),IF(SkinsGrossCumulative="Y",K18:K25,10),0)))</f>
        <v/>
      </c>
      <c r="L26" s="21" t="str">
        <f t="array" ref="L26">IF(OR(SUM(IF(IF(SkinsGrossCumulative="Y", L18:L25, 10)=MIN(IF(SkinsGrossCumulative="Y", L18:L25, 10)), 1, 0)) &gt; 1, MIN(IF(SkinsGrossCumulative="Y", L18:L25, 10)) &gt; L17), "", INDEX(PlayersInitials,MATCH(MIN(IF(SkinsGrossCumulative="Y",L18:L25,10)),IF(SkinsGrossCumulative="Y",L18:L25,10),0)))</f>
        <v/>
      </c>
      <c r="M26" s="21" t="str">
        <f t="array" ref="M26">IF(OR(SUM(IF(IF(SkinsGrossCumulative="Y", M18:M25, 10)=MIN(IF(SkinsGrossCumulative="Y", M18:M25, 10)), 1, 0)) &gt; 1, MIN(IF(SkinsGrossCumulative="Y", M18:M25, 10)) &gt; M17), "", INDEX(PlayersInitials,MATCH(MIN(IF(SkinsGrossCumulative="Y",M18:M25,10)),IF(SkinsGrossCumulative="Y",M18:M25,10),0)))</f>
        <v/>
      </c>
      <c r="N26" s="21" t="str">
        <f t="array" ref="N26">IF(OR(SUM(IF(IF(SkinsGrossCumulative="Y", N18:N25, 10)=MIN(IF(SkinsGrossCumulative="Y", N18:N25, 10)), 1, 0)) &gt; 1, MIN(IF(SkinsGrossCumulative="Y", N18:N25, 10)) &gt; N17), "", INDEX(PlayersInitials,MATCH(MIN(IF(SkinsGrossCumulative="Y",N18:N25,10)),IF(SkinsGrossCumulative="Y",N18:N25,10),0)))</f>
        <v/>
      </c>
      <c r="O26" s="21" t="str">
        <f t="array" ref="O26">IF(OR(SUM(IF(IF(SkinsGrossCumulative="Y", O18:O25, 10)=MIN(IF(SkinsGrossCumulative="Y", O18:O25, 10)), 1, 0)) &gt; 1, MIN(IF(SkinsGrossCumulative="Y", O18:O25, 10)) &gt; O17), "", INDEX(PlayersInitials,MATCH(MIN(IF(SkinsGrossCumulative="Y",O18:O25,10)),IF(SkinsGrossCumulative="Y",O18:O25,10),0)))</f>
        <v>JC</v>
      </c>
      <c r="P26" s="21" t="str">
        <f t="array" ref="P26">IF(OR(SUM(IF(IF(SkinsGrossCumulative="Y", P18:P25, 10)=MIN(IF(SkinsGrossCumulative="Y", P18:P25, 10)), 1, 0)) &gt; 1, MIN(IF(SkinsGrossCumulative="Y", P18:P25, 10)) &gt; P17), "", INDEX(PlayersInitials,MATCH(MIN(IF(SkinsGrossCumulative="Y",P18:P25,10)),IF(SkinsGrossCumulative="Y",P18:P25,10),0)))</f>
        <v/>
      </c>
      <c r="Q26" s="21" t="str">
        <f t="array" ref="Q26">IF(OR(SUM(IF(IF(SkinsGrossCumulative="Y", Q18:Q25, 10)=MIN(IF(SkinsGrossCumulative="Y", Q18:Q25, 10)), 1, 0)) &gt; 1, MIN(IF(SkinsGrossCumulative="Y", Q18:Q25, 10)) &gt; Q17), "", INDEX(PlayersInitials,MATCH(MIN(IF(SkinsGrossCumulative="Y",Q18:Q25,10)),IF(SkinsGrossCumulative="Y",Q18:Q25,10),0)))</f>
        <v/>
      </c>
      <c r="R26" s="21" t="str">
        <f t="array" ref="R26">IF(OR(SUM(IF(IF(SkinsGrossCumulative="Y", R18:R25, 10)=MIN(IF(SkinsGrossCumulative="Y", R18:R25, 10)), 1, 0)) &gt; 1, MIN(IF(SkinsGrossCumulative="Y", R18:R25, 10)) &gt; R17), "", INDEX(PlayersInitials,MATCH(MIN(IF(SkinsGrossCumulative="Y",R18:R25,10)),IF(SkinsGrossCumulative="Y",R18:R25,10),0)))</f>
        <v/>
      </c>
      <c r="S26" s="21" t="str">
        <f t="array" ref="S26">IF(OR(SUM(IF(IF(SkinsGrossCumulative="Y", S18:S25, 10)=MIN(IF(SkinsGrossCumulative="Y", S18:S25, 10)), 1, 0)) &gt; 1, MIN(IF(SkinsGrossCumulative="Y", S18:S25, 10)) &gt; S17), "", INDEX(PlayersInitials,MATCH(MIN(IF(SkinsGrossCumulative="Y",S18:S25,10)),IF(SkinsGrossCumulative="Y",S18:S25,10),0)))</f>
        <v/>
      </c>
      <c r="T26" s="21" t="str">
        <f t="array" ref="T26">IF(OR(SUM(IF(IF(SkinsGrossCumulative="Y", T18:T25, 10)=MIN(IF(SkinsGrossCumulative="Y", T18:T25, 10)), 1, 0)) &gt; 1, MIN(IF(SkinsGrossCumulative="Y", T18:T25, 10)) &gt; T17), "", INDEX(PlayersInitials,MATCH(MIN(IF(SkinsGrossCumulative="Y",T18:T25,10)),IF(SkinsGrossCumulative="Y",T18:T25,10),0)))</f>
        <v/>
      </c>
      <c r="U26" s="21" t="str">
        <f t="array" ref="U26">IF(OR(SUM(IF(IF(SkinsGrossCumulative="Y", U18:U25, 10)=MIN(IF(SkinsGrossCumulative="Y", U18:U25, 10)), 1, 0)) &gt; 1, MIN(IF(SkinsGrossCumulative="Y", U18:U25, 10)) &gt; U17), "", INDEX(PlayersInitials,MATCH(MIN(IF(SkinsGrossCumulative="Y",U18:U25,10)),IF(SkinsGrossCumulative="Y",U18:U25,10),0)))</f>
        <v>JC</v>
      </c>
      <c r="V26" s="21"/>
      <c r="W26" s="21"/>
      <c r="X26" s="21">
        <f>18-COUNTBLANK(D26:U26)</f>
        <v>5</v>
      </c>
      <c r="Y26" s="35"/>
    </row>
    <row r="27" ht="12.75" customHeight="1">
      <c r="A27" s="11"/>
      <c r="B27" s="11"/>
      <c r="C27" s="19" t="s">
        <v>22</v>
      </c>
      <c r="D27" s="21"/>
      <c r="E27" s="21"/>
      <c r="F27" s="20"/>
      <c r="G27" s="21"/>
      <c r="H27" s="36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>
        <f>countif(D17:L17,3)</f>
        <v>2</v>
      </c>
      <c r="W27" s="21">
        <f>countif(M17:U17,3)</f>
        <v>2</v>
      </c>
      <c r="X27" s="21">
        <f>COUNTA(D27:U27)</f>
        <v>0</v>
      </c>
      <c r="Y27" s="35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2.75" customHeight="1">
      <c r="A29" s="11"/>
      <c r="B29" s="11"/>
      <c r="C29" s="12" t="str">
        <f>'Players and Handis SETUP'!F1</f>
        <v>TULLYMORE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4"/>
      <c r="X29" s="15">
        <v>71.2</v>
      </c>
      <c r="Y29" s="15">
        <v>141.0</v>
      </c>
    </row>
    <row r="30" ht="12.75" customHeight="1">
      <c r="A30" s="11"/>
      <c r="B30" s="11"/>
      <c r="C30" s="16" t="s">
        <v>5</v>
      </c>
      <c r="D30" s="17">
        <v>1.0</v>
      </c>
      <c r="E30" s="17">
        <v>2.0</v>
      </c>
      <c r="F30" s="17">
        <v>3.0</v>
      </c>
      <c r="G30" s="17">
        <v>4.0</v>
      </c>
      <c r="H30" s="17">
        <v>5.0</v>
      </c>
      <c r="I30" s="17">
        <v>6.0</v>
      </c>
      <c r="J30" s="17">
        <v>7.0</v>
      </c>
      <c r="K30" s="17">
        <v>8.0</v>
      </c>
      <c r="L30" s="17">
        <v>9.0</v>
      </c>
      <c r="M30" s="17">
        <v>10.0</v>
      </c>
      <c r="N30" s="17">
        <v>11.0</v>
      </c>
      <c r="O30" s="17">
        <v>12.0</v>
      </c>
      <c r="P30" s="17">
        <v>13.0</v>
      </c>
      <c r="Q30" s="17">
        <v>14.0</v>
      </c>
      <c r="R30" s="17">
        <v>15.0</v>
      </c>
      <c r="S30" s="17">
        <v>16.0</v>
      </c>
      <c r="T30" s="17">
        <v>17.0</v>
      </c>
      <c r="U30" s="17">
        <v>18.0</v>
      </c>
      <c r="V30" s="17" t="s">
        <v>6</v>
      </c>
      <c r="W30" s="17" t="s">
        <v>7</v>
      </c>
      <c r="X30" s="17" t="s">
        <v>8</v>
      </c>
      <c r="Y30" s="17" t="s">
        <v>9</v>
      </c>
    </row>
    <row r="31" ht="12.75" customHeight="1">
      <c r="A31" s="18" t="s">
        <v>10</v>
      </c>
      <c r="B31" s="18" t="s">
        <v>11</v>
      </c>
      <c r="C31" s="19" t="s">
        <v>12</v>
      </c>
      <c r="D31" s="20">
        <v>5.0</v>
      </c>
      <c r="E31" s="20">
        <v>4.0</v>
      </c>
      <c r="F31" s="20">
        <v>4.0</v>
      </c>
      <c r="G31" s="20">
        <v>3.0</v>
      </c>
      <c r="H31" s="20">
        <v>3.0</v>
      </c>
      <c r="I31" s="20">
        <v>4.0</v>
      </c>
      <c r="J31" s="20">
        <v>3.0</v>
      </c>
      <c r="K31" s="20">
        <v>5.0</v>
      </c>
      <c r="L31" s="20">
        <v>4.0</v>
      </c>
      <c r="M31" s="21">
        <v>4.0</v>
      </c>
      <c r="N31" s="20">
        <v>4.0</v>
      </c>
      <c r="O31" s="20">
        <v>3.0</v>
      </c>
      <c r="P31" s="20">
        <v>5.0</v>
      </c>
      <c r="Q31" s="20">
        <v>4.0</v>
      </c>
      <c r="R31" s="20">
        <v>3.0</v>
      </c>
      <c r="S31" s="20">
        <v>5.0</v>
      </c>
      <c r="T31" s="20">
        <v>4.0</v>
      </c>
      <c r="U31" s="20">
        <v>5.0</v>
      </c>
      <c r="V31" s="21">
        <f t="shared" ref="V31:V39" si="9">SUM(D31:L31)</f>
        <v>35</v>
      </c>
      <c r="W31" s="21">
        <f t="shared" ref="W31:W39" si="10">SUM(M31:U31)</f>
        <v>37</v>
      </c>
      <c r="X31" s="21">
        <f>V31+W31</f>
        <v>72</v>
      </c>
      <c r="Y31" s="21"/>
    </row>
    <row r="32" ht="12.75" customHeight="1">
      <c r="A32" s="22" t="s">
        <v>13</v>
      </c>
      <c r="B32" s="23">
        <v>7.0</v>
      </c>
      <c r="C32" s="19"/>
      <c r="D32" s="24">
        <v>6.0</v>
      </c>
      <c r="E32" s="24">
        <v>5.0</v>
      </c>
      <c r="F32" s="24">
        <v>4.0</v>
      </c>
      <c r="G32" s="24">
        <v>3.0</v>
      </c>
      <c r="H32" s="24">
        <v>4.0</v>
      </c>
      <c r="I32" s="24">
        <v>4.0</v>
      </c>
      <c r="J32" s="24">
        <v>4.0</v>
      </c>
      <c r="K32" s="24">
        <v>5.0</v>
      </c>
      <c r="L32" s="24">
        <v>3.0</v>
      </c>
      <c r="M32" s="24">
        <v>4.0</v>
      </c>
      <c r="N32" s="24">
        <v>5.0</v>
      </c>
      <c r="O32" s="24">
        <v>3.0</v>
      </c>
      <c r="P32" s="24">
        <v>5.0</v>
      </c>
      <c r="Q32" s="24">
        <v>6.0</v>
      </c>
      <c r="R32" s="24">
        <v>3.0</v>
      </c>
      <c r="S32" s="24">
        <v>5.0</v>
      </c>
      <c r="T32" s="24">
        <v>4.0</v>
      </c>
      <c r="U32" s="24">
        <v>7.0</v>
      </c>
      <c r="V32" s="25">
        <f t="shared" si="9"/>
        <v>38</v>
      </c>
      <c r="W32" s="25">
        <f t="shared" si="10"/>
        <v>42</v>
      </c>
      <c r="X32" s="25">
        <f t="shared" ref="X32:X39" si="11">IF(W32&gt;0,V32+W32,"")</f>
        <v>80</v>
      </c>
      <c r="Y32" s="26">
        <f t="shared" ref="Y32:Y39" si="12">IF(W32=0,"",X32-B32)</f>
        <v>73</v>
      </c>
    </row>
    <row r="33" ht="12.75" customHeight="1">
      <c r="A33" s="27" t="s">
        <v>14</v>
      </c>
      <c r="B33" s="28">
        <v>16.0</v>
      </c>
      <c r="C33" s="19"/>
      <c r="D33" s="29">
        <v>7.0</v>
      </c>
      <c r="E33" s="29">
        <v>7.0</v>
      </c>
      <c r="F33" s="29">
        <v>7.0</v>
      </c>
      <c r="G33" s="29">
        <v>5.0</v>
      </c>
      <c r="H33" s="29">
        <v>3.0</v>
      </c>
      <c r="I33" s="29">
        <v>16.0</v>
      </c>
      <c r="J33" s="29">
        <v>5.0</v>
      </c>
      <c r="K33" s="29">
        <v>6.0</v>
      </c>
      <c r="L33" s="29">
        <v>5.0</v>
      </c>
      <c r="M33" s="29">
        <v>8.0</v>
      </c>
      <c r="N33" s="29">
        <v>7.0</v>
      </c>
      <c r="O33" s="29">
        <v>3.0</v>
      </c>
      <c r="P33" s="29">
        <v>8.0</v>
      </c>
      <c r="Q33" s="29">
        <v>3.0</v>
      </c>
      <c r="R33" s="29">
        <v>4.0</v>
      </c>
      <c r="S33" s="29">
        <v>6.0</v>
      </c>
      <c r="T33" s="29">
        <v>4.0</v>
      </c>
      <c r="U33" s="29">
        <v>7.0</v>
      </c>
      <c r="V33" s="30">
        <f t="shared" si="9"/>
        <v>61</v>
      </c>
      <c r="W33" s="30">
        <f t="shared" si="10"/>
        <v>50</v>
      </c>
      <c r="X33" s="30">
        <f t="shared" si="11"/>
        <v>111</v>
      </c>
      <c r="Y33" s="31">
        <f t="shared" si="12"/>
        <v>95</v>
      </c>
    </row>
    <row r="34" ht="12.75" customHeight="1">
      <c r="A34" s="22" t="s">
        <v>15</v>
      </c>
      <c r="B34" s="23">
        <v>15.0</v>
      </c>
      <c r="C34" s="19"/>
      <c r="D34" s="24">
        <v>5.0</v>
      </c>
      <c r="E34" s="24">
        <v>6.0</v>
      </c>
      <c r="F34" s="24">
        <v>7.0</v>
      </c>
      <c r="G34" s="24">
        <v>6.0</v>
      </c>
      <c r="H34" s="24">
        <v>7.0</v>
      </c>
      <c r="I34" s="24">
        <v>7.0</v>
      </c>
      <c r="J34" s="24">
        <v>2.0</v>
      </c>
      <c r="K34" s="24">
        <v>7.0</v>
      </c>
      <c r="L34" s="24">
        <v>5.0</v>
      </c>
      <c r="M34" s="24">
        <v>7.0</v>
      </c>
      <c r="N34" s="24">
        <v>5.0</v>
      </c>
      <c r="O34" s="24">
        <v>4.0</v>
      </c>
      <c r="P34" s="24">
        <v>8.0</v>
      </c>
      <c r="Q34" s="24">
        <v>7.0</v>
      </c>
      <c r="R34" s="24">
        <v>5.0</v>
      </c>
      <c r="S34" s="24">
        <v>8.0</v>
      </c>
      <c r="T34" s="24">
        <v>6.0</v>
      </c>
      <c r="U34" s="24">
        <v>7.0</v>
      </c>
      <c r="V34" s="25">
        <f t="shared" si="9"/>
        <v>52</v>
      </c>
      <c r="W34" s="25">
        <f t="shared" si="10"/>
        <v>57</v>
      </c>
      <c r="X34" s="25">
        <f t="shared" si="11"/>
        <v>109</v>
      </c>
      <c r="Y34" s="26">
        <f t="shared" si="12"/>
        <v>94</v>
      </c>
    </row>
    <row r="35" ht="12.75" customHeight="1">
      <c r="A35" s="27" t="s">
        <v>16</v>
      </c>
      <c r="B35" s="28">
        <v>15.0</v>
      </c>
      <c r="C35" s="19"/>
      <c r="D35" s="29">
        <v>7.0</v>
      </c>
      <c r="E35" s="29">
        <v>7.0</v>
      </c>
      <c r="F35" s="29">
        <v>7.0</v>
      </c>
      <c r="G35" s="29">
        <v>3.0</v>
      </c>
      <c r="H35" s="29">
        <v>4.0</v>
      </c>
      <c r="I35" s="29">
        <v>5.0</v>
      </c>
      <c r="J35" s="29">
        <v>4.0</v>
      </c>
      <c r="K35" s="29">
        <v>5.0</v>
      </c>
      <c r="L35" s="29">
        <v>5.0</v>
      </c>
      <c r="M35" s="29">
        <v>4.0</v>
      </c>
      <c r="N35" s="29">
        <v>6.0</v>
      </c>
      <c r="O35" s="29">
        <v>3.0</v>
      </c>
      <c r="P35" s="29">
        <v>6.0</v>
      </c>
      <c r="Q35" s="29">
        <v>5.0</v>
      </c>
      <c r="R35" s="29">
        <v>3.0</v>
      </c>
      <c r="S35" s="29">
        <v>7.0</v>
      </c>
      <c r="T35" s="29">
        <v>7.0</v>
      </c>
      <c r="U35" s="29">
        <v>5.0</v>
      </c>
      <c r="V35" s="30">
        <f t="shared" si="9"/>
        <v>47</v>
      </c>
      <c r="W35" s="30">
        <f t="shared" si="10"/>
        <v>46</v>
      </c>
      <c r="X35" s="30">
        <f t="shared" si="11"/>
        <v>93</v>
      </c>
      <c r="Y35" s="31">
        <f t="shared" si="12"/>
        <v>78</v>
      </c>
    </row>
    <row r="36" ht="12.75" customHeight="1">
      <c r="A36" s="22" t="s">
        <v>17</v>
      </c>
      <c r="B36" s="23">
        <v>17.0</v>
      </c>
      <c r="C36" s="19"/>
      <c r="D36" s="24">
        <v>7.0</v>
      </c>
      <c r="E36" s="24">
        <v>4.0</v>
      </c>
      <c r="F36" s="24">
        <v>4.0</v>
      </c>
      <c r="G36" s="24">
        <v>3.0</v>
      </c>
      <c r="H36" s="24">
        <v>3.0</v>
      </c>
      <c r="I36" s="24">
        <v>5.0</v>
      </c>
      <c r="J36" s="24">
        <v>5.0</v>
      </c>
      <c r="K36" s="24">
        <v>9.0</v>
      </c>
      <c r="L36" s="24">
        <v>4.0</v>
      </c>
      <c r="M36" s="24">
        <v>4.0</v>
      </c>
      <c r="N36" s="24">
        <v>5.0</v>
      </c>
      <c r="O36" s="24">
        <v>5.0</v>
      </c>
      <c r="P36" s="24">
        <v>6.0</v>
      </c>
      <c r="Q36" s="24">
        <v>7.0</v>
      </c>
      <c r="R36" s="24">
        <v>4.0</v>
      </c>
      <c r="S36" s="24">
        <v>5.0</v>
      </c>
      <c r="T36" s="24">
        <v>6.0</v>
      </c>
      <c r="U36" s="24">
        <v>8.0</v>
      </c>
      <c r="V36" s="25">
        <f t="shared" si="9"/>
        <v>44</v>
      </c>
      <c r="W36" s="25">
        <f t="shared" si="10"/>
        <v>50</v>
      </c>
      <c r="X36" s="25">
        <f t="shared" si="11"/>
        <v>94</v>
      </c>
      <c r="Y36" s="26">
        <f t="shared" si="12"/>
        <v>77</v>
      </c>
    </row>
    <row r="37" ht="12.75" customHeight="1">
      <c r="A37" s="32" t="s">
        <v>18</v>
      </c>
      <c r="B37" s="28">
        <v>15.0</v>
      </c>
      <c r="C37" s="19"/>
      <c r="D37" s="29">
        <v>8.0</v>
      </c>
      <c r="E37" s="29">
        <v>7.0</v>
      </c>
      <c r="F37" s="29">
        <v>4.0</v>
      </c>
      <c r="G37" s="29">
        <v>4.0</v>
      </c>
      <c r="H37" s="29">
        <v>3.0</v>
      </c>
      <c r="I37" s="29">
        <v>8.0</v>
      </c>
      <c r="J37" s="29">
        <v>5.0</v>
      </c>
      <c r="K37" s="29">
        <v>5.0</v>
      </c>
      <c r="L37" s="29">
        <v>5.0</v>
      </c>
      <c r="M37" s="29">
        <v>6.0</v>
      </c>
      <c r="N37" s="29">
        <v>6.0</v>
      </c>
      <c r="O37" s="29">
        <v>3.0</v>
      </c>
      <c r="P37" s="29">
        <v>6.0</v>
      </c>
      <c r="Q37" s="29">
        <v>4.0</v>
      </c>
      <c r="R37" s="29">
        <v>5.0</v>
      </c>
      <c r="S37" s="29">
        <v>5.0</v>
      </c>
      <c r="T37" s="29">
        <v>9.0</v>
      </c>
      <c r="U37" s="29">
        <v>11.0</v>
      </c>
      <c r="V37" s="30">
        <f t="shared" si="9"/>
        <v>49</v>
      </c>
      <c r="W37" s="30">
        <f t="shared" si="10"/>
        <v>55</v>
      </c>
      <c r="X37" s="30">
        <f t="shared" si="11"/>
        <v>104</v>
      </c>
      <c r="Y37" s="31">
        <f t="shared" si="12"/>
        <v>89</v>
      </c>
    </row>
    <row r="38" ht="12.75" customHeight="1">
      <c r="A38" s="33" t="s">
        <v>19</v>
      </c>
      <c r="B38" s="23">
        <v>12.0</v>
      </c>
      <c r="C38" s="19"/>
      <c r="D38" s="24">
        <v>7.0</v>
      </c>
      <c r="E38" s="24">
        <v>6.0</v>
      </c>
      <c r="F38" s="24">
        <v>8.0</v>
      </c>
      <c r="G38" s="24">
        <v>5.0</v>
      </c>
      <c r="H38" s="24">
        <v>6.0</v>
      </c>
      <c r="I38" s="24">
        <v>4.0</v>
      </c>
      <c r="J38" s="24">
        <v>4.0</v>
      </c>
      <c r="K38" s="24">
        <v>7.0</v>
      </c>
      <c r="L38" s="24">
        <v>5.0</v>
      </c>
      <c r="M38" s="24">
        <v>9.0</v>
      </c>
      <c r="N38" s="24">
        <v>6.0</v>
      </c>
      <c r="O38" s="24">
        <v>5.0</v>
      </c>
      <c r="P38" s="24">
        <v>5.0</v>
      </c>
      <c r="Q38" s="24">
        <v>4.0</v>
      </c>
      <c r="R38" s="24">
        <v>3.0</v>
      </c>
      <c r="S38" s="24">
        <v>8.0</v>
      </c>
      <c r="T38" s="24">
        <v>7.0</v>
      </c>
      <c r="U38" s="24">
        <v>4.0</v>
      </c>
      <c r="V38" s="25">
        <f t="shared" si="9"/>
        <v>52</v>
      </c>
      <c r="W38" s="25">
        <f t="shared" si="10"/>
        <v>51</v>
      </c>
      <c r="X38" s="25">
        <f t="shared" si="11"/>
        <v>103</v>
      </c>
      <c r="Y38" s="26">
        <f t="shared" si="12"/>
        <v>91</v>
      </c>
    </row>
    <row r="39" ht="12.75" customHeight="1">
      <c r="A39" s="32" t="s">
        <v>20</v>
      </c>
      <c r="B39" s="28">
        <v>7.0</v>
      </c>
      <c r="C39" s="19"/>
      <c r="D39" s="29">
        <v>7.0</v>
      </c>
      <c r="E39" s="29">
        <v>5.0</v>
      </c>
      <c r="F39" s="29">
        <v>4.0</v>
      </c>
      <c r="G39" s="29">
        <v>4.0</v>
      </c>
      <c r="H39" s="29">
        <v>4.0</v>
      </c>
      <c r="I39" s="29">
        <v>4.0</v>
      </c>
      <c r="J39" s="29">
        <v>3.0</v>
      </c>
      <c r="K39" s="29">
        <v>6.0</v>
      </c>
      <c r="L39" s="29">
        <v>4.0</v>
      </c>
      <c r="M39" s="29">
        <v>5.0</v>
      </c>
      <c r="N39" s="29">
        <v>7.0</v>
      </c>
      <c r="O39" s="29">
        <v>3.0</v>
      </c>
      <c r="P39" s="29">
        <v>6.0</v>
      </c>
      <c r="Q39" s="29">
        <v>3.0</v>
      </c>
      <c r="R39" s="29">
        <v>2.0</v>
      </c>
      <c r="S39" s="29">
        <v>5.0</v>
      </c>
      <c r="T39" s="29">
        <v>4.0</v>
      </c>
      <c r="U39" s="29">
        <v>5.0</v>
      </c>
      <c r="V39" s="30">
        <f t="shared" si="9"/>
        <v>41</v>
      </c>
      <c r="W39" s="30">
        <f t="shared" si="10"/>
        <v>40</v>
      </c>
      <c r="X39" s="30">
        <f t="shared" si="11"/>
        <v>81</v>
      </c>
      <c r="Y39" s="31">
        <f t="shared" si="12"/>
        <v>74</v>
      </c>
    </row>
    <row r="40" ht="12.75" customHeight="1">
      <c r="A40" s="34"/>
      <c r="B40" s="34"/>
      <c r="C40" s="19" t="s">
        <v>21</v>
      </c>
      <c r="D40" s="21" t="str">
        <f t="array" ref="D40">IF(OR(SUM(IF(IF(SkinsGrossCumulative="Y", D32:D39, 10)=MIN(IF(SkinsGrossCumulative="Y", D32:D39, 10)), 1, 0)) &gt; 1, MIN(IF(SkinsGrossCumulative="Y", D32:D39, 10)) &gt; D31), "", INDEX(PlayersInitials,MATCH(MIN(IF(SkinsGrossCumulative="Y",D32:D39,10)),IF(SkinsGrossCumulative="Y",D32:D39,10),0)))</f>
        <v>BB</v>
      </c>
      <c r="E40" s="21" t="str">
        <f t="array" ref="E40">IF(OR(SUM(IF(IF(SkinsGrossCumulative="Y", E32:E39, 10)=MIN(IF(SkinsGrossCumulative="Y", E32:E39, 10)), 1, 0)) &gt; 1, MIN(IF(SkinsGrossCumulative="Y", E32:E39, 10)) &gt; E31), "", INDEX(PlayersInitials,MATCH(MIN(IF(SkinsGrossCumulative="Y",E32:E39,10)),IF(SkinsGrossCumulative="Y",E32:E39,10),0)))</f>
        <v>EO</v>
      </c>
      <c r="F40" s="21" t="str">
        <f t="array" ref="F40">IF(OR(SUM(IF(IF(SkinsGrossCumulative="Y", F32:F39, 10)=MIN(IF(SkinsGrossCumulative="Y", F32:F39, 10)), 1, 0)) &gt; 1, MIN(IF(SkinsGrossCumulative="Y", F32:F39, 10)) &gt; F31), "", INDEX(PlayersInitials,MATCH(MIN(IF(SkinsGrossCumulative="Y",F32:F39,10)),IF(SkinsGrossCumulative="Y",F32:F39,10),0)))</f>
        <v/>
      </c>
      <c r="G40" s="21" t="str">
        <f t="array" ref="G40">IF(OR(SUM(IF(IF(SkinsGrossCumulative="Y", G32:G39, 10)=MIN(IF(SkinsGrossCumulative="Y", G32:G39, 10)), 1, 0)) &gt; 1, MIN(IF(SkinsGrossCumulative="Y", G32:G39, 10)) &gt; G31), "", INDEX(PlayersInitials,MATCH(MIN(IF(SkinsGrossCumulative="Y",G32:G39,10)),IF(SkinsGrossCumulative="Y",G32:G39,10),0)))</f>
        <v/>
      </c>
      <c r="H40" s="21" t="str">
        <f t="array" ref="H40">IF(OR(SUM(IF(IF(SkinsGrossCumulative="Y", H32:H39, 10)=MIN(IF(SkinsGrossCumulative="Y", H32:H39, 10)), 1, 0)) &gt; 1, MIN(IF(SkinsGrossCumulative="Y", H32:H39, 10)) &gt; H31), "", INDEX(PlayersInitials,MATCH(MIN(IF(SkinsGrossCumulative="Y",H32:H39,10)),IF(SkinsGrossCumulative="Y",H32:H39,10),0)))</f>
        <v/>
      </c>
      <c r="I40" s="21" t="str">
        <f t="array" ref="I40">IF(OR(SUM(IF(IF(SkinsGrossCumulative="Y", I32:I39, 10)=MIN(IF(SkinsGrossCumulative="Y", I32:I39, 10)), 1, 0)) &gt; 1, MIN(IF(SkinsGrossCumulative="Y", I32:I39, 10)) &gt; I31), "", INDEX(PlayersInitials,MATCH(MIN(IF(SkinsGrossCumulative="Y",I32:I39,10)),IF(SkinsGrossCumulative="Y",I32:I39,10),0)))</f>
        <v/>
      </c>
      <c r="J40" s="21" t="str">
        <f t="array" ref="J40">IF(OR(SUM(IF(IF(SkinsGrossCumulative="Y", J32:J39, 10)=MIN(IF(SkinsGrossCumulative="Y", J32:J39, 10)), 1, 0)) &gt; 1, MIN(IF(SkinsGrossCumulative="Y", J32:J39, 10)) &gt; J31), "", INDEX(PlayersInitials,MATCH(MIN(IF(SkinsGrossCumulative="Y",J32:J39,10)),IF(SkinsGrossCumulative="Y",J32:J39,10),0)))</f>
        <v>BB</v>
      </c>
      <c r="K40" s="21" t="str">
        <f t="array" ref="K40">IF(OR(SUM(IF(IF(SkinsGrossCumulative="Y", K32:K39, 10)=MIN(IF(SkinsGrossCumulative="Y", K32:K39, 10)), 1, 0)) &gt; 1, MIN(IF(SkinsGrossCumulative="Y", K32:K39, 10)) &gt; K31), "", INDEX(PlayersInitials,MATCH(MIN(IF(SkinsGrossCumulative="Y",K32:K39,10)),IF(SkinsGrossCumulative="Y",K32:K39,10),0)))</f>
        <v/>
      </c>
      <c r="L40" s="21" t="str">
        <f t="array" ref="L40">IF(OR(SUM(IF(IF(SkinsGrossCumulative="Y", L32:L39, 10)=MIN(IF(SkinsGrossCumulative="Y", L32:L39, 10)), 1, 0)) &gt; 1, MIN(IF(SkinsGrossCumulative="Y", L32:L39, 10)) &gt; L31), "", INDEX(PlayersInitials,MATCH(MIN(IF(SkinsGrossCumulative="Y",L32:L39,10)),IF(SkinsGrossCumulative="Y",L32:L39,10),0)))</f>
        <v>AJ</v>
      </c>
      <c r="M40" s="21" t="str">
        <f t="array" ref="M40">IF(OR(SUM(IF(IF(SkinsGrossCumulative="Y", M32:M39, 10)=MIN(IF(SkinsGrossCumulative="Y", M32:M39, 10)), 1, 0)) &gt; 1, MIN(IF(SkinsGrossCumulative="Y", M32:M39, 10)) &gt; M31), "", INDEX(PlayersInitials,MATCH(MIN(IF(SkinsGrossCumulative="Y",M32:M39,10)),IF(SkinsGrossCumulative="Y",M32:M39,10),0)))</f>
        <v/>
      </c>
      <c r="N40" s="21" t="str">
        <f t="array" ref="N40">IF(OR(SUM(IF(IF(SkinsGrossCumulative="Y", N32:N39, 10)=MIN(IF(SkinsGrossCumulative="Y", N32:N39, 10)), 1, 0)) &gt; 1, MIN(IF(SkinsGrossCumulative="Y", N32:N39, 10)) &gt; N31), "", INDEX(PlayersInitials,MATCH(MIN(IF(SkinsGrossCumulative="Y",N32:N39,10)),IF(SkinsGrossCumulative="Y",N32:N39,10),0)))</f>
        <v/>
      </c>
      <c r="O40" s="21" t="str">
        <f t="array" ref="O40">IF(OR(SUM(IF(IF(SkinsGrossCumulative="Y", O32:O39, 10)=MIN(IF(SkinsGrossCumulative="Y", O32:O39, 10)), 1, 0)) &gt; 1, MIN(IF(SkinsGrossCumulative="Y", O32:O39, 10)) &gt; O31), "", INDEX(PlayersInitials,MATCH(MIN(IF(SkinsGrossCumulative="Y",O32:O39,10)),IF(SkinsGrossCumulative="Y",O32:O39,10),0)))</f>
        <v/>
      </c>
      <c r="P40" s="21" t="str">
        <f t="array" ref="P40">IF(OR(SUM(IF(IF(SkinsGrossCumulative="Y", P32:P39, 10)=MIN(IF(SkinsGrossCumulative="Y", P32:P39, 10)), 1, 0)) &gt; 1, MIN(IF(SkinsGrossCumulative="Y", P32:P39, 10)) &gt; P31), "", INDEX(PlayersInitials,MATCH(MIN(IF(SkinsGrossCumulative="Y",P32:P39,10)),IF(SkinsGrossCumulative="Y",P32:P39,10),0)))</f>
        <v/>
      </c>
      <c r="Q40" s="21" t="str">
        <f t="array" ref="Q40">IF(OR(SUM(IF(IF(SkinsGrossCumulative="Y", Q32:Q39, 10)=MIN(IF(SkinsGrossCumulative="Y", Q32:Q39, 10)), 1, 0)) &gt; 1, MIN(IF(SkinsGrossCumulative="Y", Q32:Q39, 10)) &gt; Q31), "", INDEX(PlayersInitials,MATCH(MIN(IF(SkinsGrossCumulative="Y",Q32:Q39,10)),IF(SkinsGrossCumulative="Y",Q32:Q39,10),0)))</f>
        <v/>
      </c>
      <c r="R40" s="21" t="str">
        <f t="array" ref="R40">IF(OR(SUM(IF(IF(SkinsGrossCumulative="Y", R32:R39, 10)=MIN(IF(SkinsGrossCumulative="Y", R32:R39, 10)), 1, 0)) &gt; 1, MIN(IF(SkinsGrossCumulative="Y", R32:R39, 10)) &gt; R31), "", INDEX(PlayersInitials,MATCH(MIN(IF(SkinsGrossCumulative="Y",R32:R39,10)),IF(SkinsGrossCumulative="Y",R32:R39,10),0)))</f>
        <v>SR</v>
      </c>
      <c r="S40" s="21" t="str">
        <f t="array" ref="S40">IF(OR(SUM(IF(IF(SkinsGrossCumulative="Y", S32:S39, 10)=MIN(IF(SkinsGrossCumulative="Y", S32:S39, 10)), 1, 0)) &gt; 1, MIN(IF(SkinsGrossCumulative="Y", S32:S39, 10)) &gt; S31), "", INDEX(PlayersInitials,MATCH(MIN(IF(SkinsGrossCumulative="Y",S32:S39,10)),IF(SkinsGrossCumulative="Y",S32:S39,10),0)))</f>
        <v/>
      </c>
      <c r="T40" s="21" t="str">
        <f t="array" ref="T40">IF(OR(SUM(IF(IF(SkinsGrossCumulative="Y", T32:T39, 10)=MIN(IF(SkinsGrossCumulative="Y", T32:T39, 10)), 1, 0)) &gt; 1, MIN(IF(SkinsGrossCumulative="Y", T32:T39, 10)) &gt; T31), "", INDEX(PlayersInitials,MATCH(MIN(IF(SkinsGrossCumulative="Y",T32:T39,10)),IF(SkinsGrossCumulative="Y",T32:T39,10),0)))</f>
        <v/>
      </c>
      <c r="U40" s="21" t="str">
        <f t="array" ref="U40">IF(OR(SUM(IF(IF(SkinsGrossCumulative="Y", U32:U39, 10)=MIN(IF(SkinsGrossCumulative="Y", U32:U39, 10)), 1, 0)) &gt; 1, MIN(IF(SkinsGrossCumulative="Y", U32:U39, 10)) &gt; U31), "", INDEX(PlayersInitials,MATCH(MIN(IF(SkinsGrossCumulative="Y",U32:U39,10)),IF(SkinsGrossCumulative="Y",U32:U39,10),0)))</f>
        <v>JC</v>
      </c>
      <c r="V40" s="21"/>
      <c r="W40" s="21"/>
      <c r="X40" s="21">
        <f>18-COUNTBLANK(D40:U40)</f>
        <v>6</v>
      </c>
      <c r="Y40" s="35"/>
    </row>
    <row r="41" ht="12.75" customHeight="1">
      <c r="A41" s="11"/>
      <c r="B41" s="11"/>
      <c r="C41" s="19" t="s">
        <v>22</v>
      </c>
      <c r="D41" s="21"/>
      <c r="E41" s="21"/>
      <c r="F41" s="21"/>
      <c r="G41" s="21"/>
      <c r="H41" s="21"/>
      <c r="I41" s="21"/>
      <c r="J41" s="20"/>
      <c r="K41" s="21"/>
      <c r="L41" s="21"/>
      <c r="M41" s="21"/>
      <c r="N41" s="21"/>
      <c r="O41" s="20"/>
      <c r="P41" s="21"/>
      <c r="Q41" s="21"/>
      <c r="R41" s="20"/>
      <c r="S41" s="21"/>
      <c r="T41" s="21"/>
      <c r="U41" s="21"/>
      <c r="V41" s="21">
        <f>countif(D31:L31,3)</f>
        <v>3</v>
      </c>
      <c r="W41" s="21">
        <f>countif(M31:U31,3)</f>
        <v>2</v>
      </c>
      <c r="X41" s="21">
        <f>COUNTA(D41:U41)</f>
        <v>0</v>
      </c>
      <c r="Y41" s="35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12.75" customHeight="1">
      <c r="A43" s="11"/>
      <c r="B43" s="11"/>
      <c r="C43" s="12" t="str">
        <f>'Players and Handis SETUP'!G1</f>
        <v>ST IVES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4"/>
      <c r="X43" s="15">
        <v>70.5</v>
      </c>
      <c r="Y43" s="15">
        <v>141.0</v>
      </c>
    </row>
    <row r="44" ht="12.75" customHeight="1">
      <c r="A44" s="11"/>
      <c r="B44" s="11"/>
      <c r="C44" s="16" t="s">
        <v>5</v>
      </c>
      <c r="D44" s="17">
        <v>1.0</v>
      </c>
      <c r="E44" s="17">
        <v>2.0</v>
      </c>
      <c r="F44" s="17">
        <v>3.0</v>
      </c>
      <c r="G44" s="17">
        <v>4.0</v>
      </c>
      <c r="H44" s="17">
        <v>5.0</v>
      </c>
      <c r="I44" s="17">
        <v>6.0</v>
      </c>
      <c r="J44" s="17">
        <v>7.0</v>
      </c>
      <c r="K44" s="17">
        <v>8.0</v>
      </c>
      <c r="L44" s="17">
        <v>9.0</v>
      </c>
      <c r="M44" s="17">
        <v>10.0</v>
      </c>
      <c r="N44" s="17">
        <v>11.0</v>
      </c>
      <c r="O44" s="17">
        <v>12.0</v>
      </c>
      <c r="P44" s="17">
        <v>13.0</v>
      </c>
      <c r="Q44" s="17">
        <v>14.0</v>
      </c>
      <c r="R44" s="17">
        <v>15.0</v>
      </c>
      <c r="S44" s="17">
        <v>16.0</v>
      </c>
      <c r="T44" s="17">
        <v>17.0</v>
      </c>
      <c r="U44" s="17">
        <v>18.0</v>
      </c>
      <c r="V44" s="17" t="s">
        <v>6</v>
      </c>
      <c r="W44" s="17" t="s">
        <v>7</v>
      </c>
      <c r="X44" s="17" t="s">
        <v>8</v>
      </c>
      <c r="Y44" s="17" t="s">
        <v>9</v>
      </c>
    </row>
    <row r="45" ht="12.75" customHeight="1">
      <c r="A45" s="18" t="s">
        <v>10</v>
      </c>
      <c r="B45" s="18" t="s">
        <v>11</v>
      </c>
      <c r="C45" s="19" t="s">
        <v>12</v>
      </c>
      <c r="D45" s="20">
        <v>4.0</v>
      </c>
      <c r="E45" s="20">
        <v>3.0</v>
      </c>
      <c r="F45" s="20">
        <v>4.0</v>
      </c>
      <c r="G45" s="20">
        <v>5.0</v>
      </c>
      <c r="H45" s="20">
        <v>4.0</v>
      </c>
      <c r="I45" s="20">
        <v>4.0</v>
      </c>
      <c r="J45" s="20">
        <v>5.0</v>
      </c>
      <c r="K45" s="20">
        <v>3.0</v>
      </c>
      <c r="L45" s="20">
        <v>4.0</v>
      </c>
      <c r="M45" s="20">
        <v>4.0</v>
      </c>
      <c r="N45" s="20">
        <v>5.0</v>
      </c>
      <c r="O45" s="20">
        <v>4.0</v>
      </c>
      <c r="P45" s="20">
        <v>3.0</v>
      </c>
      <c r="Q45" s="21">
        <v>4.0</v>
      </c>
      <c r="R45" s="20">
        <v>4.0</v>
      </c>
      <c r="S45" s="20">
        <v>3.0</v>
      </c>
      <c r="T45" s="20">
        <v>5.0</v>
      </c>
      <c r="U45" s="21">
        <v>4.0</v>
      </c>
      <c r="V45" s="21">
        <f t="shared" ref="V45:V53" si="13">SUM(D45:L45)</f>
        <v>36</v>
      </c>
      <c r="W45" s="21">
        <f t="shared" ref="W45:W53" si="14">SUM(M45:U45)</f>
        <v>36</v>
      </c>
      <c r="X45" s="21">
        <f>V45+W45</f>
        <v>72</v>
      </c>
      <c r="Y45" s="21"/>
    </row>
    <row r="46" ht="12.75" customHeight="1">
      <c r="A46" s="22" t="s">
        <v>13</v>
      </c>
      <c r="B46" s="23">
        <v>7.0</v>
      </c>
      <c r="C46" s="19"/>
      <c r="D46" s="24">
        <v>4.0</v>
      </c>
      <c r="E46" s="24">
        <v>4.0</v>
      </c>
      <c r="F46" s="24">
        <v>5.0</v>
      </c>
      <c r="G46" s="24">
        <v>6.0</v>
      </c>
      <c r="H46" s="24">
        <v>5.0</v>
      </c>
      <c r="I46" s="24">
        <v>4.0</v>
      </c>
      <c r="J46" s="24">
        <v>6.0</v>
      </c>
      <c r="K46" s="24">
        <v>3.0</v>
      </c>
      <c r="L46" s="24">
        <v>4.0</v>
      </c>
      <c r="M46" s="24">
        <v>4.0</v>
      </c>
      <c r="N46" s="24">
        <v>7.0</v>
      </c>
      <c r="O46" s="24">
        <v>5.0</v>
      </c>
      <c r="P46" s="24">
        <v>4.0</v>
      </c>
      <c r="Q46" s="24">
        <v>7.0</v>
      </c>
      <c r="R46" s="24">
        <v>4.0</v>
      </c>
      <c r="S46" s="24">
        <v>8.0</v>
      </c>
      <c r="T46" s="24">
        <v>7.0</v>
      </c>
      <c r="U46" s="24">
        <v>5.0</v>
      </c>
      <c r="V46" s="25">
        <f t="shared" si="13"/>
        <v>41</v>
      </c>
      <c r="W46" s="25">
        <f t="shared" si="14"/>
        <v>51</v>
      </c>
      <c r="X46" s="25">
        <f t="shared" ref="X46:X53" si="15">IF(W46&gt;0,V46+W46,"")</f>
        <v>92</v>
      </c>
      <c r="Y46" s="26">
        <f t="shared" ref="Y46:Y53" si="16">IF(W46=0,"",X46-B46)</f>
        <v>85</v>
      </c>
    </row>
    <row r="47" ht="12.75" customHeight="1">
      <c r="A47" s="27" t="s">
        <v>14</v>
      </c>
      <c r="B47" s="23">
        <v>16.0</v>
      </c>
      <c r="C47" s="19"/>
      <c r="D47" s="29">
        <v>4.0</v>
      </c>
      <c r="E47" s="29">
        <v>5.0</v>
      </c>
      <c r="F47" s="29">
        <v>5.0</v>
      </c>
      <c r="G47" s="29">
        <v>6.0</v>
      </c>
      <c r="H47" s="29">
        <v>5.0</v>
      </c>
      <c r="I47" s="29">
        <v>5.0</v>
      </c>
      <c r="J47" s="29">
        <v>6.0</v>
      </c>
      <c r="K47" s="29">
        <v>3.0</v>
      </c>
      <c r="L47" s="29">
        <v>7.0</v>
      </c>
      <c r="M47" s="29">
        <v>4.0</v>
      </c>
      <c r="N47" s="29">
        <v>6.0</v>
      </c>
      <c r="O47" s="29">
        <v>5.0</v>
      </c>
      <c r="P47" s="29">
        <v>4.0</v>
      </c>
      <c r="Q47" s="29">
        <v>6.0</v>
      </c>
      <c r="R47" s="29">
        <v>5.0</v>
      </c>
      <c r="S47" s="29">
        <v>4.0</v>
      </c>
      <c r="T47" s="29">
        <v>6.0</v>
      </c>
      <c r="U47" s="29">
        <v>7.0</v>
      </c>
      <c r="V47" s="30">
        <f t="shared" si="13"/>
        <v>46</v>
      </c>
      <c r="W47" s="30">
        <f t="shared" si="14"/>
        <v>47</v>
      </c>
      <c r="X47" s="30">
        <f t="shared" si="15"/>
        <v>93</v>
      </c>
      <c r="Y47" s="31">
        <f t="shared" si="16"/>
        <v>77</v>
      </c>
    </row>
    <row r="48" ht="12.75" customHeight="1">
      <c r="A48" s="22" t="s">
        <v>15</v>
      </c>
      <c r="B48" s="23">
        <v>15.0</v>
      </c>
      <c r="C48" s="19"/>
      <c r="D48" s="24">
        <v>5.0</v>
      </c>
      <c r="E48" s="24">
        <v>6.0</v>
      </c>
      <c r="F48" s="24">
        <v>5.0</v>
      </c>
      <c r="G48" s="24">
        <v>7.0</v>
      </c>
      <c r="H48" s="24">
        <v>7.0</v>
      </c>
      <c r="I48" s="24">
        <v>5.0</v>
      </c>
      <c r="J48" s="24">
        <v>6.0</v>
      </c>
      <c r="K48" s="24">
        <v>4.0</v>
      </c>
      <c r="L48" s="24">
        <v>5.0</v>
      </c>
      <c r="M48" s="24">
        <v>5.0</v>
      </c>
      <c r="N48" s="24">
        <v>6.0</v>
      </c>
      <c r="O48" s="24">
        <v>5.0</v>
      </c>
      <c r="P48" s="24">
        <v>5.0</v>
      </c>
      <c r="Q48" s="24">
        <v>6.0</v>
      </c>
      <c r="R48" s="24">
        <v>7.0</v>
      </c>
      <c r="S48" s="24">
        <v>3.0</v>
      </c>
      <c r="T48" s="24">
        <v>6.0</v>
      </c>
      <c r="U48" s="24">
        <v>8.0</v>
      </c>
      <c r="V48" s="25">
        <f t="shared" si="13"/>
        <v>50</v>
      </c>
      <c r="W48" s="25">
        <f t="shared" si="14"/>
        <v>51</v>
      </c>
      <c r="X48" s="25">
        <f t="shared" si="15"/>
        <v>101</v>
      </c>
      <c r="Y48" s="26">
        <f t="shared" si="16"/>
        <v>86</v>
      </c>
    </row>
    <row r="49" ht="12.75" customHeight="1">
      <c r="A49" s="27" t="s">
        <v>16</v>
      </c>
      <c r="B49" s="23">
        <v>15.0</v>
      </c>
      <c r="C49" s="19"/>
      <c r="D49" s="29">
        <v>8.0</v>
      </c>
      <c r="E49" s="29">
        <v>2.0</v>
      </c>
      <c r="F49" s="29">
        <v>5.0</v>
      </c>
      <c r="G49" s="29">
        <v>5.0</v>
      </c>
      <c r="H49" s="29">
        <v>5.0</v>
      </c>
      <c r="I49" s="29">
        <v>4.0</v>
      </c>
      <c r="J49" s="29">
        <v>6.0</v>
      </c>
      <c r="K49" s="29">
        <v>3.0</v>
      </c>
      <c r="L49" s="29">
        <v>6.0</v>
      </c>
      <c r="M49" s="29">
        <v>4.0</v>
      </c>
      <c r="N49" s="29">
        <v>5.0</v>
      </c>
      <c r="O49" s="29">
        <v>5.0</v>
      </c>
      <c r="P49" s="29">
        <v>5.0</v>
      </c>
      <c r="Q49" s="29">
        <v>5.0</v>
      </c>
      <c r="R49" s="29">
        <v>4.0</v>
      </c>
      <c r="S49" s="29">
        <v>4.0</v>
      </c>
      <c r="T49" s="29">
        <v>6.0</v>
      </c>
      <c r="U49" s="29">
        <v>5.0</v>
      </c>
      <c r="V49" s="30">
        <f t="shared" si="13"/>
        <v>44</v>
      </c>
      <c r="W49" s="30">
        <f t="shared" si="14"/>
        <v>43</v>
      </c>
      <c r="X49" s="30">
        <f t="shared" si="15"/>
        <v>87</v>
      </c>
      <c r="Y49" s="31">
        <f t="shared" si="16"/>
        <v>72</v>
      </c>
    </row>
    <row r="50" ht="12.75" customHeight="1">
      <c r="A50" s="22" t="s">
        <v>17</v>
      </c>
      <c r="B50" s="23">
        <v>17.0</v>
      </c>
      <c r="C50" s="19"/>
      <c r="D50" s="24">
        <v>7.0</v>
      </c>
      <c r="E50" s="24">
        <v>4.0</v>
      </c>
      <c r="F50" s="24">
        <v>9.0</v>
      </c>
      <c r="G50" s="24">
        <v>6.0</v>
      </c>
      <c r="H50" s="24">
        <v>4.0</v>
      </c>
      <c r="I50" s="24">
        <v>5.0</v>
      </c>
      <c r="J50" s="24">
        <v>6.0</v>
      </c>
      <c r="K50" s="24">
        <v>4.0</v>
      </c>
      <c r="L50" s="24">
        <v>5.0</v>
      </c>
      <c r="M50" s="24">
        <v>5.0</v>
      </c>
      <c r="N50" s="24">
        <v>8.0</v>
      </c>
      <c r="O50" s="24">
        <v>6.0</v>
      </c>
      <c r="P50" s="24">
        <v>6.0</v>
      </c>
      <c r="Q50" s="24">
        <v>7.0</v>
      </c>
      <c r="R50" s="24">
        <v>6.0</v>
      </c>
      <c r="S50" s="24">
        <v>3.0</v>
      </c>
      <c r="T50" s="24">
        <v>5.0</v>
      </c>
      <c r="U50" s="24">
        <v>7.0</v>
      </c>
      <c r="V50" s="25">
        <f t="shared" si="13"/>
        <v>50</v>
      </c>
      <c r="W50" s="25">
        <f t="shared" si="14"/>
        <v>53</v>
      </c>
      <c r="X50" s="25">
        <f t="shared" si="15"/>
        <v>103</v>
      </c>
      <c r="Y50" s="26">
        <f t="shared" si="16"/>
        <v>86</v>
      </c>
    </row>
    <row r="51" ht="12.75" customHeight="1">
      <c r="A51" s="32" t="s">
        <v>18</v>
      </c>
      <c r="B51" s="23">
        <v>15.0</v>
      </c>
      <c r="C51" s="19"/>
      <c r="D51" s="29">
        <v>8.0</v>
      </c>
      <c r="E51" s="29">
        <v>4.0</v>
      </c>
      <c r="F51" s="29">
        <v>5.0</v>
      </c>
      <c r="G51" s="29">
        <v>6.0</v>
      </c>
      <c r="H51" s="29">
        <v>4.0</v>
      </c>
      <c r="I51" s="29">
        <v>4.0</v>
      </c>
      <c r="J51" s="29">
        <v>5.0</v>
      </c>
      <c r="K51" s="29">
        <v>3.0</v>
      </c>
      <c r="L51" s="29">
        <v>7.0</v>
      </c>
      <c r="M51" s="29">
        <v>6.0</v>
      </c>
      <c r="N51" s="29">
        <v>8.0</v>
      </c>
      <c r="O51" s="29">
        <v>5.0</v>
      </c>
      <c r="P51" s="29">
        <v>6.0</v>
      </c>
      <c r="Q51" s="29">
        <v>7.0</v>
      </c>
      <c r="R51" s="29">
        <v>7.0</v>
      </c>
      <c r="S51" s="29">
        <v>4.0</v>
      </c>
      <c r="T51" s="29">
        <v>6.0</v>
      </c>
      <c r="U51" s="29">
        <v>6.0</v>
      </c>
      <c r="V51" s="30">
        <f t="shared" si="13"/>
        <v>46</v>
      </c>
      <c r="W51" s="30">
        <f t="shared" si="14"/>
        <v>55</v>
      </c>
      <c r="X51" s="30">
        <f t="shared" si="15"/>
        <v>101</v>
      </c>
      <c r="Y51" s="31">
        <f t="shared" si="16"/>
        <v>86</v>
      </c>
    </row>
    <row r="52" ht="12.75" customHeight="1">
      <c r="A52" s="33" t="s">
        <v>19</v>
      </c>
      <c r="B52" s="23">
        <v>12.0</v>
      </c>
      <c r="C52" s="19"/>
      <c r="D52" s="24">
        <v>6.0</v>
      </c>
      <c r="E52" s="24">
        <v>3.0</v>
      </c>
      <c r="F52" s="24">
        <v>5.0</v>
      </c>
      <c r="G52" s="24">
        <v>7.0</v>
      </c>
      <c r="H52" s="24">
        <v>5.0</v>
      </c>
      <c r="I52" s="24">
        <v>5.0</v>
      </c>
      <c r="J52" s="24">
        <v>7.0</v>
      </c>
      <c r="K52" s="24">
        <v>3.0</v>
      </c>
      <c r="L52" s="24">
        <v>5.0</v>
      </c>
      <c r="M52" s="24">
        <v>4.0</v>
      </c>
      <c r="N52" s="24">
        <v>6.0</v>
      </c>
      <c r="O52" s="24">
        <v>4.0</v>
      </c>
      <c r="P52" s="24">
        <v>2.0</v>
      </c>
      <c r="Q52" s="24">
        <v>7.0</v>
      </c>
      <c r="R52" s="24">
        <v>4.0</v>
      </c>
      <c r="S52" s="24">
        <v>2.0</v>
      </c>
      <c r="T52" s="24">
        <v>6.0</v>
      </c>
      <c r="U52" s="24">
        <v>5.0</v>
      </c>
      <c r="V52" s="25">
        <f t="shared" si="13"/>
        <v>46</v>
      </c>
      <c r="W52" s="25">
        <f t="shared" si="14"/>
        <v>40</v>
      </c>
      <c r="X52" s="25">
        <f t="shared" si="15"/>
        <v>86</v>
      </c>
      <c r="Y52" s="26">
        <f t="shared" si="16"/>
        <v>74</v>
      </c>
    </row>
    <row r="53" ht="12.75" customHeight="1">
      <c r="A53" s="32" t="s">
        <v>20</v>
      </c>
      <c r="B53" s="23">
        <v>7.0</v>
      </c>
      <c r="C53" s="19"/>
      <c r="D53" s="29">
        <v>5.0</v>
      </c>
      <c r="E53" s="29">
        <v>4.0</v>
      </c>
      <c r="F53" s="29">
        <v>5.0</v>
      </c>
      <c r="G53" s="29">
        <v>6.0</v>
      </c>
      <c r="H53" s="29">
        <v>3.0</v>
      </c>
      <c r="I53" s="29">
        <v>4.0</v>
      </c>
      <c r="J53" s="29">
        <v>5.0</v>
      </c>
      <c r="K53" s="29">
        <v>3.0</v>
      </c>
      <c r="L53" s="29">
        <v>5.0</v>
      </c>
      <c r="M53" s="29">
        <v>4.0</v>
      </c>
      <c r="N53" s="29">
        <v>5.0</v>
      </c>
      <c r="O53" s="29">
        <v>6.0</v>
      </c>
      <c r="P53" s="29">
        <v>3.0</v>
      </c>
      <c r="Q53" s="29">
        <v>6.0</v>
      </c>
      <c r="R53" s="29">
        <v>5.0</v>
      </c>
      <c r="S53" s="29">
        <v>3.0</v>
      </c>
      <c r="T53" s="29">
        <v>7.0</v>
      </c>
      <c r="U53" s="29">
        <v>5.0</v>
      </c>
      <c r="V53" s="30">
        <f t="shared" si="13"/>
        <v>40</v>
      </c>
      <c r="W53" s="30">
        <f t="shared" si="14"/>
        <v>44</v>
      </c>
      <c r="X53" s="30">
        <f t="shared" si="15"/>
        <v>84</v>
      </c>
      <c r="Y53" s="31">
        <f t="shared" si="16"/>
        <v>77</v>
      </c>
    </row>
    <row r="54" ht="12.75" customHeight="1">
      <c r="A54" s="34"/>
      <c r="B54" s="34"/>
      <c r="C54" s="19" t="s">
        <v>21</v>
      </c>
      <c r="D54" s="21" t="str">
        <f t="array" ref="D54">IF(OR(SUM(IF(IF(SkinsGrossCumulative="Y", D46:D53, 10)=MIN(IF(SkinsGrossCumulative="Y", D46:D53, 10)), 1, 0)) &gt; 1, MIN(IF(SkinsGrossCumulative="Y", D46:D53, 10)) &gt; D45), "", INDEX(PlayersInitials,MATCH(MIN(IF(SkinsGrossCumulative="Y",D46:D53,10)),IF(SkinsGrossCumulative="Y",D46:D53,10),0)))</f>
        <v/>
      </c>
      <c r="E54" s="21" t="str">
        <f t="array" ref="E54">IF(OR(SUM(IF(IF(SkinsGrossCumulative="Y", E46:E53, 10)=MIN(IF(SkinsGrossCumulative="Y", E46:E53, 10)), 1, 0)) &gt; 1, MIN(IF(SkinsGrossCumulative="Y", E46:E53, 10)) &gt; E45), "", INDEX(PlayersInitials,MATCH(MIN(IF(SkinsGrossCumulative="Y",E46:E53,10)),IF(SkinsGrossCumulative="Y",E46:E53,10),0)))</f>
        <v>BK</v>
      </c>
      <c r="F54" s="21" t="str">
        <f t="array" ref="F54">IF(OR(SUM(IF(IF(SkinsGrossCumulative="Y", F46:F53, 10)=MIN(IF(SkinsGrossCumulative="Y", F46:F53, 10)), 1, 0)) &gt; 1, MIN(IF(SkinsGrossCumulative="Y", F46:F53, 10)) &gt; F45), "", INDEX(PlayersInitials,MATCH(MIN(IF(SkinsGrossCumulative="Y",F46:F53,10)),IF(SkinsGrossCumulative="Y",F46:F53,10),0)))</f>
        <v/>
      </c>
      <c r="G54" s="21" t="str">
        <f t="array" ref="G54">IF(OR(SUM(IF(IF(SkinsGrossCumulative="Y", G46:G53, 10)=MIN(IF(SkinsGrossCumulative="Y", G46:G53, 10)), 1, 0)) &gt; 1, MIN(IF(SkinsGrossCumulative="Y", G46:G53, 10)) &gt; G45), "", INDEX(PlayersInitials,MATCH(MIN(IF(SkinsGrossCumulative="Y",G46:G53,10)),IF(SkinsGrossCumulative="Y",G46:G53,10),0)))</f>
        <v>BK</v>
      </c>
      <c r="H54" s="21" t="str">
        <f t="array" ref="H54">IF(OR(SUM(IF(IF(SkinsGrossCumulative="Y", H46:H53, 10)=MIN(IF(SkinsGrossCumulative="Y", H46:H53, 10)), 1, 0)) &gt; 1, MIN(IF(SkinsGrossCumulative="Y", H46:H53, 10)) &gt; H45), "", INDEX(PlayersInitials,MATCH(MIN(IF(SkinsGrossCumulative="Y",H46:H53,10)),IF(SkinsGrossCumulative="Y",H46:H53,10),0)))</f>
        <v>SR</v>
      </c>
      <c r="I54" s="21" t="str">
        <f t="array" ref="I54">IF(OR(SUM(IF(IF(SkinsGrossCumulative="Y", I46:I53, 10)=MIN(IF(SkinsGrossCumulative="Y", I46:I53, 10)), 1, 0)) &gt; 1, MIN(IF(SkinsGrossCumulative="Y", I46:I53, 10)) &gt; I45), "", INDEX(PlayersInitials,MATCH(MIN(IF(SkinsGrossCumulative="Y",I46:I53,10)),IF(SkinsGrossCumulative="Y",I46:I53,10),0)))</f>
        <v/>
      </c>
      <c r="J54" s="21" t="str">
        <f t="array" ref="J54">IF(OR(SUM(IF(IF(SkinsGrossCumulative="Y", J46:J53, 10)=MIN(IF(SkinsGrossCumulative="Y", J46:J53, 10)), 1, 0)) &gt; 1, MIN(IF(SkinsGrossCumulative="Y", J46:J53, 10)) &gt; J45), "", INDEX(PlayersInitials,MATCH(MIN(IF(SkinsGrossCumulative="Y",J46:J53,10)),IF(SkinsGrossCumulative="Y",J46:J53,10),0)))</f>
        <v/>
      </c>
      <c r="K54" s="21" t="str">
        <f t="array" ref="K54">IF(OR(SUM(IF(IF(SkinsGrossCumulative="Y", K46:K53, 10)=MIN(IF(SkinsGrossCumulative="Y", K46:K53, 10)), 1, 0)) &gt; 1, MIN(IF(SkinsGrossCumulative="Y", K46:K53, 10)) &gt; K45), "", INDEX(PlayersInitials,MATCH(MIN(IF(SkinsGrossCumulative="Y",K46:K53,10)),IF(SkinsGrossCumulative="Y",K46:K53,10),0)))</f>
        <v/>
      </c>
      <c r="L54" s="21" t="str">
        <f t="array" ref="L54">IF(OR(SUM(IF(IF(SkinsGrossCumulative="Y", L46:L53, 10)=MIN(IF(SkinsGrossCumulative="Y", L46:L53, 10)), 1, 0)) &gt; 1, MIN(IF(SkinsGrossCumulative="Y", L46:L53, 10)) &gt; L45), "", INDEX(PlayersInitials,MATCH(MIN(IF(SkinsGrossCumulative="Y",L46:L53,10)),IF(SkinsGrossCumulative="Y",L46:L53,10),0)))</f>
        <v>AJ</v>
      </c>
      <c r="M54" s="21" t="str">
        <f t="array" ref="M54">IF(OR(SUM(IF(IF(SkinsGrossCumulative="Y", M46:M53, 10)=MIN(IF(SkinsGrossCumulative="Y", M46:M53, 10)), 1, 0)) &gt; 1, MIN(IF(SkinsGrossCumulative="Y", M46:M53, 10)) &gt; M45), "", INDEX(PlayersInitials,MATCH(MIN(IF(SkinsGrossCumulative="Y",M46:M53,10)),IF(SkinsGrossCumulative="Y",M46:M53,10),0)))</f>
        <v/>
      </c>
      <c r="N54" s="21" t="str">
        <f t="array" ref="N54">IF(OR(SUM(IF(IF(SkinsGrossCumulative="Y", N46:N53, 10)=MIN(IF(SkinsGrossCumulative="Y", N46:N53, 10)), 1, 0)) &gt; 1, MIN(IF(SkinsGrossCumulative="Y", N46:N53, 10)) &gt; N45), "", INDEX(PlayersInitials,MATCH(MIN(IF(SkinsGrossCumulative="Y",N46:N53,10)),IF(SkinsGrossCumulative="Y",N46:N53,10),0)))</f>
        <v/>
      </c>
      <c r="O54" s="21" t="str">
        <f t="array" ref="O54">IF(OR(SUM(IF(IF(SkinsGrossCumulative="Y", O46:O53, 10)=MIN(IF(SkinsGrossCumulative="Y", O46:O53, 10)), 1, 0)) &gt; 1, MIN(IF(SkinsGrossCumulative="Y", O46:O53, 10)) &gt; O45), "", INDEX(PlayersInitials,MATCH(MIN(IF(SkinsGrossCumulative="Y",O46:O53,10)),IF(SkinsGrossCumulative="Y",O46:O53,10),0)))</f>
        <v>JC</v>
      </c>
      <c r="P54" s="21" t="str">
        <f t="array" ref="P54">IF(OR(SUM(IF(IF(SkinsGrossCumulative="Y", P46:P53, 10)=MIN(IF(SkinsGrossCumulative="Y", P46:P53, 10)), 1, 0)) &gt; 1, MIN(IF(SkinsGrossCumulative="Y", P46:P53, 10)) &gt; P45), "", INDEX(PlayersInitials,MATCH(MIN(IF(SkinsGrossCumulative="Y",P46:P53,10)),IF(SkinsGrossCumulative="Y",P46:P53,10),0)))</f>
        <v>JC</v>
      </c>
      <c r="Q54" s="21" t="str">
        <f t="array" ref="Q54">IF(OR(SUM(IF(IF(SkinsGrossCumulative="Y", Q46:Q53, 10)=MIN(IF(SkinsGrossCumulative="Y", Q46:Q53, 10)), 1, 0)) &gt; 1, MIN(IF(SkinsGrossCumulative="Y", Q46:Q53, 10)) &gt; Q45), "", INDEX(PlayersInitials,MATCH(MIN(IF(SkinsGrossCumulative="Y",Q46:Q53,10)),IF(SkinsGrossCumulative="Y",Q46:Q53,10),0)))</f>
        <v/>
      </c>
      <c r="R54" s="21" t="str">
        <f t="array" ref="R54">IF(OR(SUM(IF(IF(SkinsGrossCumulative="Y", R46:R53, 10)=MIN(IF(SkinsGrossCumulative="Y", R46:R53, 10)), 1, 0)) &gt; 1, MIN(IF(SkinsGrossCumulative="Y", R46:R53, 10)) &gt; R45), "", INDEX(PlayersInitials,MATCH(MIN(IF(SkinsGrossCumulative="Y",R46:R53,10)),IF(SkinsGrossCumulative="Y",R46:R53,10),0)))</f>
        <v/>
      </c>
      <c r="S54" s="21" t="str">
        <f t="array" ref="S54">IF(OR(SUM(IF(IF(SkinsGrossCumulative="Y", S46:S53, 10)=MIN(IF(SkinsGrossCumulative="Y", S46:S53, 10)), 1, 0)) &gt; 1, MIN(IF(SkinsGrossCumulative="Y", S46:S53, 10)) &gt; S45), "", INDEX(PlayersInitials,MATCH(MIN(IF(SkinsGrossCumulative="Y",S46:S53,10)),IF(SkinsGrossCumulative="Y",S46:S53,10),0)))</f>
        <v>JC</v>
      </c>
      <c r="T54" s="21" t="str">
        <f t="array" ref="T54">IF(OR(SUM(IF(IF(SkinsGrossCumulative="Y", T46:T53, 10)=MIN(IF(SkinsGrossCumulative="Y", T46:T53, 10)), 1, 0)) &gt; 1, MIN(IF(SkinsGrossCumulative="Y", T46:T53, 10)) &gt; T45), "", INDEX(PlayersInitials,MATCH(MIN(IF(SkinsGrossCumulative="Y",T46:T53,10)),IF(SkinsGrossCumulative="Y",T46:T53,10),0)))</f>
        <v>EO</v>
      </c>
      <c r="U54" s="21" t="str">
        <f t="array" ref="U54">IF(OR(SUM(IF(IF(SkinsGrossCumulative="Y", U46:U53, 10)=MIN(IF(SkinsGrossCumulative="Y", U46:U53, 10)), 1, 0)) &gt; 1, MIN(IF(SkinsGrossCumulative="Y", U46:U53, 10)) &gt; U45), "", INDEX(PlayersInitials,MATCH(MIN(IF(SkinsGrossCumulative="Y",U46:U53,10)),IF(SkinsGrossCumulative="Y",U46:U53,10),0)))</f>
        <v/>
      </c>
      <c r="V54" s="21"/>
      <c r="W54" s="21"/>
      <c r="X54" s="21">
        <f>18-COUNTBLANK(D54:U54)</f>
        <v>8</v>
      </c>
      <c r="Y54" s="35"/>
    </row>
    <row r="55" ht="12.75" customHeight="1">
      <c r="A55" s="11"/>
      <c r="B55" s="11"/>
      <c r="C55" s="19" t="s">
        <v>22</v>
      </c>
      <c r="D55" s="21"/>
      <c r="E55" s="21"/>
      <c r="F55" s="20"/>
      <c r="G55" s="21"/>
      <c r="H55" s="21"/>
      <c r="I55" s="21"/>
      <c r="J55" s="21"/>
      <c r="K55" s="20"/>
      <c r="L55" s="21"/>
      <c r="M55" s="21"/>
      <c r="N55" s="21"/>
      <c r="O55" s="20"/>
      <c r="P55" s="21"/>
      <c r="Q55" s="21"/>
      <c r="R55" s="21"/>
      <c r="S55" s="21"/>
      <c r="T55" s="21"/>
      <c r="U55" s="21"/>
      <c r="V55" s="21">
        <f>countif(D45:L45,3)</f>
        <v>2</v>
      </c>
      <c r="W55" s="21">
        <f>countif(M45:U45,3)</f>
        <v>2</v>
      </c>
      <c r="X55" s="21">
        <f>COUNTA(D55:U55)</f>
        <v>0</v>
      </c>
      <c r="Y55" s="35"/>
    </row>
  </sheetData>
  <mergeCells count="4">
    <mergeCell ref="C1:W1"/>
    <mergeCell ref="C15:W15"/>
    <mergeCell ref="C29:W29"/>
    <mergeCell ref="C43:W43"/>
  </mergeCells>
  <conditionalFormatting sqref="D13:U13 U27 U41 U55">
    <cfRule type="expression" dxfId="0" priority="1">
      <formula>D3=3</formula>
    </cfRule>
  </conditionalFormatting>
  <conditionalFormatting sqref="D27:U27">
    <cfRule type="expression" dxfId="0" priority="2">
      <formula>D17=3</formula>
    </cfRule>
  </conditionalFormatting>
  <conditionalFormatting sqref="D41:U41">
    <cfRule type="expression" dxfId="0" priority="3">
      <formula>D31=3</formula>
    </cfRule>
  </conditionalFormatting>
  <conditionalFormatting sqref="D55:U55">
    <cfRule type="expression" dxfId="0" priority="4">
      <formula>D45=3</formula>
    </cfRule>
  </conditionalFormatting>
  <dataValidations>
    <dataValidation type="list" allowBlank="1" showErrorMessage="1" sqref="A4:A11 A18:A25 A32:A39 A46:A53">
      <formula1>'Players and Handis SETUP'!$A$3:$A$10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5.0"/>
    <col customWidth="1" min="2" max="9" width="5.86"/>
    <col customWidth="1" min="10" max="10" width="9.86"/>
    <col customWidth="1" min="11" max="11" width="12.14"/>
    <col customWidth="1" min="12" max="12" width="14.0"/>
    <col customWidth="1" min="13" max="14" width="11.57"/>
  </cols>
  <sheetData>
    <row r="1">
      <c r="B1" s="37" t="s">
        <v>23</v>
      </c>
      <c r="C1" s="13"/>
      <c r="D1" s="13"/>
      <c r="E1" s="13"/>
      <c r="F1" s="13"/>
      <c r="G1" s="13"/>
      <c r="H1" s="13"/>
      <c r="I1" s="13"/>
      <c r="J1" s="38">
        <f>sum(J3:J10)</f>
        <v>160</v>
      </c>
      <c r="K1" s="39"/>
      <c r="N1" s="39"/>
    </row>
    <row r="2">
      <c r="B2" s="40" t="s">
        <v>13</v>
      </c>
      <c r="C2" s="40" t="s">
        <v>14</v>
      </c>
      <c r="D2" s="40" t="s">
        <v>15</v>
      </c>
      <c r="E2" s="40" t="s">
        <v>16</v>
      </c>
      <c r="F2" s="40" t="s">
        <v>17</v>
      </c>
      <c r="G2" s="40" t="s">
        <v>18</v>
      </c>
      <c r="H2" s="40" t="s">
        <v>19</v>
      </c>
      <c r="I2" s="40" t="s">
        <v>20</v>
      </c>
      <c r="J2" s="40" t="s">
        <v>24</v>
      </c>
      <c r="K2" s="39"/>
      <c r="L2" s="41" t="s">
        <v>25</v>
      </c>
      <c r="M2" s="41" t="s">
        <v>26</v>
      </c>
      <c r="N2" s="39"/>
    </row>
    <row r="3">
      <c r="A3" s="42" t="s">
        <v>27</v>
      </c>
      <c r="B3" s="43">
        <v>12.0</v>
      </c>
      <c r="C3" s="43">
        <v>1.0</v>
      </c>
      <c r="D3" s="43">
        <v>1.0</v>
      </c>
      <c r="E3" s="43">
        <v>1.0</v>
      </c>
      <c r="F3" s="43">
        <v>1.0</v>
      </c>
      <c r="G3" s="43">
        <v>1.0</v>
      </c>
      <c r="H3" s="43">
        <v>1.0</v>
      </c>
      <c r="I3" s="43">
        <v>2.0</v>
      </c>
      <c r="J3" s="44">
        <f t="shared" ref="J3:J11" si="1">sum(B3:I3)</f>
        <v>20</v>
      </c>
      <c r="K3" s="39"/>
      <c r="L3" s="45" t="s">
        <v>27</v>
      </c>
      <c r="M3" s="46">
        <f t="shared" ref="M3:M10" si="2">if($A$13="","",if($M$14=0,(($J$1+$J$13)*(N15/$N$23)),if($N$14=0,(($J$1+$J$13)*(M15/$M$23)),(($M$14*M15)+($N$14*N15)))))</f>
        <v>24.76190476</v>
      </c>
      <c r="N3" s="47"/>
    </row>
    <row r="4">
      <c r="A4" s="45" t="s">
        <v>28</v>
      </c>
      <c r="B4" s="48">
        <v>3.0</v>
      </c>
      <c r="C4" s="48">
        <v>10.0</v>
      </c>
      <c r="D4" s="48"/>
      <c r="E4" s="48"/>
      <c r="F4" s="48"/>
      <c r="G4" s="48"/>
      <c r="H4" s="48">
        <v>5.0</v>
      </c>
      <c r="I4" s="48">
        <v>2.0</v>
      </c>
      <c r="J4" s="49">
        <f t="shared" si="1"/>
        <v>20</v>
      </c>
      <c r="K4" s="39"/>
      <c r="L4" s="45" t="s">
        <v>28</v>
      </c>
      <c r="M4" s="46">
        <f t="shared" si="2"/>
        <v>11.42857143</v>
      </c>
      <c r="N4" s="50"/>
    </row>
    <row r="5">
      <c r="A5" s="42" t="s">
        <v>29</v>
      </c>
      <c r="B5" s="43">
        <v>2.0</v>
      </c>
      <c r="C5" s="43">
        <v>2.0</v>
      </c>
      <c r="D5" s="43">
        <v>6.0</v>
      </c>
      <c r="E5" s="43">
        <v>2.0</v>
      </c>
      <c r="F5" s="43">
        <v>2.0</v>
      </c>
      <c r="G5" s="43">
        <v>2.0</v>
      </c>
      <c r="H5" s="43">
        <v>2.0</v>
      </c>
      <c r="I5" s="43">
        <v>2.0</v>
      </c>
      <c r="J5" s="44">
        <f t="shared" si="1"/>
        <v>20</v>
      </c>
      <c r="K5" s="39"/>
      <c r="L5" s="45" t="s">
        <v>29</v>
      </c>
      <c r="M5" s="46">
        <f t="shared" si="2"/>
        <v>19.76190476</v>
      </c>
      <c r="N5" s="47"/>
    </row>
    <row r="6">
      <c r="A6" s="45" t="s">
        <v>30</v>
      </c>
      <c r="B6" s="48">
        <v>5.0</v>
      </c>
      <c r="C6" s="48"/>
      <c r="D6" s="48">
        <v>5.0</v>
      </c>
      <c r="E6" s="48">
        <v>10.0</v>
      </c>
      <c r="F6" s="48"/>
      <c r="G6" s="48"/>
      <c r="H6" s="48"/>
      <c r="I6" s="48"/>
      <c r="J6" s="49">
        <f t="shared" si="1"/>
        <v>20</v>
      </c>
      <c r="K6" s="39"/>
      <c r="L6" s="45" t="s">
        <v>30</v>
      </c>
      <c r="M6" s="46">
        <f t="shared" si="2"/>
        <v>0</v>
      </c>
      <c r="N6" s="47"/>
    </row>
    <row r="7">
      <c r="A7" s="42" t="s">
        <v>31</v>
      </c>
      <c r="B7" s="43">
        <v>2.0</v>
      </c>
      <c r="C7" s="43"/>
      <c r="D7" s="43">
        <v>1.0</v>
      </c>
      <c r="E7" s="43">
        <v>4.0</v>
      </c>
      <c r="F7" s="43">
        <v>8.0</v>
      </c>
      <c r="G7" s="43"/>
      <c r="H7" s="43">
        <v>3.0</v>
      </c>
      <c r="I7" s="43">
        <v>2.0</v>
      </c>
      <c r="J7" s="44">
        <f t="shared" si="1"/>
        <v>20</v>
      </c>
      <c r="K7" s="39"/>
      <c r="L7" s="45" t="s">
        <v>31</v>
      </c>
      <c r="M7" s="46">
        <f t="shared" si="2"/>
        <v>11.42857143</v>
      </c>
      <c r="N7" s="47"/>
    </row>
    <row r="8">
      <c r="A8" s="45" t="s">
        <v>32</v>
      </c>
      <c r="B8" s="48"/>
      <c r="C8" s="48"/>
      <c r="D8" s="48"/>
      <c r="E8" s="48"/>
      <c r="F8" s="48"/>
      <c r="G8" s="48">
        <v>20.0</v>
      </c>
      <c r="H8" s="48"/>
      <c r="I8" s="48"/>
      <c r="J8" s="49">
        <f t="shared" si="1"/>
        <v>20</v>
      </c>
      <c r="K8" s="39"/>
      <c r="L8" s="45" t="s">
        <v>32</v>
      </c>
      <c r="M8" s="46">
        <f t="shared" si="2"/>
        <v>8.333333333</v>
      </c>
      <c r="N8" s="47"/>
    </row>
    <row r="9">
      <c r="A9" s="51" t="s">
        <v>33</v>
      </c>
      <c r="B9" s="43">
        <v>5.0</v>
      </c>
      <c r="C9" s="43"/>
      <c r="D9" s="43"/>
      <c r="E9" s="43">
        <v>5.0</v>
      </c>
      <c r="F9" s="43"/>
      <c r="G9" s="43"/>
      <c r="H9" s="43">
        <v>10.0</v>
      </c>
      <c r="I9" s="43"/>
      <c r="J9" s="44">
        <f t="shared" si="1"/>
        <v>20</v>
      </c>
      <c r="K9" s="39"/>
      <c r="L9" s="52" t="s">
        <v>33</v>
      </c>
      <c r="M9" s="46">
        <f t="shared" si="2"/>
        <v>8.333333333</v>
      </c>
      <c r="N9" s="39"/>
    </row>
    <row r="10">
      <c r="A10" s="53" t="s">
        <v>34</v>
      </c>
      <c r="B10" s="48"/>
      <c r="C10" s="48"/>
      <c r="D10" s="48"/>
      <c r="E10" s="48"/>
      <c r="F10" s="48"/>
      <c r="G10" s="48"/>
      <c r="H10" s="48"/>
      <c r="I10" s="48">
        <v>20.0</v>
      </c>
      <c r="J10" s="49">
        <f t="shared" si="1"/>
        <v>20</v>
      </c>
      <c r="K10" s="39"/>
      <c r="L10" s="52" t="s">
        <v>34</v>
      </c>
      <c r="M10" s="46">
        <f t="shared" si="2"/>
        <v>130.952381</v>
      </c>
    </row>
    <row r="11">
      <c r="A11" s="54"/>
      <c r="B11" s="55">
        <f t="shared" ref="B11:I11" si="3">SUM(B3:B10)</f>
        <v>29</v>
      </c>
      <c r="C11" s="55">
        <f t="shared" si="3"/>
        <v>13</v>
      </c>
      <c r="D11" s="55">
        <f t="shared" si="3"/>
        <v>13</v>
      </c>
      <c r="E11" s="55">
        <f t="shared" si="3"/>
        <v>22</v>
      </c>
      <c r="F11" s="55">
        <f t="shared" si="3"/>
        <v>11</v>
      </c>
      <c r="G11" s="55">
        <f t="shared" si="3"/>
        <v>23</v>
      </c>
      <c r="H11" s="55">
        <f t="shared" si="3"/>
        <v>21</v>
      </c>
      <c r="I11" s="55">
        <f t="shared" si="3"/>
        <v>28</v>
      </c>
      <c r="J11" s="56">
        <f t="shared" si="1"/>
        <v>160</v>
      </c>
      <c r="K11" s="39"/>
    </row>
    <row r="12">
      <c r="A12" s="57" t="s">
        <v>35</v>
      </c>
      <c r="B12" s="58"/>
      <c r="C12" s="58"/>
      <c r="D12" s="58"/>
      <c r="E12" s="58"/>
      <c r="F12" s="58"/>
      <c r="G12" s="58"/>
      <c r="H12" s="58"/>
      <c r="I12" s="58"/>
      <c r="J12" s="58"/>
      <c r="K12" s="39"/>
      <c r="M12" s="59"/>
    </row>
    <row r="13">
      <c r="A13" s="57" t="s">
        <v>20</v>
      </c>
      <c r="B13" s="60" t="s">
        <v>36</v>
      </c>
      <c r="C13" s="13"/>
      <c r="D13" s="13"/>
      <c r="E13" s="13"/>
      <c r="F13" s="13"/>
      <c r="G13" s="13"/>
      <c r="H13" s="13"/>
      <c r="I13" s="13"/>
      <c r="J13" s="38">
        <f>sum(J15:J22)</f>
        <v>55</v>
      </c>
      <c r="K13" s="54"/>
      <c r="M13" s="40" t="s">
        <v>37</v>
      </c>
      <c r="N13" s="40" t="s">
        <v>38</v>
      </c>
    </row>
    <row r="14">
      <c r="A14" s="61" t="s">
        <v>39</v>
      </c>
      <c r="B14" s="62" t="s">
        <v>13</v>
      </c>
      <c r="C14" s="40" t="s">
        <v>14</v>
      </c>
      <c r="D14" s="40" t="s">
        <v>15</v>
      </c>
      <c r="E14" s="40" t="s">
        <v>16</v>
      </c>
      <c r="F14" s="40" t="s">
        <v>17</v>
      </c>
      <c r="G14" s="40" t="s">
        <v>18</v>
      </c>
      <c r="H14" s="40" t="s">
        <v>19</v>
      </c>
      <c r="I14" s="40" t="s">
        <v>20</v>
      </c>
      <c r="J14" s="40" t="s">
        <v>40</v>
      </c>
      <c r="K14" s="54"/>
      <c r="M14" s="63">
        <f>if(M23="TBD","TBD",if(M23=0,0,J11/M23))</f>
        <v>5.714285714</v>
      </c>
      <c r="N14" s="64">
        <f>if(N23="TBD","TBD",if($N$23=0,0,(J23/N23)))</f>
        <v>1.666666667</v>
      </c>
    </row>
    <row r="15">
      <c r="A15" s="65" t="s">
        <v>27</v>
      </c>
      <c r="B15" s="43"/>
      <c r="C15" s="43"/>
      <c r="D15" s="43">
        <v>2.0</v>
      </c>
      <c r="E15" s="43"/>
      <c r="F15" s="43"/>
      <c r="G15" s="43"/>
      <c r="H15" s="43"/>
      <c r="I15" s="43">
        <v>8.0</v>
      </c>
      <c r="J15" s="66">
        <f t="shared" ref="J15:J23" si="4">sum(B15:I15)</f>
        <v>10</v>
      </c>
      <c r="K15" s="54"/>
      <c r="L15" s="42" t="s">
        <v>27</v>
      </c>
      <c r="M15" s="43">
        <f t="shared" ref="M15:M22" si="5">if($A$13="","",if($A$13=B$2,(vlookup(L15,$A$3:$I$10,2,FALSE)),if($A$13=C$2,(vlookup(L15,$A$3:$I$10,3,FALSE)),if($A$13=D$2,(vlookup(L15,$A$3:$I$10,4,FALSE)),if($A$13=E$2,(vlookup(L15,$A$3:$I$10,5,FALSE)),if($A$13=F$2,(vlookup(L15,$A$3:$I$10,6,FALSE)),if($A$13=G$2,(vlookup(L15,$A$3:$I$10,7,FALSE)),if($A$13=H$2,(vlookup(L15,$A$3:$I$10,8,FALSE)),if($A$13=I$2,(vlookup(L15,$A$3:$I$10,9,FALSE)),0)))))))))</f>
        <v>2</v>
      </c>
      <c r="N15" s="67">
        <f t="shared" ref="N15:N22" si="6">if($A$13="","",if($A$13=B$14,(vlookup($L15,$A$15:$I$22,2,FALSE)),if($A$13=C$14,(vlookup($L15,$A$15:$I$22,3,FALSE)),if($A$13=D$14,(vlookup($L15,$A$15:$I$22,4,FALSE)),if($A$13=E$14,(vlookup($L15,$A$15:$I$22,5,FALSE)),if($A$13=F$14,(vlookup($L15,$A$15:$I$22,6,FALSE)),if($A$13=G$14,(vlookup($L15,$A$15:$I$22,7,FALSE)),if($A$13=H$14,(vlookup($L15,$A$15:$I$22,8,FALSE)), if($A$13=I$14,(vlookup($L15,$A$15:$I$22,9,FALSE)))))))))))</f>
        <v>8</v>
      </c>
    </row>
    <row r="16">
      <c r="A16" s="45" t="s">
        <v>28</v>
      </c>
      <c r="B16" s="48"/>
      <c r="C16" s="48"/>
      <c r="D16" s="48"/>
      <c r="E16" s="48"/>
      <c r="F16" s="48"/>
      <c r="G16" s="68"/>
      <c r="H16" s="68"/>
      <c r="I16" s="68"/>
      <c r="J16" s="69">
        <f t="shared" si="4"/>
        <v>0</v>
      </c>
      <c r="K16" s="70"/>
      <c r="L16" s="45" t="s">
        <v>28</v>
      </c>
      <c r="M16" s="48">
        <f t="shared" si="5"/>
        <v>2</v>
      </c>
      <c r="N16" s="71" t="str">
        <f t="shared" si="6"/>
        <v/>
      </c>
    </row>
    <row r="17">
      <c r="A17" s="42" t="s">
        <v>29</v>
      </c>
      <c r="B17" s="43"/>
      <c r="C17" s="43"/>
      <c r="D17" s="43"/>
      <c r="E17" s="72"/>
      <c r="F17" s="43"/>
      <c r="G17" s="72"/>
      <c r="H17" s="72"/>
      <c r="I17" s="43">
        <v>5.0</v>
      </c>
      <c r="J17" s="66">
        <f t="shared" si="4"/>
        <v>5</v>
      </c>
      <c r="K17" s="54"/>
      <c r="L17" s="42" t="s">
        <v>29</v>
      </c>
      <c r="M17" s="43">
        <f t="shared" si="5"/>
        <v>2</v>
      </c>
      <c r="N17" s="67">
        <f t="shared" si="6"/>
        <v>5</v>
      </c>
    </row>
    <row r="18">
      <c r="A18" s="45" t="s">
        <v>30</v>
      </c>
      <c r="B18" s="48"/>
      <c r="C18" s="48"/>
      <c r="D18" s="48"/>
      <c r="E18" s="68"/>
      <c r="F18" s="48"/>
      <c r="G18" s="48"/>
      <c r="H18" s="48"/>
      <c r="I18" s="48"/>
      <c r="J18" s="69">
        <f t="shared" si="4"/>
        <v>0</v>
      </c>
      <c r="K18" s="54"/>
      <c r="L18" s="45" t="s">
        <v>30</v>
      </c>
      <c r="M18" s="48" t="str">
        <f t="shared" si="5"/>
        <v/>
      </c>
      <c r="N18" s="71" t="str">
        <f t="shared" si="6"/>
        <v/>
      </c>
    </row>
    <row r="19">
      <c r="A19" s="42" t="s">
        <v>31</v>
      </c>
      <c r="B19" s="43">
        <v>5.0</v>
      </c>
      <c r="C19" s="43"/>
      <c r="D19" s="43"/>
      <c r="E19" s="43">
        <v>5.0</v>
      </c>
      <c r="F19" s="72"/>
      <c r="G19" s="72"/>
      <c r="H19" s="72"/>
      <c r="I19" s="72"/>
      <c r="J19" s="66">
        <f t="shared" si="4"/>
        <v>10</v>
      </c>
      <c r="K19" s="54"/>
      <c r="L19" s="42" t="s">
        <v>31</v>
      </c>
      <c r="M19" s="43">
        <f t="shared" si="5"/>
        <v>2</v>
      </c>
      <c r="N19" s="67" t="str">
        <f t="shared" si="6"/>
        <v/>
      </c>
    </row>
    <row r="20">
      <c r="A20" s="45" t="s">
        <v>32</v>
      </c>
      <c r="B20" s="48"/>
      <c r="C20" s="68"/>
      <c r="D20" s="48"/>
      <c r="E20" s="48"/>
      <c r="F20" s="68"/>
      <c r="G20" s="48">
        <v>5.0</v>
      </c>
      <c r="H20" s="68"/>
      <c r="I20" s="48">
        <v>5.0</v>
      </c>
      <c r="J20" s="69">
        <f t="shared" si="4"/>
        <v>10</v>
      </c>
      <c r="K20" s="54"/>
      <c r="L20" s="45" t="s">
        <v>32</v>
      </c>
      <c r="M20" s="48" t="str">
        <f t="shared" si="5"/>
        <v/>
      </c>
      <c r="N20" s="71">
        <f t="shared" si="6"/>
        <v>5</v>
      </c>
    </row>
    <row r="21">
      <c r="A21" s="51" t="s">
        <v>33</v>
      </c>
      <c r="B21" s="43"/>
      <c r="C21" s="72"/>
      <c r="D21" s="43"/>
      <c r="E21" s="43">
        <v>5.0</v>
      </c>
      <c r="F21" s="72"/>
      <c r="G21" s="72"/>
      <c r="H21" s="72"/>
      <c r="I21" s="43">
        <v>5.0</v>
      </c>
      <c r="J21" s="66">
        <f t="shared" si="4"/>
        <v>10</v>
      </c>
      <c r="K21" s="54"/>
      <c r="L21" s="51" t="s">
        <v>33</v>
      </c>
      <c r="M21" s="43" t="str">
        <f t="shared" si="5"/>
        <v/>
      </c>
      <c r="N21" s="67">
        <f t="shared" si="6"/>
        <v>5</v>
      </c>
    </row>
    <row r="22">
      <c r="A22" s="53" t="s">
        <v>34</v>
      </c>
      <c r="B22" s="48"/>
      <c r="C22" s="68"/>
      <c r="D22" s="48"/>
      <c r="E22" s="68"/>
      <c r="F22" s="68"/>
      <c r="G22" s="68"/>
      <c r="H22" s="68"/>
      <c r="I22" s="48">
        <v>10.0</v>
      </c>
      <c r="J22" s="69">
        <f t="shared" si="4"/>
        <v>10</v>
      </c>
      <c r="K22" s="54"/>
      <c r="L22" s="53" t="s">
        <v>34</v>
      </c>
      <c r="M22" s="48">
        <f t="shared" si="5"/>
        <v>20</v>
      </c>
      <c r="N22" s="71">
        <f t="shared" si="6"/>
        <v>10</v>
      </c>
    </row>
    <row r="23">
      <c r="A23" s="54"/>
      <c r="B23" s="55">
        <f t="shared" ref="B23:I23" si="7">SUM(B15:B22)</f>
        <v>5</v>
      </c>
      <c r="C23" s="55">
        <f t="shared" si="7"/>
        <v>0</v>
      </c>
      <c r="D23" s="55">
        <f t="shared" si="7"/>
        <v>2</v>
      </c>
      <c r="E23" s="55">
        <f t="shared" si="7"/>
        <v>10</v>
      </c>
      <c r="F23" s="55">
        <f t="shared" si="7"/>
        <v>0</v>
      </c>
      <c r="G23" s="55">
        <f t="shared" si="7"/>
        <v>5</v>
      </c>
      <c r="H23" s="55">
        <f t="shared" si="7"/>
        <v>0</v>
      </c>
      <c r="I23" s="55">
        <f t="shared" si="7"/>
        <v>33</v>
      </c>
      <c r="J23" s="56">
        <f t="shared" si="4"/>
        <v>55</v>
      </c>
      <c r="K23" s="54"/>
      <c r="L23" s="70"/>
      <c r="M23" s="53">
        <f>if(A13="","TBD",if($A$13=B2,B11,if($A$13=C2,C11,if($A$13=D2,D11,if($A$13=E2,E11,if($A$13=F2,F11,if($A$13=G2,G11,if($A$13=H2,H11,if($A$13=I2,I11,"TBD")))))))))</f>
        <v>28</v>
      </c>
      <c r="N23" s="53">
        <f>if(A13="","TBD",if($A$13=B14,B23,if($A$13=C14,C23,if($A$13=D14,D23,if($A$13=E14,E23,if($A$13=F14,F23,if($A$13=G14,G23,if($A$13=H14,H23,if($A$13=I14,I23,"TBD")))))))))</f>
        <v>33</v>
      </c>
    </row>
  </sheetData>
  <mergeCells count="2">
    <mergeCell ref="B1:I1"/>
    <mergeCell ref="B13:I13"/>
  </mergeCells>
  <conditionalFormatting sqref="B3:I3 A14 B14:I23 A23">
    <cfRule type="expression" dxfId="1" priority="1">
      <formula>B$14=$A$13</formula>
    </cfRule>
  </conditionalFormatting>
  <conditionalFormatting sqref="B2:J11 B14:I14">
    <cfRule type="expression" dxfId="1" priority="2">
      <formula>B$2=$A$13</formula>
    </cfRule>
  </conditionalFormatting>
  <dataValidations>
    <dataValidation type="list" allowBlank="1" showErrorMessage="1" sqref="A3:A10 L3:L10 A15:A22 L15:L22">
      <formula1>'Players and Handis SETUP'!$C$3:$C$10</formula1>
    </dataValidation>
    <dataValidation type="list" allowBlank="1" showErrorMessage="1" sqref="A13">
      <formula1>'Stock Market'!$B$2:$I$2</formula1>
    </dataValidation>
    <dataValidation type="list" allowBlank="1" showErrorMessage="1" sqref="B2:I2 B14:I14">
      <formula1>'Players and Handis SETUP'!$A$3:$A$10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4.86"/>
    <col customWidth="1" min="2" max="5" width="11.0"/>
  </cols>
  <sheetData>
    <row r="1">
      <c r="A1" s="73" t="s">
        <v>41</v>
      </c>
      <c r="B1" s="74" t="str">
        <f>Scorecards!C1</f>
        <v>TULLYMORE</v>
      </c>
      <c r="C1" s="74" t="str">
        <f>Scorecards!C15</f>
        <v>ST IVES</v>
      </c>
      <c r="D1" s="74" t="str">
        <f>Scorecards!C29</f>
        <v>TULLYMORE</v>
      </c>
      <c r="E1" s="74" t="str">
        <f>Scorecards!C43</f>
        <v>ST IVES</v>
      </c>
    </row>
    <row r="2">
      <c r="A2" s="75" t="str">
        <f>'Betting SETUP'!A6</f>
        <v>AJ</v>
      </c>
      <c r="B2" s="76">
        <f>IF(vlookup($A2,BettingSetup,3,false)="Y",(vlookup($A2,ScoresInitialsFirst,3,false)), "out")</f>
        <v>84</v>
      </c>
      <c r="C2" s="76">
        <f>IF(vlookup($A2,BettingSetup,3,false)="Y",(vlookup($A2,ScoresInitialsFirst,5,false)), "out")</f>
        <v>74</v>
      </c>
      <c r="D2" s="76">
        <f>IF(vlookup($A2,BettingSetup,3,false)="Y",(vlookup($A2,ScoresInitialsFirst,7,false)), "out")</f>
        <v>73</v>
      </c>
      <c r="E2" s="76">
        <f>IF(vlookup($A2,BettingSetup,3,false)="Y",(vlookup($A2,ScoresInitialsFirst,9,false)), "out")</f>
        <v>85</v>
      </c>
    </row>
    <row r="3">
      <c r="A3" s="77" t="str">
        <f>'Betting SETUP'!A7</f>
        <v>AV</v>
      </c>
      <c r="B3" s="78">
        <f>IF(vlookup($A3,BettingSetup,3,false)="Y",(vlookup($A3,ScoresInitialsFirst,3,false)), "out")</f>
        <v>82</v>
      </c>
      <c r="C3" s="78">
        <f>IF(vlookup($A3,BettingSetup,3,false)="Y",(vlookup($A3,ScoresInitialsFirst,5,false)), "out")</f>
        <v>84</v>
      </c>
      <c r="D3" s="78">
        <f>IF(vlookup($A3,BettingSetup,3,false)="Y",(vlookup($A3,ScoresInitialsFirst,7,false)), "out")</f>
        <v>95</v>
      </c>
      <c r="E3" s="78">
        <f>IF(vlookup($A3,BettingSetup,3,false)="Y",(vlookup($A3,ScoresInitialsFirst,9,false)), "out")</f>
        <v>77</v>
      </c>
    </row>
    <row r="4">
      <c r="A4" s="75" t="str">
        <f>'Betting SETUP'!A8</f>
        <v>BB</v>
      </c>
      <c r="B4" s="76">
        <f>IF(vlookup($A4,BettingSetup,3,false)="Y",(vlookup($A4,ScoresInitialsFirst,3,false)), "out")</f>
        <v>76</v>
      </c>
      <c r="C4" s="76">
        <f>IF(vlookup($A4,BettingSetup,3,false)="Y",(vlookup($A4,ScoresInitialsFirst,5,false)), "out")</f>
        <v>80</v>
      </c>
      <c r="D4" s="76">
        <f>IF(vlookup($A4,BettingSetup,3,false)="Y",(vlookup($A4,ScoresInitialsFirst,7,false)), "out")</f>
        <v>94</v>
      </c>
      <c r="E4" s="76">
        <f>IF(vlookup($A4,BettingSetup,3,false)="Y",(vlookup($A4,ScoresInitialsFirst,9,false)), "out")</f>
        <v>86</v>
      </c>
    </row>
    <row r="5">
      <c r="A5" s="77" t="str">
        <f>'Betting SETUP'!A9</f>
        <v>BK</v>
      </c>
      <c r="B5" s="78">
        <f>IF(vlookup($A5,BettingSetup,3,false)="Y",(vlookup($A5,ScoresInitialsFirst,3,false)), "out")</f>
        <v>84</v>
      </c>
      <c r="C5" s="78">
        <f>IF(vlookup($A5,BettingSetup,3,false)="Y",(vlookup($A5,ScoresInitialsFirst,5,false)), "out")</f>
        <v>71</v>
      </c>
      <c r="D5" s="78">
        <f>IF(vlookup($A5,BettingSetup,3,false)="Y",(vlookup($A5,ScoresInitialsFirst,7,false)), "out")</f>
        <v>78</v>
      </c>
      <c r="E5" s="78">
        <f>IF(vlookup($A5,BettingSetup,3,false)="Y",(vlookup($A5,ScoresInitialsFirst,9,false)), "out")</f>
        <v>72</v>
      </c>
    </row>
    <row r="6">
      <c r="A6" s="75" t="str">
        <f>'Betting SETUP'!A10</f>
        <v>EO</v>
      </c>
      <c r="B6" s="76">
        <f>IF(vlookup($A6,BettingSetup,3,false)="Y",(vlookup($A6,ScoresInitialsFirst,3,false)), "out")</f>
        <v>84</v>
      </c>
      <c r="C6" s="76">
        <f>IF(vlookup($A6,BettingSetup,3,false)="Y",(vlookup($A6,ScoresInitialsFirst,5,false)), "out")</f>
        <v>84</v>
      </c>
      <c r="D6" s="76">
        <f>IF(vlookup($A6,BettingSetup,3,false)="Y",(vlookup($A6,ScoresInitialsFirst,7,false)), "out")</f>
        <v>77</v>
      </c>
      <c r="E6" s="76">
        <f>IF(vlookup($A6,BettingSetup,3,false)="Y",(vlookup($A6,ScoresInitialsFirst,9,false)), "out")</f>
        <v>86</v>
      </c>
    </row>
    <row r="7">
      <c r="A7" s="77" t="str">
        <f>'Betting SETUP'!A11</f>
        <v>JB</v>
      </c>
      <c r="B7" s="78">
        <f>IF(vlookup($A7,BettingSetup,3,false)="Y",(vlookup($A7,ScoresInitialsFirst,3,false)), "out")</f>
        <v>77</v>
      </c>
      <c r="C7" s="78">
        <f>IF(vlookup($A7,BettingSetup,3,false)="Y",(vlookup($A7,ScoresInitialsFirst,5,false)), "out")</f>
        <v>84</v>
      </c>
      <c r="D7" s="78">
        <f>IF(vlookup($A7,BettingSetup,3,false)="Y",(vlookup($A7,ScoresInitialsFirst,7,false)), "out")</f>
        <v>89</v>
      </c>
      <c r="E7" s="78">
        <f>IF(vlookup($A7,BettingSetup,3,false)="Y",(vlookup($A7,ScoresInitialsFirst,9,false)), "out")</f>
        <v>86</v>
      </c>
    </row>
    <row r="8">
      <c r="A8" s="75" t="str">
        <f>'Betting SETUP'!A12</f>
        <v>JC</v>
      </c>
      <c r="B8" s="76">
        <f>IF(vlookup($A8,BettingSetup,3,false)="Y",(vlookup($A8,ScoresInitialsFirst,3,false)), "out")</f>
        <v>79</v>
      </c>
      <c r="C8" s="76">
        <f>IF(vlookup($A8,BettingSetup,3,false)="Y",(vlookup($A8,ScoresInitialsFirst,5,false)), "out")</f>
        <v>81</v>
      </c>
      <c r="D8" s="76">
        <f>IF(vlookup($A8,BettingSetup,3,false)="Y",(vlookup($A8,ScoresInitialsFirst,7,false)), "out")</f>
        <v>91</v>
      </c>
      <c r="E8" s="76">
        <f>IF(vlookup($A8,BettingSetup,3,false)="Y",(vlookup($A8,ScoresInitialsFirst,9,false)), "out")</f>
        <v>74</v>
      </c>
    </row>
    <row r="9">
      <c r="A9" s="77" t="str">
        <f>'Betting SETUP'!A13</f>
        <v>SR</v>
      </c>
      <c r="B9" s="78">
        <f>IF(vlookup($A9,BettingSetup,3,false)="Y",(vlookup($A9,ScoresInitialsFirst,3,false)), "out")</f>
        <v>73</v>
      </c>
      <c r="C9" s="78">
        <f>IF(vlookup($A9,BettingSetup,3,false)="Y",(vlookup($A9,ScoresInitialsFirst,5,false)), "out")</f>
        <v>76</v>
      </c>
      <c r="D9" s="78">
        <f>IF(vlookup($A9,BettingSetup,3,false)="Y",(vlookup($A9,ScoresInitialsFirst,7,false)), "out")</f>
        <v>74</v>
      </c>
      <c r="E9" s="78">
        <f>IF(vlookup($A9,BettingSetup,3,false)="Y",(vlookup($A9,ScoresInitialsFirst,9,false)), "out")</f>
        <v>77</v>
      </c>
    </row>
    <row r="10">
      <c r="A10" s="79" t="s">
        <v>42</v>
      </c>
      <c r="B10" s="79">
        <f>COUNTIF(BettingScoreboard!$B$2:$B$9,MIN(BettingScoreboard!$B$2:$B$9))</f>
        <v>1</v>
      </c>
      <c r="C10" s="79">
        <f>COUNTIF(BettingScoreboard!$C$2:$C$9,MIN(BettingScoreboard!$C$2:$C$9))</f>
        <v>1</v>
      </c>
      <c r="D10" s="79">
        <f>COUNTIF(BettingScoreboard!$D$2:$D$9,MIN(BettingScoreboard!$D$2:$D$9))</f>
        <v>1</v>
      </c>
      <c r="E10" s="79">
        <f>COUNTIF(BettingScoreboard!$E$2:$E$9,MIN(BettingScoreboard!$E$2:$E$9))</f>
        <v>1</v>
      </c>
    </row>
    <row r="11">
      <c r="A11" s="80" t="s">
        <v>43</v>
      </c>
      <c r="B11" s="81">
        <f>if(B10=0,"",('Betting SETUP'!$C$14/'Betting SETUP'!$B$1)/B10)</f>
        <v>15</v>
      </c>
      <c r="C11" s="81">
        <f>if(C10=0,"",('Betting SETUP'!$C$14/'Betting SETUP'!$B$1)/C10)</f>
        <v>15</v>
      </c>
      <c r="D11" s="81">
        <f>if(D10=0,"",('Betting SETUP'!$C$14/'Betting SETUP'!$B$1)/D10)</f>
        <v>15</v>
      </c>
      <c r="E11" s="81">
        <f>if(E10=0,"",('Betting SETUP'!$C$14/'Betting SETUP'!$B$1)/E10)</f>
        <v>15</v>
      </c>
    </row>
    <row r="12">
      <c r="A12" s="82"/>
      <c r="B12" s="82"/>
      <c r="C12" s="82"/>
      <c r="D12" s="82"/>
      <c r="E12" s="82"/>
    </row>
    <row r="13">
      <c r="A13" s="83" t="s">
        <v>10</v>
      </c>
      <c r="B13" s="83" t="s">
        <v>44</v>
      </c>
      <c r="C13" s="83" t="s">
        <v>45</v>
      </c>
      <c r="D13" s="84"/>
      <c r="E13" s="84"/>
    </row>
    <row r="14">
      <c r="A14" s="85" t="s">
        <v>13</v>
      </c>
      <c r="B14" s="86">
        <f>SUM(COUNTIF(Scorecards!$D$12:$U$12,BettingScoreboard!$A14),COUNTIF(Scorecards!$D$26:$U$26,BettingScoreboard!$A14),COUNTIF(Scorecards!$D$40:$U$40,BettingScoreboard!$A14),COUNTIF(Scorecards!$D$54:$U$54,BettingScoreboard!$A14))</f>
        <v>4</v>
      </c>
      <c r="C14" s="87">
        <f>B14*'Betting SETUP'!$H$14/(sum($B$14:$B$21))</f>
        <v>33.68421053</v>
      </c>
      <c r="D14" s="84"/>
      <c r="E14" s="84"/>
    </row>
    <row r="15">
      <c r="A15" s="88" t="s">
        <v>15</v>
      </c>
      <c r="B15" s="79">
        <f>SUM(COUNTIF(Scorecards!$D$12:$U$12,BettingScoreboard!$A15),COUNTIF(Scorecards!$D$26:$U$26,BettingScoreboard!$A15),COUNTIF(Scorecards!$D$40:$U$40,BettingScoreboard!$A15),COUNTIF(Scorecards!$D$54:$U$54,BettingScoreboard!$A15))</f>
        <v>2</v>
      </c>
      <c r="C15" s="89">
        <f>B15*'Betting SETUP'!$H$14/(sum($B$14:$B$21))</f>
        <v>16.84210526</v>
      </c>
      <c r="D15" s="84"/>
      <c r="E15" s="84"/>
    </row>
    <row r="16">
      <c r="A16" s="85" t="s">
        <v>16</v>
      </c>
      <c r="B16" s="86">
        <f>SUM(COUNTIF(Scorecards!$D$12:$U$12,BettingScoreboard!$A16),COUNTIF(Scorecards!$D$26:$U$26,BettingScoreboard!$A16),COUNTIF(Scorecards!$D$40:$U$40,BettingScoreboard!$A16),COUNTIF(Scorecards!$D$54:$U$54,BettingScoreboard!$A16))</f>
        <v>4</v>
      </c>
      <c r="C16" s="87">
        <f>B16*'Betting SETUP'!$H$14/(sum($B$14:$B$21))</f>
        <v>33.68421053</v>
      </c>
      <c r="D16" s="84"/>
      <c r="E16" s="84"/>
    </row>
    <row r="17">
      <c r="A17" s="88" t="s">
        <v>17</v>
      </c>
      <c r="B17" s="79">
        <f>SUM(COUNTIF(Scorecards!$D$12:$U$12,BettingScoreboard!$A17),COUNTIF(Scorecards!$D$26:$U$26,BettingScoreboard!$A17),COUNTIF(Scorecards!$D$40:$U$40,BettingScoreboard!$A17),COUNTIF(Scorecards!$D$54:$U$54,BettingScoreboard!$A17))</f>
        <v>5</v>
      </c>
      <c r="C17" s="89">
        <f>B17*'Betting SETUP'!$H$14/(sum($B$14:$B$21))</f>
        <v>42.10526316</v>
      </c>
      <c r="D17" s="84"/>
      <c r="E17" s="84"/>
    </row>
    <row r="18">
      <c r="A18" s="85" t="s">
        <v>20</v>
      </c>
      <c r="B18" s="86">
        <f>SUM(COUNTIF(Scorecards!$D$12:$U$12,BettingScoreboard!$A18),COUNTIF(Scorecards!$D$26:$U$26,BettingScoreboard!$A18),COUNTIF(Scorecards!$D$40:$U$40,BettingScoreboard!$A18),COUNTIF(Scorecards!$D$54:$U$54,BettingScoreboard!$A18))</f>
        <v>4</v>
      </c>
      <c r="C18" s="87">
        <f>B18*'Betting SETUP'!$H$14/(sum($B$14:$B$21))</f>
        <v>33.68421053</v>
      </c>
      <c r="D18" s="84"/>
      <c r="E18" s="84"/>
    </row>
    <row r="19">
      <c r="A19" s="88" t="s">
        <v>46</v>
      </c>
      <c r="B19" s="79">
        <f>SUM(COUNTIF(Scorecards!$D$12:$U$12,BettingScoreboard!$A19),COUNTIF(Scorecards!$D$26:$U$26,BettingScoreboard!$A19),COUNTIF(Scorecards!$D$40:$U$40,BettingScoreboard!$A19),COUNTIF(Scorecards!$D$54:$U$54,BettingScoreboard!$A19))</f>
        <v>0</v>
      </c>
      <c r="C19" s="89">
        <f>B19*'Betting SETUP'!$H$14/(sum($B$14:$B$21))</f>
        <v>0</v>
      </c>
      <c r="D19" s="84"/>
      <c r="E19" s="84"/>
    </row>
    <row r="20">
      <c r="A20" s="85" t="s">
        <v>47</v>
      </c>
      <c r="B20" s="86">
        <f>SUM(COUNTIF(Scorecards!$D$12:$U$12,BettingScoreboard!$A20),COUNTIF(Scorecards!$D$26:$U$26,BettingScoreboard!$A20),COUNTIF(Scorecards!$D$40:$U$40,BettingScoreboard!$A20),COUNTIF(Scorecards!$D$54:$U$54,BettingScoreboard!$A20))</f>
        <v>0</v>
      </c>
      <c r="C20" s="87">
        <f>B20*'Betting SETUP'!$H$14/(sum($B$14:$B$21))</f>
        <v>0</v>
      </c>
      <c r="D20" s="84"/>
      <c r="E20" s="84"/>
    </row>
    <row r="21">
      <c r="A21" s="88" t="s">
        <v>18</v>
      </c>
      <c r="B21" s="79">
        <f>SUM(COUNTIF(Scorecards!$D$12:$U$12,BettingScoreboard!$A21),COUNTIF(Scorecards!$D$26:$U$26,BettingScoreboard!$A21),COUNTIF(Scorecards!$D$40:$U$40,BettingScoreboard!$A21),COUNTIF(Scorecards!$D$54:$U$54,BettingScoreboard!$A21))</f>
        <v>0</v>
      </c>
      <c r="C21" s="89">
        <f>B21*'Betting SETUP'!$H$14/(sum($B$14:$B$21))</f>
        <v>0</v>
      </c>
      <c r="D21" s="84"/>
      <c r="E21" s="84"/>
    </row>
    <row r="22">
      <c r="A22" s="90"/>
      <c r="B22" s="91"/>
      <c r="C22" s="92"/>
      <c r="D22" s="91"/>
      <c r="E22" s="92"/>
    </row>
    <row r="23">
      <c r="A23" s="83" t="s">
        <v>10</v>
      </c>
      <c r="B23" s="83" t="s">
        <v>22</v>
      </c>
      <c r="C23" s="83" t="s">
        <v>48</v>
      </c>
      <c r="D23" s="91"/>
      <c r="E23" s="92"/>
    </row>
    <row r="24">
      <c r="A24" s="85" t="s">
        <v>13</v>
      </c>
      <c r="B24" s="86">
        <f>SUM(COUNTIF(Scorecards!$D$13:$U$13,BettingScoreboard!$A24),COUNTIF(Scorecards!$D$27:$U$27,BettingScoreboard!$A24),COUNTIF(Scorecards!$D$41:$U$41,BettingScoreboard!$A24),COUNTIF(Scorecards!$D$55:$U$55,BettingScoreboard!$A24))</f>
        <v>0</v>
      </c>
      <c r="C24" s="87" t="str">
        <f>B24*('Betting SETUP'!$L$14/(sum($B$24:$B$31)))</f>
        <v>#DIV/0!</v>
      </c>
      <c r="D24" s="91"/>
      <c r="E24" s="92"/>
    </row>
    <row r="25">
      <c r="A25" s="88" t="s">
        <v>14</v>
      </c>
      <c r="B25" s="79">
        <f>SUM(COUNTIF(Scorecards!$D$13:$U$13,BettingScoreboard!$A25),COUNTIF(Scorecards!$D$27:$U$27,BettingScoreboard!$A25),COUNTIF(Scorecards!$D$41:$U$41,BettingScoreboard!$A25),COUNTIF(Scorecards!$D$55:$U$55,BettingScoreboard!$A25))</f>
        <v>0</v>
      </c>
      <c r="C25" s="89" t="str">
        <f>B25*('Betting SETUP'!$L$14/(sum($B$24:$B$31)))</f>
        <v>#DIV/0!</v>
      </c>
      <c r="D25" s="91"/>
      <c r="E25" s="92"/>
    </row>
    <row r="26">
      <c r="A26" s="85" t="s">
        <v>15</v>
      </c>
      <c r="B26" s="86">
        <f>SUM(COUNTIF(Scorecards!$D$13:$U$13,BettingScoreboard!$A26),COUNTIF(Scorecards!$D$27:$U$27,BettingScoreboard!$A26),COUNTIF(Scorecards!$D$41:$U$41,BettingScoreboard!$A26),COUNTIF(Scorecards!$D$55:$U$55,BettingScoreboard!$A26))</f>
        <v>0</v>
      </c>
      <c r="C26" s="87" t="str">
        <f>B26*('Betting SETUP'!$L$14/(sum($B$24:$B$31)))</f>
        <v>#DIV/0!</v>
      </c>
      <c r="D26" s="91"/>
      <c r="E26" s="92"/>
    </row>
    <row r="27">
      <c r="A27" s="88" t="s">
        <v>16</v>
      </c>
      <c r="B27" s="79">
        <f>SUM(COUNTIF(Scorecards!$D$13:$U$13,BettingScoreboard!$A27),COUNTIF(Scorecards!$D$27:$U$27,BettingScoreboard!$A27),COUNTIF(Scorecards!$D$41:$U$41,BettingScoreboard!$A27),COUNTIF(Scorecards!$D$55:$U$55,BettingScoreboard!$A27))</f>
        <v>0</v>
      </c>
      <c r="C27" s="89" t="str">
        <f>B27*('Betting SETUP'!$L$14/(sum($B$24:$B$31)))</f>
        <v>#DIV/0!</v>
      </c>
      <c r="D27" s="91"/>
      <c r="E27" s="92"/>
    </row>
    <row r="28">
      <c r="A28" s="85" t="s">
        <v>17</v>
      </c>
      <c r="B28" s="86">
        <f>SUM(COUNTIF(Scorecards!$D$13:$U$13,BettingScoreboard!$A28),COUNTIF(Scorecards!$D$27:$U$27,BettingScoreboard!$A28),COUNTIF(Scorecards!$D$41:$U$41,BettingScoreboard!$A28),COUNTIF(Scorecards!$D$55:$U$55,BettingScoreboard!$A28))</f>
        <v>0</v>
      </c>
      <c r="C28" s="87" t="str">
        <f>B28*('Betting SETUP'!$L$14/(sum($B$24:$B$31)))</f>
        <v>#DIV/0!</v>
      </c>
      <c r="D28" s="91"/>
      <c r="E28" s="92"/>
    </row>
    <row r="29">
      <c r="A29" s="88" t="s">
        <v>18</v>
      </c>
      <c r="B29" s="79">
        <f>SUM(COUNTIF(Scorecards!$D$13:$U$13,BettingScoreboard!$A29),COUNTIF(Scorecards!$D$27:$U$27,BettingScoreboard!$A29),COUNTIF(Scorecards!$D$41:$U$41,BettingScoreboard!$A29),COUNTIF(Scorecards!$D$55:$U$55,BettingScoreboard!$A29))</f>
        <v>0</v>
      </c>
      <c r="C29" s="89" t="str">
        <f>B29*('Betting SETUP'!$L$14/(sum($B$24:$B$31)))</f>
        <v>#DIV/0!</v>
      </c>
      <c r="D29" s="91"/>
      <c r="E29" s="92"/>
    </row>
    <row r="30">
      <c r="A30" s="85" t="s">
        <v>19</v>
      </c>
      <c r="B30" s="86">
        <f>SUM(COUNTIF(Scorecards!$D$13:$U$13,BettingScoreboard!$A30),COUNTIF(Scorecards!$D$27:$U$27,BettingScoreboard!$A30),COUNTIF(Scorecards!$D$41:$U$41,BettingScoreboard!$A30),COUNTIF(Scorecards!$D$55:$U$55,BettingScoreboard!$A30))</f>
        <v>0</v>
      </c>
      <c r="C30" s="87" t="str">
        <f>B30*('Betting SETUP'!$L$14/(sum($B$24:$B$31)))</f>
        <v>#DIV/0!</v>
      </c>
      <c r="D30" s="91"/>
      <c r="E30" s="92"/>
    </row>
    <row r="31">
      <c r="A31" s="88" t="s">
        <v>20</v>
      </c>
      <c r="B31" s="79">
        <f>SUM(COUNTIF(Scorecards!$D$13:$U$13,BettingScoreboard!$A31),COUNTIF(Scorecards!$D$27:$U$27,BettingScoreboard!$A31),COUNTIF(Scorecards!$D$41:$U$41,BettingScoreboard!$A31),COUNTIF(Scorecards!$D$55:$U$55,BettingScoreboard!$A31))</f>
        <v>0</v>
      </c>
      <c r="C31" s="89" t="str">
        <f>B31*('Betting SETUP'!$L$14/(sum($B$24:$B$31)))</f>
        <v>#DIV/0!</v>
      </c>
      <c r="D31" s="91"/>
      <c r="E31" s="92"/>
    </row>
  </sheetData>
  <conditionalFormatting sqref="B2:B9">
    <cfRule type="expression" dxfId="1" priority="1">
      <formula>B2=MIN($B$2:$B$9)</formula>
    </cfRule>
  </conditionalFormatting>
  <conditionalFormatting sqref="C2:C9">
    <cfRule type="expression" dxfId="1" priority="2">
      <formula>C2=MIN($C$2:$C$9)</formula>
    </cfRule>
  </conditionalFormatting>
  <conditionalFormatting sqref="D2:D9">
    <cfRule type="expression" dxfId="1" priority="3">
      <formula>D2=MIN($D$2:$D$9)</formula>
    </cfRule>
  </conditionalFormatting>
  <conditionalFormatting sqref="E2:E9">
    <cfRule type="expression" dxfId="1" priority="4">
      <formula>E2=MIN($E$2:$E$9)</formula>
    </cfRule>
  </conditionalFormatting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8.86"/>
    <col customWidth="1" min="2" max="2" width="12.71"/>
    <col customWidth="1" min="3" max="14" width="8.86"/>
  </cols>
  <sheetData>
    <row r="1" ht="12.75" customHeight="1">
      <c r="A1" s="93" t="s">
        <v>49</v>
      </c>
      <c r="B1" s="94" t="s">
        <v>10</v>
      </c>
      <c r="C1" s="93" t="s">
        <v>49</v>
      </c>
      <c r="D1" s="95"/>
      <c r="E1" s="96" t="str">
        <f>Scorecards!C1</f>
        <v>TULLYMORE</v>
      </c>
      <c r="F1" s="97"/>
      <c r="G1" s="96" t="str">
        <f>Scorecards!C15</f>
        <v>ST IVES</v>
      </c>
      <c r="H1" s="97"/>
      <c r="I1" s="96" t="str">
        <f>Scorecards!C29</f>
        <v>TULLYMORE</v>
      </c>
      <c r="J1" s="97"/>
      <c r="K1" s="96" t="str">
        <f>Scorecards!C43</f>
        <v>ST IVES</v>
      </c>
      <c r="L1" s="97"/>
      <c r="M1" s="96" t="s">
        <v>8</v>
      </c>
      <c r="N1" s="97"/>
    </row>
    <row r="2" ht="12.75" customHeight="1">
      <c r="A2" s="98" t="s">
        <v>50</v>
      </c>
      <c r="B2" s="99"/>
      <c r="C2" s="98" t="s">
        <v>51</v>
      </c>
      <c r="D2" s="100"/>
      <c r="E2" s="100" t="s">
        <v>52</v>
      </c>
      <c r="F2" s="100" t="s">
        <v>9</v>
      </c>
      <c r="G2" s="100" t="s">
        <v>52</v>
      </c>
      <c r="H2" s="100" t="s">
        <v>9</v>
      </c>
      <c r="I2" s="100" t="s">
        <v>52</v>
      </c>
      <c r="J2" s="100" t="s">
        <v>9</v>
      </c>
      <c r="K2" s="100" t="s">
        <v>52</v>
      </c>
      <c r="L2" s="100" t="s">
        <v>9</v>
      </c>
      <c r="M2" s="101" t="s">
        <v>52</v>
      </c>
      <c r="N2" s="101" t="s">
        <v>9</v>
      </c>
    </row>
    <row r="3" ht="12.75" customHeight="1">
      <c r="A3" s="102">
        <f t="shared" ref="A3:A10" si="2">RANK(N3,$N$3:$N$10,1)+COUNTIF($N$3:N3,N3)-1</f>
        <v>3</v>
      </c>
      <c r="B3" s="101" t="str">
        <f>vlookup(D3,PlayersAndHandis,3,false)</f>
        <v>Aaron J</v>
      </c>
      <c r="C3" s="103">
        <f t="shared" ref="C3:C10" si="3">RANK(N3,$N$3:$N$10,1)</f>
        <v>3</v>
      </c>
      <c r="D3" s="80" t="str">
        <f>'Players and Handis SETUP'!A3</f>
        <v>AJ</v>
      </c>
      <c r="E3" s="103">
        <f>vlookup($D3,Round1Scores,24,false)</f>
        <v>91</v>
      </c>
      <c r="F3" s="104">
        <f>vlookup($D3,Round1Scores,25,false)</f>
        <v>84</v>
      </c>
      <c r="G3" s="103">
        <f>vlookup($D3,Round2Scores,24,false)</f>
        <v>81</v>
      </c>
      <c r="H3" s="104">
        <f>vlookup($D3,Round2Scores,25,false)</f>
        <v>74</v>
      </c>
      <c r="I3" s="103">
        <f>vlookup($D3,Scorecards!$A$32:$Y$39,24,false)</f>
        <v>80</v>
      </c>
      <c r="J3" s="104">
        <f>vlookup($D3,Scorecards!$A$32:$Y$39,25,false)</f>
        <v>73</v>
      </c>
      <c r="K3" s="103">
        <f>vlookup($D3,Scorecards!$A$46:$Y$53,24,false)</f>
        <v>92</v>
      </c>
      <c r="L3" s="104">
        <f>vlookup($D3,Scorecards!$A$46:$Y$53,25,false)</f>
        <v>85</v>
      </c>
      <c r="M3" s="105">
        <f t="shared" ref="M3:N3" si="1">SUM(E3,G3,I3,K3)</f>
        <v>344</v>
      </c>
      <c r="N3" s="106">
        <f t="shared" si="1"/>
        <v>316</v>
      </c>
    </row>
    <row r="4" ht="12.75" customHeight="1">
      <c r="A4" s="102">
        <f t="shared" si="2"/>
        <v>8</v>
      </c>
      <c r="B4" s="101" t="str">
        <f>vlookup(D4,PlayersAndHandis,3,false)</f>
        <v>Andy V</v>
      </c>
      <c r="C4" s="103">
        <f t="shared" si="3"/>
        <v>8</v>
      </c>
      <c r="D4" s="80" t="str">
        <f>'Players and Handis SETUP'!A4</f>
        <v>AV</v>
      </c>
      <c r="E4" s="103">
        <f>vlookup($D4,Round1Scores,24,false)</f>
        <v>98</v>
      </c>
      <c r="F4" s="104">
        <f>vlookup($D4,Round1Scores,25,false)</f>
        <v>82</v>
      </c>
      <c r="G4" s="103">
        <f>vlookup($D4,Round2Scores,24,false)</f>
        <v>100</v>
      </c>
      <c r="H4" s="104">
        <f>vlookup($D4,Round2Scores,25,false)</f>
        <v>84</v>
      </c>
      <c r="I4" s="103">
        <f>vlookup($D4,Scorecards!$A$32:$Y$39,24,false)</f>
        <v>111</v>
      </c>
      <c r="J4" s="104">
        <f>vlookup($D4,Scorecards!$A$32:$Y$39,25,false)</f>
        <v>95</v>
      </c>
      <c r="K4" s="103">
        <f>vlookup($D4,Scorecards!$A$46:$Y$53,24,false)</f>
        <v>93</v>
      </c>
      <c r="L4" s="104">
        <f>vlookup($D4,Scorecards!$A$46:$Y$53,25,false)</f>
        <v>77</v>
      </c>
      <c r="M4" s="105">
        <f t="shared" ref="M4:N4" si="4">SUM(E4,G4,I4,K4)</f>
        <v>402</v>
      </c>
      <c r="N4" s="106">
        <f t="shared" si="4"/>
        <v>338</v>
      </c>
    </row>
    <row r="5" ht="12.75" customHeight="1">
      <c r="A5" s="102">
        <f t="shared" si="2"/>
        <v>6</v>
      </c>
      <c r="B5" s="101" t="str">
        <f>vlookup(D5,PlayersAndHandis,3,false)</f>
        <v>Bob B</v>
      </c>
      <c r="C5" s="103">
        <f t="shared" si="3"/>
        <v>6</v>
      </c>
      <c r="D5" s="80" t="str">
        <f>'Players and Handis SETUP'!A5</f>
        <v>BB</v>
      </c>
      <c r="E5" s="103">
        <f>vlookup($D5,Round1Scores,24,false)</f>
        <v>91</v>
      </c>
      <c r="F5" s="104">
        <f>vlookup($D5,Round1Scores,25,false)</f>
        <v>76</v>
      </c>
      <c r="G5" s="103">
        <f>vlookup($D5,Round2Scores,24,false)</f>
        <v>95</v>
      </c>
      <c r="H5" s="104">
        <f>vlookup($D5,Round2Scores,25,false)</f>
        <v>80</v>
      </c>
      <c r="I5" s="103">
        <f>vlookup($D5,Scorecards!$A$32:$Y$39,24,false)</f>
        <v>109</v>
      </c>
      <c r="J5" s="104">
        <f>vlookup($D5,Scorecards!$A$32:$Y$39,25,false)</f>
        <v>94</v>
      </c>
      <c r="K5" s="103">
        <f>vlookup($D5,Scorecards!$A$46:$Y$53,24,false)</f>
        <v>101</v>
      </c>
      <c r="L5" s="104">
        <f>vlookup($D5,Scorecards!$A$46:$Y$53,25,false)</f>
        <v>86</v>
      </c>
      <c r="M5" s="105">
        <f t="shared" ref="M5:N5" si="5">SUM(E5,G5,I5,K5)</f>
        <v>396</v>
      </c>
      <c r="N5" s="106">
        <f t="shared" si="5"/>
        <v>336</v>
      </c>
    </row>
    <row r="6" ht="12.75" customHeight="1">
      <c r="A6" s="102">
        <f t="shared" si="2"/>
        <v>2</v>
      </c>
      <c r="B6" s="101" t="str">
        <f>vlookup(D6,PlayersAndHandis,3,false)</f>
        <v>Brian K</v>
      </c>
      <c r="C6" s="103">
        <f t="shared" si="3"/>
        <v>2</v>
      </c>
      <c r="D6" s="80" t="str">
        <f>'Players and Handis SETUP'!A6</f>
        <v>BK</v>
      </c>
      <c r="E6" s="103">
        <f>vlookup($D6,Round1Scores,24,false)</f>
        <v>99</v>
      </c>
      <c r="F6" s="104">
        <f>vlookup($D6,Round1Scores,25,false)</f>
        <v>84</v>
      </c>
      <c r="G6" s="103">
        <f>vlookup($D6,Round2Scores,24,false)</f>
        <v>86</v>
      </c>
      <c r="H6" s="104">
        <f>vlookup($D6,Round2Scores,25,false)</f>
        <v>71</v>
      </c>
      <c r="I6" s="103">
        <f>vlookup($D6,Scorecards!$A$32:$Y$39,24,false)</f>
        <v>93</v>
      </c>
      <c r="J6" s="104">
        <f>vlookup($D6,Scorecards!$A$32:$Y$39,25,false)</f>
        <v>78</v>
      </c>
      <c r="K6" s="103">
        <f>vlookup($D6,Scorecards!$A$46:$Y$53,24,false)</f>
        <v>87</v>
      </c>
      <c r="L6" s="104">
        <f>vlookup($D6,Scorecards!$A$46:$Y$53,25,false)</f>
        <v>72</v>
      </c>
      <c r="M6" s="105">
        <f t="shared" ref="M6:N6" si="6">SUM(E6,G6,I6,K6)</f>
        <v>365</v>
      </c>
      <c r="N6" s="106">
        <f t="shared" si="6"/>
        <v>305</v>
      </c>
    </row>
    <row r="7" ht="12.75" customHeight="1">
      <c r="A7" s="102">
        <f t="shared" si="2"/>
        <v>5</v>
      </c>
      <c r="B7" s="101" t="str">
        <f>vlookup(D7,PlayersAndHandis,3,false)</f>
        <v>Eric O</v>
      </c>
      <c r="C7" s="103">
        <f t="shared" si="3"/>
        <v>5</v>
      </c>
      <c r="D7" s="80" t="str">
        <f>'Players and Handis SETUP'!A7</f>
        <v>EO</v>
      </c>
      <c r="E7" s="103">
        <f>vlookup($D7,Round1Scores,24,false)</f>
        <v>101</v>
      </c>
      <c r="F7" s="104">
        <f>vlookup($D7,Round1Scores,25,false)</f>
        <v>84</v>
      </c>
      <c r="G7" s="103">
        <f>vlookup($D7,Round2Scores,24,false)</f>
        <v>101</v>
      </c>
      <c r="H7" s="104">
        <f>vlookup($D7,Round2Scores,25,false)</f>
        <v>84</v>
      </c>
      <c r="I7" s="103">
        <f>vlookup($D7,Scorecards!$A$32:$Y$39,24,false)</f>
        <v>94</v>
      </c>
      <c r="J7" s="104">
        <f>vlookup($D7,Scorecards!$A$32:$Y$39,25,false)</f>
        <v>77</v>
      </c>
      <c r="K7" s="103">
        <f>vlookup($D7,Scorecards!$A$46:$Y$53,24,false)</f>
        <v>103</v>
      </c>
      <c r="L7" s="104">
        <f>vlookup($D7,Scorecards!$A$46:$Y$53,25,false)</f>
        <v>86</v>
      </c>
      <c r="M7" s="105">
        <f t="shared" ref="M7:N7" si="7">SUM(E7,G7,I7,K7)</f>
        <v>399</v>
      </c>
      <c r="N7" s="106">
        <f t="shared" si="7"/>
        <v>331</v>
      </c>
    </row>
    <row r="8" ht="12.75" customHeight="1">
      <c r="A8" s="102">
        <f t="shared" si="2"/>
        <v>7</v>
      </c>
      <c r="B8" s="101" t="str">
        <f>vlookup(D8,PlayersAndHandis,3,false)</f>
        <v>Jeff B</v>
      </c>
      <c r="C8" s="103">
        <f t="shared" si="3"/>
        <v>6</v>
      </c>
      <c r="D8" s="80" t="str">
        <f>'Players and Handis SETUP'!A8</f>
        <v>JB</v>
      </c>
      <c r="E8" s="103">
        <f>vlookup($D8,Round1Scores,24,false)</f>
        <v>92</v>
      </c>
      <c r="F8" s="104">
        <f>vlookup($D8,Round1Scores,25,false)</f>
        <v>77</v>
      </c>
      <c r="G8" s="103">
        <f>vlookup($D8,Round2Scores,24,false)</f>
        <v>99</v>
      </c>
      <c r="H8" s="104">
        <f>vlookup($D8,Round2Scores,25,false)</f>
        <v>84</v>
      </c>
      <c r="I8" s="103">
        <f>vlookup($D8,Scorecards!$A$32:$Y$39,24,false)</f>
        <v>104</v>
      </c>
      <c r="J8" s="104">
        <f>vlookup($D8,Scorecards!$A$32:$Y$39,25,false)</f>
        <v>89</v>
      </c>
      <c r="K8" s="103">
        <f>vlookup($D8,Scorecards!$A$46:$Y$53,24,false)</f>
        <v>101</v>
      </c>
      <c r="L8" s="104">
        <f>vlookup($D8,Scorecards!$A$46:$Y$53,25,false)</f>
        <v>86</v>
      </c>
      <c r="M8" s="105">
        <f t="shared" ref="M8:N8" si="8">SUM(E8,G8,I8,K8)</f>
        <v>396</v>
      </c>
      <c r="N8" s="106">
        <f t="shared" si="8"/>
        <v>336</v>
      </c>
    </row>
    <row r="9" ht="12.75" customHeight="1">
      <c r="A9" s="102">
        <f t="shared" si="2"/>
        <v>4</v>
      </c>
      <c r="B9" s="101" t="str">
        <f>vlookup(D9,PlayersAndHandis,3,false)</f>
        <v>John C</v>
      </c>
      <c r="C9" s="103">
        <f t="shared" si="3"/>
        <v>4</v>
      </c>
      <c r="D9" s="80" t="str">
        <f>'Players and Handis SETUP'!A9</f>
        <v>JC</v>
      </c>
      <c r="E9" s="103">
        <f>vlookup($D9,Round1Scores,24,false)</f>
        <v>91</v>
      </c>
      <c r="F9" s="104">
        <f>vlookup($D9,Round1Scores,25,false)</f>
        <v>79</v>
      </c>
      <c r="G9" s="103">
        <f>vlookup($D9,Round2Scores,24,false)</f>
        <v>93</v>
      </c>
      <c r="H9" s="104">
        <f>vlookup($D9,Round2Scores,25,false)</f>
        <v>81</v>
      </c>
      <c r="I9" s="103">
        <f>vlookup($D9,Scorecards!$A$32:$Y$39,24,false)</f>
        <v>103</v>
      </c>
      <c r="J9" s="104">
        <f>vlookup($D9,Scorecards!$A$32:$Y$39,25,false)</f>
        <v>91</v>
      </c>
      <c r="K9" s="103">
        <f>vlookup($D9,Scorecards!$A$46:$Y$53,24,false)</f>
        <v>86</v>
      </c>
      <c r="L9" s="104">
        <f>vlookup($D9,Scorecards!$A$46:$Y$53,25,false)</f>
        <v>74</v>
      </c>
      <c r="M9" s="105">
        <f t="shared" ref="M9:N9" si="9">SUM(E9,G9,I9,K9)</f>
        <v>373</v>
      </c>
      <c r="N9" s="106">
        <f t="shared" si="9"/>
        <v>325</v>
      </c>
    </row>
    <row r="10" ht="12.75" customHeight="1">
      <c r="A10" s="102">
        <f t="shared" si="2"/>
        <v>1</v>
      </c>
      <c r="B10" s="101" t="str">
        <f>vlookup(D10,PlayersAndHandis,3,false)</f>
        <v>Scott R</v>
      </c>
      <c r="C10" s="103">
        <f t="shared" si="3"/>
        <v>1</v>
      </c>
      <c r="D10" s="80" t="str">
        <f>'Players and Handis SETUP'!A10</f>
        <v>SR</v>
      </c>
      <c r="E10" s="103">
        <f>vlookup($D10,Round1Scores,24,false)</f>
        <v>80</v>
      </c>
      <c r="F10" s="104">
        <f>vlookup($D10,Round1Scores,25,false)</f>
        <v>73</v>
      </c>
      <c r="G10" s="103">
        <f>vlookup($D10,Round2Scores,24,false)</f>
        <v>83</v>
      </c>
      <c r="H10" s="104">
        <f>vlookup($D10,Round2Scores,25,false)</f>
        <v>76</v>
      </c>
      <c r="I10" s="103">
        <f>vlookup($D10,Scorecards!$A$32:$Y$39,24,false)</f>
        <v>81</v>
      </c>
      <c r="J10" s="104">
        <f>vlookup($D10,Scorecards!$A$32:$Y$39,25,false)</f>
        <v>74</v>
      </c>
      <c r="K10" s="103">
        <f>vlookup($D10,Scorecards!$A$46:$Y$53,24,false)</f>
        <v>84</v>
      </c>
      <c r="L10" s="104">
        <f>vlookup($D10,Scorecards!$A$46:$Y$53,25,false)</f>
        <v>77</v>
      </c>
      <c r="M10" s="105">
        <f t="shared" ref="M10:N10" si="10">SUM(E10,G10,I10,K10)</f>
        <v>328</v>
      </c>
      <c r="N10" s="106">
        <f t="shared" si="10"/>
        <v>300</v>
      </c>
    </row>
  </sheetData>
  <mergeCells count="6">
    <mergeCell ref="B1:B2"/>
    <mergeCell ref="E1:F1"/>
    <mergeCell ref="G1:H1"/>
    <mergeCell ref="I1:J1"/>
    <mergeCell ref="K1:L1"/>
    <mergeCell ref="M1:N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2" max="12" width="14.43"/>
  </cols>
  <sheetData>
    <row r="1">
      <c r="A1" s="107" t="s">
        <v>53</v>
      </c>
      <c r="B1" s="108">
        <v>4.0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</row>
    <row r="2">
      <c r="A2" s="110" t="s">
        <v>54</v>
      </c>
      <c r="B2" s="111" t="s">
        <v>55</v>
      </c>
      <c r="C2" s="111" t="s">
        <v>56</v>
      </c>
      <c r="D2" s="111" t="s">
        <v>55</v>
      </c>
      <c r="E2" s="111" t="s">
        <v>55</v>
      </c>
      <c r="F2" s="111" t="s">
        <v>55</v>
      </c>
      <c r="G2" s="111" t="s">
        <v>55</v>
      </c>
      <c r="H2" s="111" t="s">
        <v>56</v>
      </c>
      <c r="I2" s="111" t="s">
        <v>55</v>
      </c>
      <c r="J2" s="111" t="s">
        <v>55</v>
      </c>
      <c r="K2" s="111" t="s">
        <v>55</v>
      </c>
      <c r="L2" s="111" t="s">
        <v>56</v>
      </c>
    </row>
    <row r="3">
      <c r="A3" s="112" t="s">
        <v>8</v>
      </c>
      <c r="B3" s="113"/>
      <c r="C3" s="114">
        <v>7.5</v>
      </c>
      <c r="D3" s="113"/>
      <c r="E3" s="113"/>
      <c r="F3" s="113"/>
      <c r="G3" s="115">
        <v>0.0</v>
      </c>
      <c r="H3" s="115">
        <v>20.0</v>
      </c>
      <c r="I3" s="115">
        <v>0.0</v>
      </c>
      <c r="J3" s="113"/>
      <c r="K3" s="113"/>
      <c r="L3" s="114">
        <v>22.5</v>
      </c>
    </row>
    <row r="4">
      <c r="A4" s="116" t="s">
        <v>57</v>
      </c>
      <c r="B4" s="117"/>
      <c r="C4" s="117"/>
      <c r="D4" s="118" t="s">
        <v>58</v>
      </c>
      <c r="E4" s="118" t="s">
        <v>58</v>
      </c>
      <c r="F4" s="118" t="s">
        <v>58</v>
      </c>
      <c r="G4" s="118" t="s">
        <v>58</v>
      </c>
      <c r="H4" s="118" t="s">
        <v>58</v>
      </c>
      <c r="I4" s="118" t="s">
        <v>58</v>
      </c>
      <c r="J4" s="119">
        <v>5.0</v>
      </c>
      <c r="K4" s="120"/>
      <c r="L4" s="117"/>
    </row>
    <row r="5">
      <c r="A5" s="74" t="s">
        <v>10</v>
      </c>
      <c r="B5" s="121" t="s">
        <v>59</v>
      </c>
      <c r="C5" s="121" t="s">
        <v>60</v>
      </c>
      <c r="D5" s="121" t="s">
        <v>61</v>
      </c>
      <c r="E5" s="121" t="s">
        <v>62</v>
      </c>
      <c r="F5" s="121" t="s">
        <v>63</v>
      </c>
      <c r="G5" s="121" t="s">
        <v>64</v>
      </c>
      <c r="H5" s="121" t="s">
        <v>65</v>
      </c>
      <c r="I5" s="121" t="s">
        <v>66</v>
      </c>
      <c r="J5" s="121" t="s">
        <v>67</v>
      </c>
      <c r="K5" s="121" t="s">
        <v>68</v>
      </c>
      <c r="L5" s="121" t="s">
        <v>22</v>
      </c>
    </row>
    <row r="6">
      <c r="A6" s="75" t="s">
        <v>13</v>
      </c>
      <c r="B6" s="122"/>
      <c r="C6" s="123" t="s">
        <v>69</v>
      </c>
      <c r="D6" s="122"/>
      <c r="E6" s="123"/>
      <c r="F6" s="122"/>
      <c r="G6" s="123"/>
      <c r="H6" s="124" t="s">
        <v>69</v>
      </c>
      <c r="I6" s="123"/>
      <c r="J6" s="122"/>
      <c r="K6" s="123"/>
      <c r="L6" s="123" t="s">
        <v>69</v>
      </c>
    </row>
    <row r="7">
      <c r="A7" s="88" t="s">
        <v>14</v>
      </c>
      <c r="B7" s="125"/>
      <c r="C7" s="102" t="s">
        <v>69</v>
      </c>
      <c r="D7" s="125"/>
      <c r="E7" s="102"/>
      <c r="F7" s="125"/>
      <c r="G7" s="102"/>
      <c r="H7" s="102" t="s">
        <v>69</v>
      </c>
      <c r="I7" s="102"/>
      <c r="J7" s="102"/>
      <c r="K7" s="102"/>
      <c r="L7" s="102" t="s">
        <v>69</v>
      </c>
    </row>
    <row r="8">
      <c r="A8" s="75" t="s">
        <v>15</v>
      </c>
      <c r="B8" s="123"/>
      <c r="C8" s="123" t="s">
        <v>69</v>
      </c>
      <c r="D8" s="123"/>
      <c r="E8" s="123"/>
      <c r="F8" s="123"/>
      <c r="G8" s="123"/>
      <c r="H8" s="123" t="s">
        <v>69</v>
      </c>
      <c r="I8" s="123"/>
      <c r="J8" s="123"/>
      <c r="K8" s="123"/>
      <c r="L8" s="123" t="s">
        <v>69</v>
      </c>
    </row>
    <row r="9">
      <c r="A9" s="88" t="s">
        <v>16</v>
      </c>
      <c r="B9" s="102"/>
      <c r="C9" s="102" t="s">
        <v>69</v>
      </c>
      <c r="D9" s="102"/>
      <c r="E9" s="102"/>
      <c r="F9" s="102"/>
      <c r="G9" s="102"/>
      <c r="H9" s="102" t="s">
        <v>69</v>
      </c>
      <c r="I9" s="102"/>
      <c r="J9" s="102"/>
      <c r="K9" s="102"/>
      <c r="L9" s="102" t="s">
        <v>69</v>
      </c>
    </row>
    <row r="10">
      <c r="A10" s="75" t="s">
        <v>17</v>
      </c>
      <c r="B10" s="123"/>
      <c r="C10" s="123" t="s">
        <v>69</v>
      </c>
      <c r="D10" s="123"/>
      <c r="E10" s="123"/>
      <c r="F10" s="123"/>
      <c r="G10" s="123"/>
      <c r="H10" s="123" t="s">
        <v>69</v>
      </c>
      <c r="I10" s="123"/>
      <c r="J10" s="123"/>
      <c r="K10" s="123"/>
      <c r="L10" s="123" t="s">
        <v>69</v>
      </c>
    </row>
    <row r="11">
      <c r="A11" s="88" t="s">
        <v>18</v>
      </c>
      <c r="B11" s="102"/>
      <c r="C11" s="102" t="s">
        <v>69</v>
      </c>
      <c r="D11" s="102"/>
      <c r="E11" s="102"/>
      <c r="F11" s="102"/>
      <c r="G11" s="102"/>
      <c r="H11" s="102" t="s">
        <v>69</v>
      </c>
      <c r="I11" s="102"/>
      <c r="J11" s="102"/>
      <c r="K11" s="102"/>
      <c r="L11" s="102" t="s">
        <v>69</v>
      </c>
    </row>
    <row r="12">
      <c r="A12" s="126" t="s">
        <v>19</v>
      </c>
      <c r="B12" s="123"/>
      <c r="C12" s="123" t="s">
        <v>69</v>
      </c>
      <c r="D12" s="123"/>
      <c r="E12" s="123"/>
      <c r="F12" s="123"/>
      <c r="G12" s="123"/>
      <c r="H12" s="123" t="s">
        <v>69</v>
      </c>
      <c r="I12" s="123"/>
      <c r="J12" s="123"/>
      <c r="K12" s="123"/>
      <c r="L12" s="123" t="s">
        <v>69</v>
      </c>
    </row>
    <row r="13">
      <c r="A13" s="88" t="s">
        <v>20</v>
      </c>
      <c r="B13" s="102"/>
      <c r="C13" s="102" t="s">
        <v>69</v>
      </c>
      <c r="D13" s="102"/>
      <c r="E13" s="102"/>
      <c r="F13" s="102"/>
      <c r="G13" s="102"/>
      <c r="H13" s="102" t="s">
        <v>69</v>
      </c>
      <c r="I13" s="102"/>
      <c r="J13" s="102"/>
      <c r="K13" s="102"/>
      <c r="L13" s="102" t="s">
        <v>69</v>
      </c>
    </row>
    <row r="14">
      <c r="A14" s="127">
        <f>sum(B14:L14)</f>
        <v>400</v>
      </c>
      <c r="B14" s="128">
        <f t="shared" ref="B14:L14" si="1">COUNTIF(B6:B13,"Y") *B3</f>
        <v>0</v>
      </c>
      <c r="C14" s="128">
        <f t="shared" si="1"/>
        <v>60</v>
      </c>
      <c r="D14" s="128">
        <f t="shared" si="1"/>
        <v>0</v>
      </c>
      <c r="E14" s="128">
        <f t="shared" si="1"/>
        <v>0</v>
      </c>
      <c r="F14" s="128">
        <f t="shared" si="1"/>
        <v>0</v>
      </c>
      <c r="G14" s="128">
        <f t="shared" si="1"/>
        <v>0</v>
      </c>
      <c r="H14" s="128">
        <f t="shared" si="1"/>
        <v>160</v>
      </c>
      <c r="I14" s="128">
        <f t="shared" si="1"/>
        <v>0</v>
      </c>
      <c r="J14" s="128">
        <f t="shared" si="1"/>
        <v>0</v>
      </c>
      <c r="K14" s="128">
        <f t="shared" si="1"/>
        <v>0</v>
      </c>
      <c r="L14" s="128">
        <f t="shared" si="1"/>
        <v>180</v>
      </c>
    </row>
  </sheetData>
  <conditionalFormatting sqref="C3">
    <cfRule type="expression" dxfId="7" priority="1">
      <formula>C2="YES"</formula>
    </cfRule>
  </conditionalFormatting>
  <conditionalFormatting sqref="G3">
    <cfRule type="expression" dxfId="7" priority="2">
      <formula>G2="YES"</formula>
    </cfRule>
  </conditionalFormatting>
  <conditionalFormatting sqref="H3">
    <cfRule type="expression" dxfId="7" priority="3">
      <formula>H2="YES"</formula>
    </cfRule>
  </conditionalFormatting>
  <conditionalFormatting sqref="I3">
    <cfRule type="expression" dxfId="7" priority="4">
      <formula>I2="YES"</formula>
    </cfRule>
  </conditionalFormatting>
  <conditionalFormatting sqref="J4">
    <cfRule type="expression" dxfId="8" priority="5">
      <formula>J2="YES"</formula>
    </cfRule>
  </conditionalFormatting>
  <conditionalFormatting sqref="K4">
    <cfRule type="expression" dxfId="8" priority="6">
      <formula>K2="YES"</formula>
    </cfRule>
  </conditionalFormatting>
  <conditionalFormatting sqref="L3">
    <cfRule type="expression" dxfId="7" priority="7">
      <formula>L2="YES"</formula>
    </cfRule>
  </conditionalFormatting>
  <conditionalFormatting sqref="D3">
    <cfRule type="expression" dxfId="7" priority="8">
      <formula>D2="YES"</formula>
    </cfRule>
  </conditionalFormatting>
  <conditionalFormatting sqref="B3">
    <cfRule type="expression" dxfId="7" priority="9">
      <formula>B2="YES"</formula>
    </cfRule>
  </conditionalFormatting>
  <conditionalFormatting sqref="E3">
    <cfRule type="expression" dxfId="7" priority="10">
      <formula>E2="YES"</formula>
    </cfRule>
  </conditionalFormatting>
  <conditionalFormatting sqref="F3">
    <cfRule type="expression" dxfId="7" priority="11">
      <formula>F2="YES"</formula>
    </cfRule>
  </conditionalFormatting>
  <dataValidations>
    <dataValidation type="list" allowBlank="1" showErrorMessage="1" sqref="B2:L2">
      <formula1>"YES,NO"</formula1>
    </dataValidation>
    <dataValidation type="list" allowBlank="1" showErrorMessage="1" sqref="A6:A13">
      <formula1>'Players and Handis SETUP'!$A$3:$A$10</formula1>
    </dataValidation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" width="10.86"/>
    <col customWidth="1" min="4" max="9" width="14.43"/>
  </cols>
  <sheetData>
    <row r="1">
      <c r="D1" s="129" t="s">
        <v>70</v>
      </c>
      <c r="E1" s="129" t="s">
        <v>71</v>
      </c>
      <c r="F1" s="129" t="s">
        <v>70</v>
      </c>
      <c r="G1" s="129" t="s">
        <v>71</v>
      </c>
      <c r="H1" s="88" t="s">
        <v>72</v>
      </c>
      <c r="I1" s="88">
        <v>6.0</v>
      </c>
    </row>
    <row r="2">
      <c r="A2" s="129" t="s">
        <v>10</v>
      </c>
      <c r="B2" s="130" t="s">
        <v>73</v>
      </c>
      <c r="C2" s="129" t="s">
        <v>10</v>
      </c>
      <c r="D2" s="129">
        <v>141.0</v>
      </c>
      <c r="E2" s="129">
        <v>141.0</v>
      </c>
      <c r="F2" s="129">
        <v>141.0</v>
      </c>
      <c r="G2" s="129">
        <v>141.0</v>
      </c>
      <c r="H2" s="88" t="s">
        <v>74</v>
      </c>
      <c r="I2" s="88">
        <v>7.0</v>
      </c>
    </row>
    <row r="3">
      <c r="A3" s="85" t="s">
        <v>13</v>
      </c>
      <c r="B3" s="131" t="str">
        <f>vlookup(C3,HandiFromTracker,2,false)</f>
        <v>#N/A</v>
      </c>
      <c r="C3" s="85" t="s">
        <v>27</v>
      </c>
      <c r="D3" s="85">
        <v>8.0</v>
      </c>
      <c r="E3" s="85">
        <v>8.0</v>
      </c>
      <c r="F3" s="85">
        <v>8.0</v>
      </c>
      <c r="G3" s="85">
        <v>8.0</v>
      </c>
      <c r="H3" s="88" t="s">
        <v>75</v>
      </c>
      <c r="I3" s="88">
        <v>8.0</v>
      </c>
    </row>
    <row r="4">
      <c r="A4" s="88" t="s">
        <v>14</v>
      </c>
      <c r="B4" s="132" t="str">
        <f>vlookup(C4,HandiFromTracker,2,false)</f>
        <v>#N/A</v>
      </c>
      <c r="C4" s="88" t="s">
        <v>28</v>
      </c>
      <c r="D4" s="88">
        <v>20.0</v>
      </c>
      <c r="E4" s="88">
        <v>20.0</v>
      </c>
      <c r="F4" s="88">
        <v>20.0</v>
      </c>
      <c r="G4" s="88">
        <v>20.0</v>
      </c>
      <c r="H4" s="88" t="s">
        <v>76</v>
      </c>
      <c r="I4" s="88">
        <v>9.0</v>
      </c>
    </row>
    <row r="5">
      <c r="A5" s="85" t="s">
        <v>15</v>
      </c>
      <c r="B5" s="131" t="str">
        <f>vlookup(C5,HandiFromTracker,2,false)</f>
        <v>#N/A</v>
      </c>
      <c r="C5" s="85" t="s">
        <v>29</v>
      </c>
      <c r="D5" s="85">
        <v>19.0</v>
      </c>
      <c r="E5" s="85">
        <v>19.0</v>
      </c>
      <c r="F5" s="85">
        <v>19.0</v>
      </c>
      <c r="G5" s="85">
        <v>19.0</v>
      </c>
      <c r="H5" s="88" t="s">
        <v>77</v>
      </c>
      <c r="I5" s="88">
        <v>10.0</v>
      </c>
    </row>
    <row r="6">
      <c r="A6" s="88" t="s">
        <v>16</v>
      </c>
      <c r="B6" s="132" t="str">
        <f>vlookup(C6,HandiFromTracker,2,false)</f>
        <v>#N/A</v>
      </c>
      <c r="C6" s="88" t="s">
        <v>30</v>
      </c>
      <c r="D6" s="88">
        <v>15.0</v>
      </c>
      <c r="E6" s="88">
        <v>15.0</v>
      </c>
      <c r="F6" s="88">
        <v>15.0</v>
      </c>
      <c r="G6" s="88">
        <v>15.0</v>
      </c>
      <c r="H6" s="88" t="s">
        <v>78</v>
      </c>
      <c r="I6" s="88">
        <v>11.0</v>
      </c>
    </row>
    <row r="7">
      <c r="A7" s="85" t="s">
        <v>17</v>
      </c>
      <c r="B7" s="131" t="str">
        <f>vlookup(C7,HandiFromTracker,2,false)</f>
        <v>#N/A</v>
      </c>
      <c r="C7" s="85" t="s">
        <v>31</v>
      </c>
      <c r="D7" s="85">
        <v>22.0</v>
      </c>
      <c r="E7" s="85">
        <v>22.0</v>
      </c>
      <c r="F7" s="85">
        <v>22.0</v>
      </c>
      <c r="G7" s="85">
        <v>22.0</v>
      </c>
      <c r="H7" s="88" t="s">
        <v>79</v>
      </c>
      <c r="I7" s="88">
        <v>12.0</v>
      </c>
    </row>
    <row r="8">
      <c r="A8" s="88" t="s">
        <v>18</v>
      </c>
      <c r="B8" s="132" t="str">
        <f>vlookup(C8,HandiFromTracker,2,false)</f>
        <v>#N/A</v>
      </c>
      <c r="C8" s="88" t="s">
        <v>32</v>
      </c>
      <c r="D8" s="88">
        <v>19.0</v>
      </c>
      <c r="E8" s="88">
        <v>19.0</v>
      </c>
      <c r="F8" s="88">
        <v>19.0</v>
      </c>
      <c r="G8" s="88">
        <v>19.0</v>
      </c>
      <c r="H8" s="88" t="s">
        <v>80</v>
      </c>
      <c r="I8" s="88">
        <v>13.0</v>
      </c>
    </row>
    <row r="9">
      <c r="A9" s="85" t="s">
        <v>19</v>
      </c>
      <c r="B9" s="131" t="str">
        <f>vlookup(C9,HandiFromTracker,2,false)</f>
        <v>#N/A</v>
      </c>
      <c r="C9" s="85" t="s">
        <v>33</v>
      </c>
      <c r="D9" s="85">
        <v>12.0</v>
      </c>
      <c r="E9" s="85">
        <v>12.0</v>
      </c>
      <c r="F9" s="85">
        <v>12.0</v>
      </c>
      <c r="G9" s="85">
        <v>12.0</v>
      </c>
      <c r="H9" s="88" t="s">
        <v>81</v>
      </c>
      <c r="I9" s="88">
        <v>14.0</v>
      </c>
    </row>
    <row r="10">
      <c r="A10" s="88" t="s">
        <v>20</v>
      </c>
      <c r="B10" s="132" t="str">
        <f>vlookup(C10,HandiFromTracker,2,false)</f>
        <v>#N/A</v>
      </c>
      <c r="C10" s="88" t="s">
        <v>34</v>
      </c>
      <c r="D10" s="88">
        <v>7.0</v>
      </c>
      <c r="E10" s="88">
        <v>7.0</v>
      </c>
      <c r="F10" s="88">
        <v>7.0</v>
      </c>
      <c r="G10" s="88">
        <v>7.0</v>
      </c>
      <c r="H10" s="88" t="s">
        <v>82</v>
      </c>
      <c r="I10" s="88">
        <v>15.0</v>
      </c>
    </row>
    <row r="11">
      <c r="A11" s="133"/>
      <c r="B11" s="134"/>
      <c r="C11" s="133"/>
      <c r="D11" s="133"/>
      <c r="E11" s="133"/>
      <c r="F11" s="133"/>
      <c r="G11" s="133"/>
      <c r="H11" s="88" t="s">
        <v>83</v>
      </c>
      <c r="I11" s="88">
        <v>16.0</v>
      </c>
    </row>
    <row r="12">
      <c r="A12" s="133"/>
      <c r="B12" s="134"/>
      <c r="C12" s="133"/>
      <c r="D12" s="133"/>
      <c r="E12" s="133"/>
      <c r="F12" s="133"/>
      <c r="G12" s="133"/>
      <c r="H12" s="88" t="s">
        <v>84</v>
      </c>
      <c r="I12" s="88">
        <v>17.0</v>
      </c>
    </row>
    <row r="13">
      <c r="A13" s="133"/>
      <c r="B13" s="134"/>
      <c r="C13" s="133"/>
      <c r="D13" s="133"/>
      <c r="E13" s="133"/>
      <c r="F13" s="133"/>
      <c r="G13" s="133"/>
      <c r="H13" s="88" t="s">
        <v>85</v>
      </c>
      <c r="I13" s="88">
        <v>18.0</v>
      </c>
    </row>
    <row r="14">
      <c r="A14" s="133"/>
      <c r="B14" s="134"/>
      <c r="C14" s="133"/>
      <c r="D14" s="133"/>
      <c r="E14" s="133"/>
      <c r="F14" s="133"/>
      <c r="G14" s="133"/>
      <c r="H14" s="88" t="s">
        <v>86</v>
      </c>
      <c r="I14" s="88">
        <v>19.0</v>
      </c>
    </row>
    <row r="15">
      <c r="A15" s="133"/>
      <c r="B15" s="134"/>
      <c r="C15" s="133"/>
      <c r="D15" s="133"/>
      <c r="E15" s="133"/>
      <c r="F15" s="133"/>
      <c r="G15" s="133"/>
      <c r="H15" s="88" t="s">
        <v>87</v>
      </c>
      <c r="I15" s="88">
        <v>20.0</v>
      </c>
    </row>
    <row r="16">
      <c r="A16" s="133"/>
      <c r="B16" s="134"/>
      <c r="C16" s="133"/>
      <c r="D16" s="133"/>
      <c r="E16" s="133"/>
      <c r="F16" s="133"/>
      <c r="G16" s="133"/>
      <c r="H16" s="88" t="s">
        <v>88</v>
      </c>
      <c r="I16" s="88">
        <v>21.0</v>
      </c>
    </row>
    <row r="17">
      <c r="A17" s="133"/>
      <c r="B17" s="134"/>
      <c r="C17" s="133"/>
      <c r="D17" s="133"/>
      <c r="E17" s="133"/>
      <c r="F17" s="133"/>
      <c r="G17" s="133"/>
      <c r="H17" s="88" t="s">
        <v>89</v>
      </c>
      <c r="I17" s="88">
        <v>22.0</v>
      </c>
    </row>
    <row r="18">
      <c r="A18" s="133"/>
      <c r="B18" s="134"/>
      <c r="C18" s="133"/>
      <c r="D18" s="133"/>
      <c r="E18" s="133"/>
      <c r="F18" s="133"/>
      <c r="G18" s="133"/>
      <c r="H18" s="88" t="s">
        <v>90</v>
      </c>
      <c r="I18" s="88">
        <v>23.0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7.29" defaultRowHeight="15.0"/>
  <cols>
    <col customWidth="1" min="1" max="1" width="18.14"/>
    <col customWidth="1" min="3" max="3" width="1.57"/>
    <col customWidth="1" min="4" max="4" width="18.14"/>
    <col customWidth="1" min="6" max="6" width="1.57"/>
    <col customWidth="1" min="7" max="7" width="18.14"/>
    <col customWidth="1" min="9" max="9" width="1.57"/>
    <col customWidth="1" min="10" max="10" width="18.14"/>
  </cols>
  <sheetData>
    <row r="1">
      <c r="A1" s="135" t="s">
        <v>91</v>
      </c>
      <c r="B1" s="136"/>
      <c r="D1" s="135" t="s">
        <v>91</v>
      </c>
      <c r="E1" s="136"/>
      <c r="G1" s="135" t="s">
        <v>91</v>
      </c>
      <c r="H1" s="136"/>
      <c r="J1" s="135" t="s">
        <v>91</v>
      </c>
      <c r="K1" s="136"/>
    </row>
    <row r="2">
      <c r="A2" s="135"/>
      <c r="B2" s="136"/>
      <c r="D2" s="135"/>
      <c r="E2" s="136"/>
      <c r="G2" s="135"/>
      <c r="H2" s="136"/>
      <c r="J2" s="135"/>
      <c r="K2" s="136"/>
    </row>
    <row r="3" ht="30.0" customHeight="1">
      <c r="A3" s="137" t="s">
        <v>27</v>
      </c>
      <c r="B3" s="138"/>
      <c r="D3" s="137" t="s">
        <v>27</v>
      </c>
      <c r="E3" s="138"/>
      <c r="G3" s="137" t="s">
        <v>27</v>
      </c>
      <c r="H3" s="138"/>
      <c r="J3" s="137" t="s">
        <v>27</v>
      </c>
      <c r="K3" s="138"/>
    </row>
    <row r="4" ht="30.0" customHeight="1">
      <c r="A4" s="139" t="s">
        <v>28</v>
      </c>
      <c r="B4" s="140"/>
      <c r="D4" s="139" t="s">
        <v>28</v>
      </c>
      <c r="E4" s="140"/>
      <c r="G4" s="139" t="s">
        <v>28</v>
      </c>
      <c r="H4" s="140"/>
      <c r="J4" s="139" t="s">
        <v>28</v>
      </c>
      <c r="K4" s="140"/>
    </row>
    <row r="5" ht="30.0" customHeight="1">
      <c r="A5" s="137" t="s">
        <v>29</v>
      </c>
      <c r="B5" s="138"/>
      <c r="D5" s="137" t="s">
        <v>29</v>
      </c>
      <c r="E5" s="138"/>
      <c r="G5" s="137" t="s">
        <v>29</v>
      </c>
      <c r="H5" s="138"/>
      <c r="J5" s="137" t="s">
        <v>29</v>
      </c>
      <c r="K5" s="138"/>
    </row>
    <row r="6" ht="30.0" customHeight="1">
      <c r="A6" s="139" t="s">
        <v>30</v>
      </c>
      <c r="B6" s="140"/>
      <c r="D6" s="139" t="s">
        <v>30</v>
      </c>
      <c r="E6" s="140"/>
      <c r="G6" s="139" t="s">
        <v>30</v>
      </c>
      <c r="H6" s="140"/>
      <c r="J6" s="139" t="s">
        <v>30</v>
      </c>
      <c r="K6" s="140"/>
    </row>
    <row r="7" ht="30.0" customHeight="1">
      <c r="A7" s="137" t="s">
        <v>31</v>
      </c>
      <c r="B7" s="138"/>
      <c r="D7" s="137" t="s">
        <v>31</v>
      </c>
      <c r="E7" s="138"/>
      <c r="G7" s="137" t="s">
        <v>31</v>
      </c>
      <c r="H7" s="138"/>
      <c r="J7" s="137" t="s">
        <v>31</v>
      </c>
      <c r="K7" s="138"/>
    </row>
    <row r="8" ht="30.0" customHeight="1">
      <c r="A8" s="139" t="s">
        <v>32</v>
      </c>
      <c r="B8" s="140"/>
      <c r="D8" s="139" t="s">
        <v>32</v>
      </c>
      <c r="E8" s="140"/>
      <c r="G8" s="139" t="s">
        <v>32</v>
      </c>
      <c r="H8" s="140"/>
      <c r="J8" s="139" t="s">
        <v>32</v>
      </c>
      <c r="K8" s="140"/>
    </row>
    <row r="9" ht="30.0" customHeight="1">
      <c r="A9" s="137" t="s">
        <v>33</v>
      </c>
      <c r="B9" s="138"/>
      <c r="D9" s="137" t="s">
        <v>33</v>
      </c>
      <c r="E9" s="138"/>
      <c r="G9" s="137" t="s">
        <v>33</v>
      </c>
      <c r="H9" s="138"/>
      <c r="J9" s="137" t="s">
        <v>33</v>
      </c>
      <c r="K9" s="138"/>
    </row>
    <row r="10" ht="30.0" customHeight="1">
      <c r="A10" s="139" t="s">
        <v>34</v>
      </c>
      <c r="B10" s="140"/>
      <c r="D10" s="139" t="s">
        <v>34</v>
      </c>
      <c r="E10" s="140"/>
      <c r="G10" s="139" t="s">
        <v>34</v>
      </c>
      <c r="H10" s="140"/>
      <c r="J10" s="139" t="s">
        <v>34</v>
      </c>
      <c r="K10" s="140"/>
    </row>
    <row r="11">
      <c r="A11" s="141" t="s">
        <v>92</v>
      </c>
      <c r="B11" s="142"/>
      <c r="D11" s="141" t="s">
        <v>92</v>
      </c>
      <c r="E11" s="142"/>
      <c r="G11" s="141" t="s">
        <v>92</v>
      </c>
      <c r="H11" s="142"/>
      <c r="J11" s="141" t="s">
        <v>92</v>
      </c>
      <c r="K11" s="142"/>
    </row>
    <row r="12">
      <c r="A12" s="143"/>
    </row>
    <row r="13">
      <c r="A13" s="135" t="s">
        <v>91</v>
      </c>
      <c r="B13" s="136"/>
      <c r="D13" s="135" t="s">
        <v>91</v>
      </c>
      <c r="E13" s="136"/>
      <c r="G13" s="135" t="s">
        <v>91</v>
      </c>
      <c r="H13" s="136"/>
      <c r="J13" s="135" t="s">
        <v>91</v>
      </c>
      <c r="K13" s="136"/>
    </row>
    <row r="14">
      <c r="A14" s="135"/>
      <c r="B14" s="136"/>
      <c r="D14" s="135"/>
      <c r="E14" s="136"/>
      <c r="G14" s="135"/>
      <c r="H14" s="136"/>
      <c r="J14" s="135"/>
      <c r="K14" s="136"/>
    </row>
    <row r="15" ht="30.0" customHeight="1">
      <c r="A15" s="137" t="s">
        <v>27</v>
      </c>
      <c r="B15" s="138"/>
      <c r="D15" s="137" t="s">
        <v>27</v>
      </c>
      <c r="E15" s="138"/>
      <c r="G15" s="137" t="s">
        <v>27</v>
      </c>
      <c r="H15" s="138"/>
      <c r="J15" s="137" t="s">
        <v>27</v>
      </c>
      <c r="K15" s="138"/>
    </row>
    <row r="16" ht="30.0" customHeight="1">
      <c r="A16" s="139" t="s">
        <v>28</v>
      </c>
      <c r="B16" s="140"/>
      <c r="D16" s="139" t="s">
        <v>28</v>
      </c>
      <c r="E16" s="140"/>
      <c r="G16" s="139" t="s">
        <v>28</v>
      </c>
      <c r="H16" s="140"/>
      <c r="J16" s="139" t="s">
        <v>28</v>
      </c>
      <c r="K16" s="140"/>
    </row>
    <row r="17" ht="30.0" customHeight="1">
      <c r="A17" s="137" t="s">
        <v>29</v>
      </c>
      <c r="B17" s="138"/>
      <c r="D17" s="137" t="s">
        <v>29</v>
      </c>
      <c r="E17" s="138"/>
      <c r="G17" s="137" t="s">
        <v>29</v>
      </c>
      <c r="H17" s="138"/>
      <c r="J17" s="137" t="s">
        <v>29</v>
      </c>
      <c r="K17" s="138"/>
    </row>
    <row r="18" ht="30.0" customHeight="1">
      <c r="A18" s="139" t="s">
        <v>30</v>
      </c>
      <c r="B18" s="140"/>
      <c r="D18" s="139" t="s">
        <v>30</v>
      </c>
      <c r="E18" s="140"/>
      <c r="G18" s="139" t="s">
        <v>30</v>
      </c>
      <c r="H18" s="140"/>
      <c r="J18" s="139" t="s">
        <v>30</v>
      </c>
      <c r="K18" s="140"/>
    </row>
    <row r="19" ht="30.0" customHeight="1">
      <c r="A19" s="137" t="s">
        <v>31</v>
      </c>
      <c r="B19" s="138"/>
      <c r="D19" s="137" t="s">
        <v>31</v>
      </c>
      <c r="E19" s="138"/>
      <c r="G19" s="137" t="s">
        <v>31</v>
      </c>
      <c r="H19" s="138"/>
      <c r="J19" s="137" t="s">
        <v>31</v>
      </c>
      <c r="K19" s="138"/>
    </row>
    <row r="20" ht="30.0" customHeight="1">
      <c r="A20" s="139" t="s">
        <v>32</v>
      </c>
      <c r="B20" s="140"/>
      <c r="D20" s="139" t="s">
        <v>32</v>
      </c>
      <c r="E20" s="140"/>
      <c r="G20" s="139" t="s">
        <v>32</v>
      </c>
      <c r="H20" s="140"/>
      <c r="J20" s="139" t="s">
        <v>32</v>
      </c>
      <c r="K20" s="140"/>
    </row>
    <row r="21" ht="30.0" customHeight="1">
      <c r="A21" s="137" t="s">
        <v>33</v>
      </c>
      <c r="B21" s="138"/>
      <c r="D21" s="137" t="s">
        <v>33</v>
      </c>
      <c r="E21" s="138"/>
      <c r="G21" s="137" t="s">
        <v>33</v>
      </c>
      <c r="H21" s="138"/>
      <c r="J21" s="137" t="s">
        <v>33</v>
      </c>
      <c r="K21" s="138"/>
    </row>
    <row r="22" ht="30.0" customHeight="1">
      <c r="A22" s="139" t="s">
        <v>34</v>
      </c>
      <c r="B22" s="140"/>
      <c r="D22" s="139" t="s">
        <v>34</v>
      </c>
      <c r="E22" s="140"/>
      <c r="G22" s="139" t="s">
        <v>34</v>
      </c>
      <c r="H22" s="140"/>
      <c r="J22" s="139" t="s">
        <v>34</v>
      </c>
      <c r="K22" s="140"/>
    </row>
    <row r="23">
      <c r="A23" s="141" t="s">
        <v>92</v>
      </c>
      <c r="B23" s="142"/>
      <c r="D23" s="141" t="s">
        <v>92</v>
      </c>
      <c r="E23" s="142"/>
      <c r="G23" s="141" t="s">
        <v>92</v>
      </c>
      <c r="H23" s="142"/>
      <c r="J23" s="141" t="s">
        <v>92</v>
      </c>
      <c r="K23" s="142"/>
    </row>
    <row r="24">
      <c r="A24" s="143"/>
    </row>
    <row r="25">
      <c r="A25" s="135" t="s">
        <v>91</v>
      </c>
      <c r="B25" s="136"/>
      <c r="D25" s="135" t="s">
        <v>91</v>
      </c>
      <c r="E25" s="136"/>
      <c r="G25" s="135" t="s">
        <v>91</v>
      </c>
      <c r="H25" s="136"/>
      <c r="J25" s="135" t="s">
        <v>91</v>
      </c>
      <c r="K25" s="136"/>
    </row>
    <row r="26">
      <c r="A26" s="135"/>
      <c r="B26" s="136"/>
      <c r="D26" s="135"/>
      <c r="E26" s="136"/>
      <c r="G26" s="135"/>
      <c r="H26" s="136"/>
      <c r="J26" s="135"/>
      <c r="K26" s="136"/>
    </row>
    <row r="27" ht="30.0" customHeight="1">
      <c r="A27" s="137" t="s">
        <v>27</v>
      </c>
      <c r="B27" s="138"/>
      <c r="D27" s="137" t="s">
        <v>27</v>
      </c>
      <c r="E27" s="138"/>
      <c r="G27" s="137" t="s">
        <v>27</v>
      </c>
      <c r="H27" s="138"/>
      <c r="J27" s="137" t="s">
        <v>27</v>
      </c>
      <c r="K27" s="138"/>
    </row>
    <row r="28" ht="30.0" customHeight="1">
      <c r="A28" s="139" t="s">
        <v>28</v>
      </c>
      <c r="B28" s="140"/>
      <c r="D28" s="139" t="s">
        <v>28</v>
      </c>
      <c r="E28" s="140"/>
      <c r="G28" s="139" t="s">
        <v>28</v>
      </c>
      <c r="H28" s="140"/>
      <c r="J28" s="139" t="s">
        <v>28</v>
      </c>
      <c r="K28" s="140"/>
    </row>
    <row r="29" ht="30.0" customHeight="1">
      <c r="A29" s="137" t="s">
        <v>29</v>
      </c>
      <c r="B29" s="138"/>
      <c r="D29" s="137" t="s">
        <v>29</v>
      </c>
      <c r="E29" s="138"/>
      <c r="G29" s="137" t="s">
        <v>29</v>
      </c>
      <c r="H29" s="138"/>
      <c r="J29" s="137" t="s">
        <v>29</v>
      </c>
      <c r="K29" s="138"/>
    </row>
    <row r="30" ht="30.0" customHeight="1">
      <c r="A30" s="139" t="s">
        <v>30</v>
      </c>
      <c r="B30" s="140"/>
      <c r="D30" s="139" t="s">
        <v>30</v>
      </c>
      <c r="E30" s="140"/>
      <c r="G30" s="139" t="s">
        <v>30</v>
      </c>
      <c r="H30" s="140"/>
      <c r="J30" s="139" t="s">
        <v>30</v>
      </c>
      <c r="K30" s="140"/>
    </row>
    <row r="31" ht="30.0" customHeight="1">
      <c r="A31" s="137" t="s">
        <v>31</v>
      </c>
      <c r="B31" s="138"/>
      <c r="D31" s="137" t="s">
        <v>31</v>
      </c>
      <c r="E31" s="138"/>
      <c r="G31" s="137" t="s">
        <v>31</v>
      </c>
      <c r="H31" s="138"/>
      <c r="J31" s="137" t="s">
        <v>31</v>
      </c>
      <c r="K31" s="138"/>
    </row>
    <row r="32" ht="30.0" customHeight="1">
      <c r="A32" s="139" t="s">
        <v>32</v>
      </c>
      <c r="B32" s="140"/>
      <c r="D32" s="139" t="s">
        <v>32</v>
      </c>
      <c r="E32" s="140"/>
      <c r="G32" s="139" t="s">
        <v>32</v>
      </c>
      <c r="H32" s="140"/>
      <c r="J32" s="139" t="s">
        <v>32</v>
      </c>
      <c r="K32" s="140"/>
    </row>
    <row r="33" ht="30.0" customHeight="1">
      <c r="A33" s="137" t="s">
        <v>33</v>
      </c>
      <c r="B33" s="138"/>
      <c r="D33" s="137" t="s">
        <v>33</v>
      </c>
      <c r="E33" s="138"/>
      <c r="G33" s="137" t="s">
        <v>33</v>
      </c>
      <c r="H33" s="138"/>
      <c r="J33" s="137" t="s">
        <v>33</v>
      </c>
      <c r="K33" s="138"/>
    </row>
    <row r="34" ht="30.0" customHeight="1">
      <c r="A34" s="139" t="s">
        <v>34</v>
      </c>
      <c r="B34" s="140"/>
      <c r="D34" s="139" t="s">
        <v>34</v>
      </c>
      <c r="E34" s="140"/>
      <c r="G34" s="139" t="s">
        <v>34</v>
      </c>
      <c r="H34" s="140"/>
      <c r="J34" s="139" t="s">
        <v>34</v>
      </c>
      <c r="K34" s="140"/>
    </row>
    <row r="35">
      <c r="A35" s="141" t="s">
        <v>93</v>
      </c>
      <c r="B35" s="142"/>
      <c r="D35" s="141" t="s">
        <v>93</v>
      </c>
      <c r="E35" s="142"/>
      <c r="G35" s="141" t="s">
        <v>93</v>
      </c>
      <c r="H35" s="142"/>
      <c r="J35" s="141" t="s">
        <v>93</v>
      </c>
      <c r="K35" s="142"/>
    </row>
    <row r="36">
      <c r="A36" s="143"/>
    </row>
    <row r="37">
      <c r="A37" s="135" t="s">
        <v>91</v>
      </c>
      <c r="B37" s="136"/>
      <c r="D37" s="135" t="s">
        <v>91</v>
      </c>
      <c r="E37" s="136"/>
      <c r="G37" s="135" t="s">
        <v>91</v>
      </c>
      <c r="H37" s="136"/>
      <c r="J37" s="135" t="s">
        <v>91</v>
      </c>
      <c r="K37" s="136"/>
    </row>
    <row r="38">
      <c r="A38" s="135"/>
      <c r="B38" s="136"/>
      <c r="D38" s="135"/>
      <c r="E38" s="136"/>
      <c r="G38" s="135"/>
      <c r="H38" s="136"/>
      <c r="J38" s="135"/>
      <c r="K38" s="136"/>
    </row>
    <row r="39" ht="30.0" customHeight="1">
      <c r="A39" s="137" t="s">
        <v>27</v>
      </c>
      <c r="B39" s="138"/>
      <c r="D39" s="137" t="s">
        <v>27</v>
      </c>
      <c r="E39" s="138"/>
      <c r="G39" s="137" t="s">
        <v>27</v>
      </c>
      <c r="H39" s="138"/>
      <c r="J39" s="137" t="s">
        <v>27</v>
      </c>
      <c r="K39" s="138"/>
    </row>
    <row r="40" ht="30.0" customHeight="1">
      <c r="A40" s="139" t="s">
        <v>28</v>
      </c>
      <c r="B40" s="140"/>
      <c r="D40" s="139" t="s">
        <v>28</v>
      </c>
      <c r="E40" s="140"/>
      <c r="G40" s="139" t="s">
        <v>28</v>
      </c>
      <c r="H40" s="140"/>
      <c r="J40" s="139" t="s">
        <v>28</v>
      </c>
      <c r="K40" s="140"/>
    </row>
    <row r="41" ht="30.0" customHeight="1">
      <c r="A41" s="137" t="s">
        <v>29</v>
      </c>
      <c r="B41" s="138"/>
      <c r="D41" s="137" t="s">
        <v>29</v>
      </c>
      <c r="E41" s="138"/>
      <c r="G41" s="137" t="s">
        <v>29</v>
      </c>
      <c r="H41" s="138"/>
      <c r="J41" s="137" t="s">
        <v>29</v>
      </c>
      <c r="K41" s="138"/>
    </row>
    <row r="42" ht="30.0" customHeight="1">
      <c r="A42" s="139" t="s">
        <v>30</v>
      </c>
      <c r="B42" s="140"/>
      <c r="D42" s="139" t="s">
        <v>30</v>
      </c>
      <c r="E42" s="140"/>
      <c r="G42" s="139" t="s">
        <v>30</v>
      </c>
      <c r="H42" s="140"/>
      <c r="J42" s="139" t="s">
        <v>30</v>
      </c>
      <c r="K42" s="140"/>
    </row>
    <row r="43" ht="30.0" customHeight="1">
      <c r="A43" s="137" t="s">
        <v>31</v>
      </c>
      <c r="B43" s="138"/>
      <c r="D43" s="137" t="s">
        <v>31</v>
      </c>
      <c r="E43" s="138"/>
      <c r="G43" s="137" t="s">
        <v>31</v>
      </c>
      <c r="H43" s="138"/>
      <c r="J43" s="137" t="s">
        <v>31</v>
      </c>
      <c r="K43" s="138"/>
    </row>
    <row r="44" ht="30.0" customHeight="1">
      <c r="A44" s="139" t="s">
        <v>32</v>
      </c>
      <c r="B44" s="140"/>
      <c r="D44" s="139" t="s">
        <v>32</v>
      </c>
      <c r="E44" s="140"/>
      <c r="G44" s="139" t="s">
        <v>32</v>
      </c>
      <c r="H44" s="140"/>
      <c r="J44" s="139" t="s">
        <v>32</v>
      </c>
      <c r="K44" s="140"/>
    </row>
    <row r="45" ht="30.0" customHeight="1">
      <c r="A45" s="137" t="s">
        <v>33</v>
      </c>
      <c r="B45" s="138"/>
      <c r="D45" s="137" t="s">
        <v>33</v>
      </c>
      <c r="E45" s="138"/>
      <c r="G45" s="137" t="s">
        <v>33</v>
      </c>
      <c r="H45" s="138"/>
      <c r="J45" s="137" t="s">
        <v>33</v>
      </c>
      <c r="K45" s="138"/>
    </row>
    <row r="46" ht="30.0" customHeight="1">
      <c r="A46" s="139" t="s">
        <v>34</v>
      </c>
      <c r="B46" s="140"/>
      <c r="D46" s="139" t="s">
        <v>34</v>
      </c>
      <c r="E46" s="140"/>
      <c r="G46" s="139" t="s">
        <v>34</v>
      </c>
      <c r="H46" s="140"/>
      <c r="J46" s="139" t="s">
        <v>34</v>
      </c>
      <c r="K46" s="140"/>
    </row>
    <row r="47">
      <c r="A47" s="141" t="s">
        <v>93</v>
      </c>
      <c r="B47" s="142"/>
      <c r="D47" s="141" t="s">
        <v>93</v>
      </c>
      <c r="E47" s="142"/>
      <c r="G47" s="141" t="s">
        <v>93</v>
      </c>
      <c r="H47" s="142"/>
      <c r="J47" s="141" t="s">
        <v>93</v>
      </c>
      <c r="K47" s="142"/>
    </row>
  </sheetData>
  <printOptions horizontalCentered="1"/>
  <pageMargins bottom="0.1" footer="0.0" header="0.0" left="0.1" right="0.1" top="0.1"/>
  <pageSetup cellComments="atEnd" orientation="landscape" pageOrder="overThenDown"/>
  <rowBreaks count="3" manualBreakCount="3">
    <brk man="1"/>
    <brk id="24" man="1"/>
    <brk id="47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t="str">
        <f>IFERROR(__xludf.DUMMYFUNCTION("importrange(""http://docs.google.com/spreadsheets/d/13LTrqSwjK4rQqgADHR7ZLpHud1vsKbCqd2KBSWs2SjE/edit"",""MASTER!A:B"")"),"#REF!")</f>
        <v>#REF!</v>
      </c>
    </row>
  </sheetData>
  <drawing r:id="rId1"/>
</worksheet>
</file>