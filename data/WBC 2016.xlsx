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Scorecards" sheetId="2" r:id="rId5"/>
    <sheet state="visible" name="Scores" sheetId="3" r:id="rId6"/>
    <sheet state="visible" name="Shares" sheetId="4" r:id="rId7"/>
    <sheet state="visible" name="WeekendLongBets" sheetId="5" r:id="rId8"/>
    <sheet state="visible" name="BettingScoreboard" sheetId="6" r:id="rId9"/>
    <sheet state="visible" name="BettingPayouts" sheetId="7" r:id="rId10"/>
  </sheets>
  <definedNames>
    <definedName name="Players">Shares!$A$3:$A$8</definedName>
  </definedNames>
  <calcPr/>
</workbook>
</file>

<file path=xl/sharedStrings.xml><?xml version="1.0" encoding="utf-8"?>
<sst xmlns="http://schemas.openxmlformats.org/spreadsheetml/2006/main" count="320" uniqueCount="74">
  <si>
    <t>2016 WANNABE CUP</t>
  </si>
  <si>
    <t>POS</t>
  </si>
  <si>
    <t>SCORE</t>
  </si>
  <si>
    <t>TO PAR</t>
  </si>
  <si>
    <t>PLAYER</t>
  </si>
  <si>
    <t>WD</t>
  </si>
  <si>
    <t>THE GRANDE</t>
  </si>
  <si>
    <t>Hole</t>
  </si>
  <si>
    <t>OUT</t>
  </si>
  <si>
    <t>IN</t>
  </si>
  <si>
    <t>TOTAL</t>
  </si>
  <si>
    <t>NET</t>
  </si>
  <si>
    <t>Player</t>
  </si>
  <si>
    <t>Handi</t>
  </si>
  <si>
    <t>SK</t>
  </si>
  <si>
    <t>CTP</t>
  </si>
  <si>
    <t>LO</t>
  </si>
  <si>
    <t>Par</t>
  </si>
  <si>
    <t>AJ</t>
  </si>
  <si>
    <t>Y</t>
  </si>
  <si>
    <t>N</t>
  </si>
  <si>
    <t>BB</t>
  </si>
  <si>
    <t>BK</t>
  </si>
  <si>
    <t>EO</t>
  </si>
  <si>
    <t>SR</t>
  </si>
  <si>
    <t>MV</t>
  </si>
  <si>
    <t>-</t>
  </si>
  <si>
    <t>SKIN</t>
  </si>
  <si>
    <t>CASCADES</t>
  </si>
  <si>
    <t>CALDERONE</t>
  </si>
  <si>
    <t>GROSS</t>
  </si>
  <si>
    <t>Aaron Jensen</t>
  </si>
  <si>
    <t>Bob Bergeron</t>
  </si>
  <si>
    <t>Brian Kelley</t>
  </si>
  <si>
    <t>Eric Olson</t>
  </si>
  <si>
    <t>Scott Rhoades</t>
  </si>
  <si>
    <t>Matt Vigo</t>
  </si>
  <si>
    <t>$1 Shares</t>
  </si>
  <si>
    <t>$0.50 Shares</t>
  </si>
  <si>
    <t>Invested</t>
  </si>
  <si>
    <t>TOTAL $1</t>
  </si>
  <si>
    <t>TOTAL $0.50</t>
  </si>
  <si>
    <t>Winner</t>
  </si>
  <si>
    <t>Total $1 share</t>
  </si>
  <si>
    <t>Total $.50 share</t>
  </si>
  <si>
    <t>Total BK $1 share</t>
  </si>
  <si>
    <t>Total BK .50 share</t>
  </si>
  <si>
    <t>per</t>
  </si>
  <si>
    <t>Single Round Low</t>
  </si>
  <si>
    <t xml:space="preserve">Low Cumulative </t>
  </si>
  <si>
    <t>Totals</t>
  </si>
  <si>
    <t>Low Per Round</t>
  </si>
  <si>
    <t>Yarrow</t>
  </si>
  <si>
    <t>Bedford Valley</t>
  </si>
  <si>
    <t>Stonehedge N</t>
  </si>
  <si>
    <t>Gull Lake West</t>
  </si>
  <si>
    <t># of Winners</t>
  </si>
  <si>
    <t>Cumulative Low</t>
  </si>
  <si>
    <t>Score</t>
  </si>
  <si>
    <t>Skins</t>
  </si>
  <si>
    <t>Skin $</t>
  </si>
  <si>
    <t>CTP $</t>
  </si>
  <si>
    <t>Name</t>
  </si>
  <si>
    <t>Skins Buyin</t>
  </si>
  <si>
    <t>CTP Buyin</t>
  </si>
  <si>
    <t>Per Round Low Buyin</t>
  </si>
  <si>
    <t>Per Round Low</t>
  </si>
  <si>
    <t>Single Round Low Buyin</t>
  </si>
  <si>
    <t>Cumulative Buyin</t>
  </si>
  <si>
    <t>Total</t>
  </si>
  <si>
    <t>Brian Kelly</t>
  </si>
  <si>
    <t>skins</t>
  </si>
  <si>
    <t>skins buy in</t>
  </si>
  <si>
    <t>skins 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</si>
</sst>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_);[Red]\(&quot;$&quot;#,##0\)"/>
    <numFmt numFmtId="165" formatCode="&quot;$&quot;#,##0.00_);[Red]\(&quot;$&quot;#,##0.00\)"/>
    <numFmt numFmtId="166" formatCode="&quot;$&quot;#,##0"/>
    <numFmt numFmtId="167" formatCode="&quot;$&quot;#,##0.00"/>
  </numFmts>
  <fonts count="14">
    <font>
      <sz val="11.0"/>
      <color rgb="FF000000"/>
      <name val="Calibri"/>
    </font>
    <font>
      <sz val="36.0"/>
      <color rgb="FFFFFFFF"/>
      <name val="Calibri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8.0"/>
      <color rgb="FF000000"/>
      <name val="Calibri"/>
    </font>
    <font>
      <sz val="20.0"/>
      <color rgb="FF000000"/>
      <name val="Calibri"/>
    </font>
    <font>
      <sz val="10.0"/>
      <color rgb="FF000000"/>
      <name val="Calibri"/>
    </font>
    <font>
      <sz val="10.0"/>
      <color rgb="FFFFFFFF"/>
      <name val="Calibri"/>
    </font>
    <font>
      <sz val="10.0"/>
      <name val="Calibri"/>
    </font>
    <font>
      <b/>
      <sz val="10.0"/>
      <color rgb="FF000000"/>
      <name val="Calibri"/>
    </font>
    <font>
      <sz val="10.0"/>
    </font>
    <font>
      <b/>
      <sz val="10.0"/>
    </font>
    <font>
      <b/>
      <sz val="10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  <fill>
      <patternFill patternType="solid">
        <fgColor rgb="FF999999"/>
        <bgColor rgb="FF999999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A5A5A5"/>
        <bgColor rgb="FFA5A5A5"/>
      </patternFill>
    </fill>
    <fill>
      <patternFill patternType="solid">
        <fgColor rgb="FFB8CCE4"/>
        <bgColor rgb="FFB8CCE4"/>
      </patternFill>
    </fill>
    <fill>
      <patternFill patternType="solid">
        <fgColor rgb="FF00FF00"/>
        <bgColor rgb="FF00FF00"/>
      </patternFill>
    </fill>
    <fill>
      <patternFill patternType="solid">
        <fgColor rgb="FF4F81BD"/>
        <bgColor rgb="FF4F81BD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0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4" fillId="0" fontId="0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wrapText="0"/>
    </xf>
    <xf borderId="5" fillId="6" fontId="8" numFmtId="0" xfId="0" applyAlignment="1" applyBorder="1" applyFill="1" applyFont="1">
      <alignment horizontal="center" shrinkToFit="0" wrapText="0"/>
    </xf>
    <xf borderId="6" fillId="0" fontId="2" numFmtId="0" xfId="0" applyBorder="1" applyFont="1"/>
    <xf borderId="7" fillId="0" fontId="2" numFmtId="0" xfId="0" applyBorder="1" applyFont="1"/>
    <xf borderId="4" fillId="7" fontId="9" numFmtId="0" xfId="0" applyAlignment="1" applyBorder="1" applyFill="1" applyFont="1">
      <alignment horizontal="center" shrinkToFit="0" wrapText="0"/>
    </xf>
    <xf borderId="4" fillId="0" fontId="7" numFmtId="164" xfId="0" applyAlignment="1" applyBorder="1" applyFont="1" applyNumberFormat="1">
      <alignment horizontal="center" readingOrder="0" shrinkToFit="0" wrapText="0"/>
    </xf>
    <xf borderId="4" fillId="0" fontId="7" numFmtId="164" xfId="0" applyAlignment="1" applyBorder="1" applyFont="1" applyNumberFormat="1">
      <alignment horizontal="center" shrinkToFit="0" wrapText="0"/>
    </xf>
    <xf borderId="8" fillId="6" fontId="8" numFmtId="0" xfId="0" applyAlignment="1" applyBorder="1" applyFont="1">
      <alignment horizontal="center" shrinkToFit="0" wrapText="0"/>
    </xf>
    <xf borderId="8" fillId="8" fontId="7" numFmtId="0" xfId="0" applyAlignment="1" applyBorder="1" applyFill="1" applyFont="1">
      <alignment horizontal="center" shrinkToFit="0" wrapText="0"/>
    </xf>
    <xf borderId="4" fillId="8" fontId="10" numFmtId="0" xfId="0" applyAlignment="1" applyBorder="1" applyFont="1">
      <alignment horizontal="left" shrinkToFit="0" wrapText="0"/>
    </xf>
    <xf borderId="9" fillId="8" fontId="10" numFmtId="0" xfId="0" applyAlignment="1" applyBorder="1" applyFont="1">
      <alignment horizontal="left" shrinkToFit="0" wrapText="0"/>
    </xf>
    <xf borderId="10" fillId="8" fontId="10" numFmtId="0" xfId="0" applyAlignment="1" applyBorder="1" applyFont="1">
      <alignment horizontal="left" shrinkToFit="0" wrapText="0"/>
    </xf>
    <xf borderId="4" fillId="6" fontId="8" numFmtId="0" xfId="0" applyAlignment="1" applyBorder="1" applyFont="1">
      <alignment horizontal="center" shrinkToFit="0" wrapText="0"/>
    </xf>
    <xf borderId="4" fillId="8" fontId="7" numFmtId="0" xfId="0" applyAlignment="1" applyBorder="1" applyFont="1">
      <alignment horizontal="center" shrinkToFit="0" wrapText="0"/>
    </xf>
    <xf borderId="11" fillId="9" fontId="7" numFmtId="0" xfId="0" applyAlignment="1" applyBorder="1" applyFill="1" applyFont="1">
      <alignment horizontal="center" shrinkToFit="0" wrapText="0"/>
    </xf>
    <xf borderId="4" fillId="9" fontId="7" numFmtId="0" xfId="0" applyAlignment="1" applyBorder="1" applyFont="1">
      <alignment horizontal="center" shrinkToFit="0" wrapText="0"/>
    </xf>
    <xf borderId="5" fillId="10" fontId="7" numFmtId="0" xfId="0" applyAlignment="1" applyBorder="1" applyFill="1" applyFont="1">
      <alignment horizontal="center" shrinkToFit="0" wrapText="0"/>
    </xf>
    <xf borderId="4" fillId="9" fontId="7" numFmtId="0" xfId="0" applyAlignment="1" applyBorder="1" applyFont="1">
      <alignment horizontal="center" readingOrder="0" shrinkToFit="0" wrapText="0"/>
    </xf>
    <xf borderId="12" fillId="4" fontId="7" numFmtId="0" xfId="0" applyAlignment="1" applyBorder="1" applyFont="1">
      <alignment horizontal="center" shrinkToFit="0" wrapText="0"/>
    </xf>
    <xf borderId="4" fillId="4" fontId="7" numFmtId="0" xfId="0" applyAlignment="1" applyBorder="1" applyFont="1">
      <alignment horizontal="center" shrinkToFit="0" wrapText="0"/>
    </xf>
    <xf borderId="5" fillId="4" fontId="7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wrapText="0"/>
    </xf>
    <xf borderId="13" fillId="4" fontId="7" numFmtId="0" xfId="0" applyAlignment="1" applyBorder="1" applyFont="1">
      <alignment horizontal="center" shrinkToFit="0" wrapText="0"/>
    </xf>
    <xf borderId="14" fillId="4" fontId="7" numFmtId="0" xfId="0" applyAlignment="1" applyBorder="1" applyFont="1">
      <alignment horizontal="center" shrinkToFit="0" wrapText="0"/>
    </xf>
    <xf borderId="15" fillId="4" fontId="7" numFmtId="0" xfId="0" applyAlignment="1" applyBorder="1" applyFont="1">
      <alignment horizontal="center" shrinkToFit="0" wrapText="0"/>
    </xf>
    <xf borderId="4" fillId="8" fontId="10" numFmtId="0" xfId="0" applyAlignment="1" applyBorder="1" applyFont="1">
      <alignment horizontal="center" shrinkToFit="0" wrapText="0"/>
    </xf>
    <xf borderId="4" fillId="8" fontId="10" numFmtId="164" xfId="0" applyAlignment="1" applyBorder="1" applyFont="1" applyNumberFormat="1">
      <alignment horizontal="center" shrinkToFit="0" wrapText="0"/>
    </xf>
    <xf borderId="4" fillId="8" fontId="7" numFmtId="165" xfId="0" applyAlignment="1" applyBorder="1" applyFont="1" applyNumberFormat="1">
      <alignment horizontal="center" shrinkToFit="0" wrapText="0"/>
    </xf>
    <xf borderId="4" fillId="0" fontId="9" numFmtId="0" xfId="0" applyAlignment="1" applyBorder="1" applyFont="1">
      <alignment horizontal="center" shrinkToFit="0" wrapText="0"/>
    </xf>
    <xf borderId="4" fillId="8" fontId="7" numFmtId="0" xfId="0" applyAlignment="1" applyBorder="1" applyFont="1">
      <alignment horizontal="center" readingOrder="0" shrinkToFit="0" wrapText="0"/>
    </xf>
    <xf borderId="4" fillId="4" fontId="9" numFmtId="0" xfId="0" applyAlignment="1" applyBorder="1" applyFont="1">
      <alignment horizontal="center" shrinkToFit="0" wrapText="0"/>
    </xf>
    <xf borderId="14" fillId="9" fontId="10" numFmtId="0" xfId="0" applyAlignment="1" applyBorder="1" applyFont="1">
      <alignment horizontal="center" shrinkToFit="0" vertical="center" wrapText="0"/>
    </xf>
    <xf borderId="5" fillId="11" fontId="10" numFmtId="0" xfId="0" applyAlignment="1" applyBorder="1" applyFill="1" applyFont="1">
      <alignment horizontal="center" shrinkToFit="0" wrapText="0"/>
    </xf>
    <xf borderId="12" fillId="0" fontId="2" numFmtId="0" xfId="0" applyBorder="1" applyFont="1"/>
    <xf borderId="16" fillId="0" fontId="2" numFmtId="0" xfId="0" applyBorder="1" applyFont="1"/>
    <xf borderId="4" fillId="9" fontId="10" numFmtId="0" xfId="0" applyAlignment="1" applyBorder="1" applyFont="1">
      <alignment horizontal="center" shrinkToFit="0" wrapText="0"/>
    </xf>
    <xf borderId="4" fillId="7" fontId="10" numFmtId="0" xfId="0" applyAlignment="1" applyBorder="1" applyFont="1">
      <alignment horizontal="center" readingOrder="0" shrinkToFit="0" wrapText="0"/>
    </xf>
    <xf borderId="4" fillId="12" fontId="10" numFmtId="0" xfId="0" applyAlignment="1" applyBorder="1" applyFill="1" applyFont="1">
      <alignment horizontal="center" readingOrder="0" shrinkToFit="0" wrapText="0"/>
    </xf>
    <xf borderId="4" fillId="7" fontId="10" numFmtId="0" xfId="0" applyAlignment="1" applyBorder="1" applyFont="1">
      <alignment horizontal="center" shrinkToFit="0" wrapText="0"/>
    </xf>
    <xf borderId="4" fillId="12" fontId="10" numFmtId="0" xfId="0" applyAlignment="1" applyBorder="1" applyFont="1">
      <alignment horizontal="center" shrinkToFit="0" wrapText="0"/>
    </xf>
    <xf borderId="4" fillId="9" fontId="10" numFmtId="0" xfId="0" applyAlignment="1" applyBorder="1" applyFont="1">
      <alignment horizontal="center" readingOrder="0" shrinkToFit="0" wrapText="0"/>
    </xf>
    <xf borderId="0" fillId="0" fontId="7" numFmtId="164" xfId="0" applyAlignment="1" applyFont="1" applyNumberFormat="1">
      <alignment horizontal="center" shrinkToFit="0" wrapText="0"/>
    </xf>
    <xf borderId="0" fillId="0" fontId="7" numFmtId="166" xfId="0" applyAlignment="1" applyFont="1" applyNumberFormat="1">
      <alignment horizontal="center" shrinkToFit="0" wrapText="0"/>
    </xf>
    <xf borderId="0" fillId="0" fontId="11" numFmtId="0" xfId="0" applyFont="1"/>
    <xf borderId="5" fillId="0" fontId="12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4" fillId="0" fontId="12" numFmtId="0" xfId="0" applyAlignment="1" applyBorder="1" applyFont="1">
      <alignment horizontal="center" readingOrder="0"/>
    </xf>
    <xf borderId="0" fillId="0" fontId="11" numFmtId="166" xfId="0" applyFont="1" applyNumberFormat="1"/>
    <xf borderId="4" fillId="4" fontId="10" numFmtId="0" xfId="0" applyAlignment="1" applyBorder="1" applyFont="1">
      <alignment horizontal="center" shrinkToFit="0" wrapText="0"/>
    </xf>
    <xf borderId="4" fillId="0" fontId="11" numFmtId="0" xfId="0" applyAlignment="1" applyBorder="1" applyFont="1">
      <alignment horizontal="center" readingOrder="0"/>
    </xf>
    <xf borderId="4" fillId="0" fontId="11" numFmtId="166" xfId="0" applyAlignment="1" applyBorder="1" applyFont="1" applyNumberFormat="1">
      <alignment horizontal="center" readingOrder="0"/>
    </xf>
    <xf borderId="4" fillId="0" fontId="11" numFmtId="166" xfId="0" applyAlignment="1" applyBorder="1" applyFont="1" applyNumberFormat="1">
      <alignment horizontal="center"/>
    </xf>
    <xf borderId="4" fillId="0" fontId="11" numFmtId="0" xfId="0" applyAlignment="1" applyBorder="1" applyFont="1">
      <alignment horizontal="center"/>
    </xf>
    <xf borderId="4" fillId="4" fontId="10" numFmtId="0" xfId="0" applyAlignment="1" applyBorder="1" applyFont="1">
      <alignment horizontal="center" readingOrder="0" shrinkToFit="0" wrapText="0"/>
    </xf>
    <xf borderId="4" fillId="13" fontId="11" numFmtId="166" xfId="0" applyAlignment="1" applyBorder="1" applyFill="1" applyFont="1" applyNumberFormat="1">
      <alignment horizontal="center"/>
    </xf>
    <xf borderId="0" fillId="0" fontId="11" numFmtId="0" xfId="0" applyAlignment="1" applyFont="1">
      <alignment horizontal="center"/>
    </xf>
    <xf borderId="4" fillId="13" fontId="12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0" fillId="0" fontId="11" numFmtId="0" xfId="0" applyAlignment="1" applyFont="1">
      <alignment horizontal="center" readingOrder="0"/>
    </xf>
    <xf borderId="4" fillId="0" fontId="11" numFmtId="167" xfId="0" applyAlignment="1" applyBorder="1" applyFont="1" applyNumberFormat="1">
      <alignment horizontal="center" readingOrder="0"/>
    </xf>
    <xf borderId="4" fillId="0" fontId="11" numFmtId="167" xfId="0" applyAlignment="1" applyBorder="1" applyFont="1" applyNumberFormat="1">
      <alignment horizontal="center"/>
    </xf>
    <xf borderId="4" fillId="4" fontId="7" numFmtId="0" xfId="0" applyAlignment="1" applyBorder="1" applyFont="1">
      <alignment horizontal="center" readingOrder="0" shrinkToFit="0" wrapText="0"/>
    </xf>
    <xf borderId="4" fillId="0" fontId="12" numFmtId="167" xfId="0" applyAlignment="1" applyBorder="1" applyFont="1" applyNumberFormat="1">
      <alignment horizontal="center"/>
    </xf>
    <xf borderId="4" fillId="10" fontId="7" numFmtId="0" xfId="0" applyAlignment="1" applyBorder="1" applyFont="1">
      <alignment horizontal="center" shrinkToFit="0" wrapText="0"/>
    </xf>
    <xf borderId="4" fillId="10" fontId="10" numFmtId="0" xfId="0" applyAlignment="1" applyBorder="1" applyFont="1">
      <alignment horizontal="center" shrinkToFit="0" wrapText="0"/>
    </xf>
    <xf borderId="4" fillId="10" fontId="10" numFmtId="164" xfId="0" applyAlignment="1" applyBorder="1" applyFont="1" applyNumberFormat="1">
      <alignment horizontal="center" shrinkToFit="0" wrapText="0"/>
    </xf>
    <xf borderId="17" fillId="4" fontId="10" numFmtId="0" xfId="0" applyAlignment="1" applyBorder="1" applyFont="1">
      <alignment horizontal="center" shrinkToFit="0" vertical="center" wrapText="1"/>
    </xf>
    <xf borderId="16" fillId="4" fontId="1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2" fillId="10" fontId="7" numFmtId="0" xfId="0" applyAlignment="1" applyBorder="1" applyFont="1">
      <alignment horizontal="center" shrinkToFit="0" wrapText="0"/>
    </xf>
    <xf borderId="13" fillId="4" fontId="10" numFmtId="0" xfId="0" applyAlignment="1" applyBorder="1" applyFont="1">
      <alignment horizontal="center" shrinkToFit="0" wrapText="0"/>
    </xf>
    <xf borderId="14" fillId="4" fontId="10" numFmtId="0" xfId="0" applyAlignment="1" applyBorder="1" applyFont="1">
      <alignment horizontal="center" shrinkToFit="0" wrapText="0"/>
    </xf>
    <xf borderId="5" fillId="0" fontId="10" numFmtId="0" xfId="0" applyAlignment="1" applyBorder="1" applyFont="1">
      <alignment horizontal="center" shrinkToFit="0" vertical="center" wrapText="1"/>
    </xf>
    <xf borderId="17" fillId="4" fontId="10" numFmtId="0" xfId="0" applyAlignment="1" applyBorder="1" applyFont="1">
      <alignment horizontal="center" shrinkToFit="0" wrapText="0"/>
    </xf>
    <xf borderId="18" fillId="4" fontId="10" numFmtId="0" xfId="0" applyAlignment="1" applyBorder="1" applyFont="1">
      <alignment horizontal="center" shrinkToFit="0" wrapText="0"/>
    </xf>
    <xf borderId="15" fillId="4" fontId="10" numFmtId="0" xfId="0" applyAlignment="1" applyBorder="1" applyFont="1">
      <alignment horizontal="center" shrinkToFit="0" wrapText="0"/>
    </xf>
    <xf borderId="18" fillId="4" fontId="10" numFmtId="0" xfId="0" applyAlignment="1" applyBorder="1" applyFont="1">
      <alignment horizontal="center" shrinkToFit="0" vertical="center" wrapText="1"/>
    </xf>
    <xf borderId="4" fillId="10" fontId="7" numFmtId="164" xfId="0" applyAlignment="1" applyBorder="1" applyFont="1" applyNumberFormat="1">
      <alignment horizontal="center" shrinkToFit="0" wrapText="0"/>
    </xf>
    <xf borderId="5" fillId="10" fontId="7" numFmtId="164" xfId="0" applyAlignment="1" applyBorder="1" applyFont="1" applyNumberFormat="1">
      <alignment horizontal="center" shrinkToFit="0" wrapText="0"/>
    </xf>
    <xf borderId="4" fillId="4" fontId="7" numFmtId="164" xfId="0" applyAlignment="1" applyBorder="1" applyFont="1" applyNumberFormat="1">
      <alignment horizontal="center" shrinkToFit="0" wrapText="0"/>
    </xf>
    <xf borderId="5" fillId="4" fontId="7" numFmtId="164" xfId="0" applyAlignment="1" applyBorder="1" applyFont="1" applyNumberFormat="1">
      <alignment horizontal="center" shrinkToFit="0" wrapText="0"/>
    </xf>
    <xf borderId="14" fillId="4" fontId="7" numFmtId="164" xfId="0" applyAlignment="1" applyBorder="1" applyFont="1" applyNumberFormat="1">
      <alignment horizontal="center" shrinkToFit="0" wrapText="0"/>
    </xf>
    <xf borderId="15" fillId="4" fontId="7" numFmtId="164" xfId="0" applyAlignment="1" applyBorder="1" applyFont="1" applyNumberFormat="1">
      <alignment horizontal="center" shrinkToFit="0" wrapText="0"/>
    </xf>
    <xf borderId="17" fillId="14" fontId="13" numFmtId="0" xfId="0" applyAlignment="1" applyBorder="1" applyFill="1" applyFont="1">
      <alignment horizontal="center" shrinkToFit="0" vertical="center" wrapText="1"/>
    </xf>
    <xf borderId="16" fillId="14" fontId="13" numFmtId="0" xfId="0" applyAlignment="1" applyBorder="1" applyFont="1">
      <alignment horizontal="center" shrinkToFit="0" vertical="center" wrapText="1"/>
    </xf>
    <xf borderId="18" fillId="14" fontId="13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wrapText="0"/>
    </xf>
    <xf borderId="4" fillId="7" fontId="7" numFmtId="0" xfId="0" applyAlignment="1" applyBorder="1" applyFont="1">
      <alignment horizontal="center" shrinkToFit="0" wrapText="0"/>
    </xf>
    <xf borderId="4" fillId="7" fontId="7" numFmtId="164" xfId="0" applyAlignment="1" applyBorder="1" applyFont="1" applyNumberFormat="1">
      <alignment horizontal="center" shrinkToFit="0" wrapText="0"/>
    </xf>
    <xf borderId="5" fillId="7" fontId="7" numFmtId="164" xfId="0" applyAlignment="1" applyBorder="1" applyFont="1" applyNumberFormat="1">
      <alignment horizontal="center" shrinkToFit="0" wrapText="0"/>
    </xf>
    <xf borderId="12" fillId="7" fontId="7" numFmtId="0" xfId="0" applyAlignment="1" applyBorder="1" applyFont="1">
      <alignment shrinkToFit="0" wrapText="0"/>
    </xf>
    <xf borderId="13" fillId="4" fontId="7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</cellXfs>
  <cellStyles count="1">
    <cellStyle xfId="0" name="Normal" builtinId="0"/>
  </cellStyles>
  <dxfs count="2"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7F7F7F"/>
          <bgColor rgb="FF7F7F7F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14"/>
    <col customWidth="1" min="2" max="3" width="13.43"/>
    <col customWidth="1" min="4" max="4" width="24.14"/>
    <col customWidth="1" min="5" max="8" width="13.43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3"/>
    </row>
    <row r="2" ht="23.25" customHeight="1">
      <c r="A2" s="4" t="s">
        <v>1</v>
      </c>
      <c r="B2" s="4" t="s">
        <v>2</v>
      </c>
      <c r="C2" s="4" t="s">
        <v>3</v>
      </c>
      <c r="D2" s="4" t="s">
        <v>4</v>
      </c>
      <c r="E2" s="5" t="str">
        <f>Scorecards!F1</f>
        <v>THE GRANDE</v>
      </c>
      <c r="F2" s="5" t="str">
        <f>Scorecards!F15</f>
        <v>CASCADES</v>
      </c>
      <c r="G2" s="5" t="str">
        <f>Scorecards!F29</f>
        <v>CALDERONE</v>
      </c>
      <c r="H2" s="5" t="str">
        <f>Scorecards!F43</f>
        <v>CALDERONE</v>
      </c>
    </row>
    <row r="3" ht="26.25" customHeight="1">
      <c r="A3" s="6">
        <f>VLOOKUP(D3,Scores!$O$3:$P$8,2,FALSE)</f>
        <v>1</v>
      </c>
      <c r="B3" s="7">
        <f>VLOOKUP(D3,Scores!$B$3:$L$8,11,FALSE)</f>
        <v>284</v>
      </c>
      <c r="C3" s="8">
        <f>SUM((IF(E3="",0,Scorecards!$AA$3-E3)),(IF(F3="",0,Scorecards!$AA$17-F3)),(IF(G3="",0,Scorecards!$AA$31-G3)),(IF(H3="",0,Scorecards!$AA$45-H3)))*-1</f>
        <v>-4</v>
      </c>
      <c r="D3" s="9" t="str">
        <f>VLOOKUP(1,Scores!$N$3:$O$8,2,FALSE)</f>
        <v>Brian Kelley</v>
      </c>
      <c r="E3" s="10">
        <f>VLOOKUP(D3,Scores!$B$3:$J$8,3,FALSE)</f>
        <v>69</v>
      </c>
      <c r="F3" s="10">
        <f>VLOOKUP(D3,Scores!$B$3:$J$8,5,FALSE)</f>
        <v>71</v>
      </c>
      <c r="G3" s="10">
        <f>VLOOKUP(D3,Scores!$B$3:$J$8,7,FALSE)</f>
        <v>74</v>
      </c>
      <c r="H3" s="10">
        <f>VLOOKUP(D3,Scores!$B$3:$J$8,9,FALSE)</f>
        <v>70</v>
      </c>
    </row>
    <row r="4" ht="26.25" customHeight="1">
      <c r="A4" s="6">
        <f>VLOOKUP(D4,Scores!$O$3:$P$8,2,FALSE)</f>
        <v>2</v>
      </c>
      <c r="B4" s="7">
        <f>VLOOKUP(D4,Scores!$B$3:$L$8,11,FALSE)</f>
        <v>290</v>
      </c>
      <c r="C4" s="8">
        <f>SUM((IF(E4="",0,Scorecards!$AA$3-E4)),(IF(F4="",0,Scorecards!$AA$17-F4)),(IF(G4="",0,Scorecards!$AA$31-G4)),(IF(H4="",0,Scorecards!$AA$45-H4)))*-1</f>
        <v>2</v>
      </c>
      <c r="D4" s="9" t="str">
        <f>VLOOKUP(2,Scores!$N$3:$O$8,2,FALSE)</f>
        <v>Bob Bergeron</v>
      </c>
      <c r="E4" s="10">
        <f>VLOOKUP(D4,Scores!$B$3:$J$8,3,FALSE)</f>
        <v>70</v>
      </c>
      <c r="F4" s="10">
        <f>VLOOKUP(D4,Scores!$B$3:$J$8,5,FALSE)</f>
        <v>78</v>
      </c>
      <c r="G4" s="10">
        <f>VLOOKUP(D4,Scores!$B$3:$J$8,7,FALSE)</f>
        <v>68</v>
      </c>
      <c r="H4" s="10">
        <f>VLOOKUP(D4,Scores!$B$3:$J$8,9,FALSE)</f>
        <v>74</v>
      </c>
    </row>
    <row r="5" ht="26.25" customHeight="1">
      <c r="A5" s="6">
        <f>VLOOKUP(D5,Scores!$O$3:$P$8,2,FALSE)</f>
        <v>3</v>
      </c>
      <c r="B5" s="7">
        <f>VLOOKUP(D5,Scores!$B$3:$L$8,11,FALSE)</f>
        <v>291</v>
      </c>
      <c r="C5" s="8">
        <f>SUM((IF(E5="",0,Scorecards!$AA$3-E5)),(IF(F5="",0,Scorecards!$AA$17-F5)),(IF(G5="",0,Scorecards!$AA$31-G5)),(IF(H5="",0,Scorecards!$AA$45-H5)))*-1</f>
        <v>3</v>
      </c>
      <c r="D5" s="9" t="str">
        <f>VLOOKUP(3,Scores!$N$3:$O$8,2,FALSE)</f>
        <v>Scott Rhoades</v>
      </c>
      <c r="E5" s="10">
        <f>VLOOKUP(D5,Scores!$B$3:$J$8,3,FALSE)</f>
        <v>65</v>
      </c>
      <c r="F5" s="10">
        <f>VLOOKUP(D5,Scores!$B$3:$J$8,5,FALSE)</f>
        <v>78</v>
      </c>
      <c r="G5" s="10">
        <f>VLOOKUP(D5,Scores!$B$3:$J$8,7,FALSE)</f>
        <v>76</v>
      </c>
      <c r="H5" s="10">
        <f>VLOOKUP(D5,Scores!$B$3:$J$8,9,FALSE)</f>
        <v>72</v>
      </c>
    </row>
    <row r="6" ht="26.25" customHeight="1">
      <c r="A6" s="6">
        <f>VLOOKUP(D6,Scores!$O$3:$P$8,2,FALSE)</f>
        <v>4</v>
      </c>
      <c r="B6" s="7">
        <f>VLOOKUP(D6,Scores!$B$3:$L$8,11,FALSE)</f>
        <v>311</v>
      </c>
      <c r="C6" s="8">
        <f>SUM((IF(E6="",0,Scorecards!$AA$3-E6)),(IF(F6="",0,Scorecards!$AA$17-F6)),(IF(G6="",0,Scorecards!$AA$31-G6)),(IF(H6="",0,Scorecards!$AA$45-H6)))*-1</f>
        <v>23</v>
      </c>
      <c r="D6" s="9" t="str">
        <f>VLOOKUP(4,Scores!$N$3:$O$8,2,FALSE)</f>
        <v>Eric Olson</v>
      </c>
      <c r="E6" s="10">
        <f>VLOOKUP(D6,Scores!$B$3:$J$8,3,FALSE)</f>
        <v>78</v>
      </c>
      <c r="F6" s="10">
        <f>VLOOKUP(D6,Scores!$B$3:$J$8,5,FALSE)</f>
        <v>69</v>
      </c>
      <c r="G6" s="10">
        <f>VLOOKUP(D6,Scores!$B$3:$J$8,7,FALSE)</f>
        <v>88</v>
      </c>
      <c r="H6" s="10">
        <f>VLOOKUP(D6,Scores!$B$3:$J$8,9,FALSE)</f>
        <v>76</v>
      </c>
    </row>
    <row r="7" ht="26.25" customHeight="1">
      <c r="A7" s="6">
        <f>VLOOKUP(D7,Scores!$O$3:$P$8,2,FALSE)</f>
        <v>5</v>
      </c>
      <c r="B7" s="11" t="s">
        <v>5</v>
      </c>
      <c r="C7" s="12" t="s">
        <v>5</v>
      </c>
      <c r="D7" s="9" t="str">
        <f>VLOOKUP(5,Scores!$N$3:$O$8,2,FALSE)</f>
        <v>Aaron Jensen</v>
      </c>
      <c r="E7" s="10">
        <f>VLOOKUP(D7,Scores!$B$3:$J$8,3,FALSE)</f>
        <v>75</v>
      </c>
      <c r="F7" s="13" t="s">
        <v>5</v>
      </c>
      <c r="G7" s="13" t="s">
        <v>5</v>
      </c>
      <c r="H7" s="13" t="s">
        <v>5</v>
      </c>
    </row>
    <row r="8" ht="26.25" customHeight="1">
      <c r="A8" s="6">
        <f>VLOOKUP(D8,Scores!$O$3:$P$8,2,FALSE)</f>
        <v>5</v>
      </c>
      <c r="B8" s="7" t="s">
        <v>5</v>
      </c>
      <c r="C8" s="8" t="s">
        <v>5</v>
      </c>
      <c r="D8" s="9" t="str">
        <f>VLOOKUP(6,Scores!$N$3:$O$8,2,FALSE)</f>
        <v>Matt Vigo</v>
      </c>
      <c r="E8" s="10" t="s">
        <v>5</v>
      </c>
      <c r="F8" s="10" t="s">
        <v>5</v>
      </c>
      <c r="G8" s="10" t="s">
        <v>5</v>
      </c>
      <c r="H8" s="10" t="s">
        <v>5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4" width="5.0"/>
    <col customWidth="1" min="25" max="26" width="3.57"/>
    <col customWidth="1" min="27" max="28" width="7.43"/>
  </cols>
  <sheetData>
    <row r="1" ht="12.75" customHeight="1">
      <c r="A1" s="14"/>
      <c r="B1" s="14"/>
      <c r="C1" s="14"/>
      <c r="D1" s="14"/>
      <c r="E1" s="14"/>
      <c r="F1" s="15" t="s">
        <v>6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7"/>
      <c r="AA1" s="18">
        <v>70.8</v>
      </c>
      <c r="AB1" s="18">
        <v>120.0</v>
      </c>
    </row>
    <row r="2" ht="12.75" customHeight="1">
      <c r="A2" s="14"/>
      <c r="B2" s="14"/>
      <c r="C2" s="19">
        <v>5.0</v>
      </c>
      <c r="D2" s="20">
        <v>0.0</v>
      </c>
      <c r="E2" s="20">
        <v>0.0</v>
      </c>
      <c r="F2" s="21" t="s">
        <v>7</v>
      </c>
      <c r="G2" s="22">
        <v>1.0</v>
      </c>
      <c r="H2" s="22">
        <v>2.0</v>
      </c>
      <c r="I2" s="22">
        <v>3.0</v>
      </c>
      <c r="J2" s="22">
        <v>4.0</v>
      </c>
      <c r="K2" s="22">
        <v>5.0</v>
      </c>
      <c r="L2" s="22">
        <v>6.0</v>
      </c>
      <c r="M2" s="22">
        <v>7.0</v>
      </c>
      <c r="N2" s="22">
        <v>8.0</v>
      </c>
      <c r="O2" s="22">
        <v>9.0</v>
      </c>
      <c r="P2" s="22">
        <v>10.0</v>
      </c>
      <c r="Q2" s="22">
        <v>11.0</v>
      </c>
      <c r="R2" s="22">
        <v>12.0</v>
      </c>
      <c r="S2" s="22">
        <v>13.0</v>
      </c>
      <c r="T2" s="22">
        <v>14.0</v>
      </c>
      <c r="U2" s="22">
        <v>15.0</v>
      </c>
      <c r="V2" s="22">
        <v>16.0</v>
      </c>
      <c r="W2" s="22">
        <v>17.0</v>
      </c>
      <c r="X2" s="22">
        <v>18.0</v>
      </c>
      <c r="Y2" s="22" t="s">
        <v>8</v>
      </c>
      <c r="Z2" s="22" t="s">
        <v>9</v>
      </c>
      <c r="AA2" s="22" t="s">
        <v>10</v>
      </c>
      <c r="AB2" s="22" t="s">
        <v>11</v>
      </c>
    </row>
    <row r="3" ht="12.75" customHeight="1">
      <c r="A3" s="23" t="s">
        <v>12</v>
      </c>
      <c r="B3" s="23" t="s">
        <v>13</v>
      </c>
      <c r="C3" s="24" t="s">
        <v>14</v>
      </c>
      <c r="D3" s="25" t="s">
        <v>15</v>
      </c>
      <c r="E3" s="25" t="s">
        <v>16</v>
      </c>
      <c r="F3" s="26" t="s">
        <v>17</v>
      </c>
      <c r="G3" s="27">
        <v>4.0</v>
      </c>
      <c r="H3" s="27">
        <v>3.0</v>
      </c>
      <c r="I3" s="27">
        <v>4.0</v>
      </c>
      <c r="J3" s="27">
        <v>5.0</v>
      </c>
      <c r="K3" s="27">
        <v>3.0</v>
      </c>
      <c r="L3" s="27">
        <v>4.0</v>
      </c>
      <c r="M3" s="27">
        <v>4.0</v>
      </c>
      <c r="N3" s="27">
        <v>5.0</v>
      </c>
      <c r="O3" s="27">
        <v>4.0</v>
      </c>
      <c r="P3" s="27">
        <v>4.0</v>
      </c>
      <c r="Q3" s="27">
        <v>5.0</v>
      </c>
      <c r="R3" s="27">
        <v>3.0</v>
      </c>
      <c r="S3" s="27">
        <v>4.0</v>
      </c>
      <c r="T3" s="27">
        <v>5.0</v>
      </c>
      <c r="U3" s="27">
        <v>4.0</v>
      </c>
      <c r="V3" s="27">
        <v>4.0</v>
      </c>
      <c r="W3" s="27">
        <v>3.0</v>
      </c>
      <c r="X3" s="27">
        <v>4.0</v>
      </c>
      <c r="Y3" s="27">
        <f t="shared" ref="Y3:Y9" si="1">SUM(G3:O3)</f>
        <v>36</v>
      </c>
      <c r="Z3" s="27">
        <f t="shared" ref="Z3:Z9" si="2">SUM(P3:X3)</f>
        <v>36</v>
      </c>
      <c r="AA3" s="27">
        <f>Y3+Z3</f>
        <v>72</v>
      </c>
      <c r="AB3" s="27"/>
    </row>
    <row r="4" ht="12.75" customHeight="1">
      <c r="A4" s="28" t="s">
        <v>18</v>
      </c>
      <c r="B4" s="29">
        <v>8.0</v>
      </c>
      <c r="C4" s="30" t="s">
        <v>19</v>
      </c>
      <c r="D4" s="30" t="s">
        <v>20</v>
      </c>
      <c r="E4" s="30" t="s">
        <v>19</v>
      </c>
      <c r="F4" s="26"/>
      <c r="G4" s="31">
        <v>5.0</v>
      </c>
      <c r="H4" s="31">
        <v>4.0</v>
      </c>
      <c r="I4" s="31">
        <v>5.0</v>
      </c>
      <c r="J4" s="31">
        <v>6.0</v>
      </c>
      <c r="K4" s="31">
        <v>3.0</v>
      </c>
      <c r="L4" s="31">
        <v>5.0</v>
      </c>
      <c r="M4" s="31">
        <v>4.0</v>
      </c>
      <c r="N4" s="31">
        <v>5.0</v>
      </c>
      <c r="O4" s="31">
        <v>5.0</v>
      </c>
      <c r="P4" s="31">
        <v>4.0</v>
      </c>
      <c r="Q4" s="31">
        <v>5.0</v>
      </c>
      <c r="R4" s="31">
        <v>3.0</v>
      </c>
      <c r="S4" s="31">
        <v>3.0</v>
      </c>
      <c r="T4" s="31">
        <v>6.0</v>
      </c>
      <c r="U4" s="31">
        <v>6.0</v>
      </c>
      <c r="V4" s="31">
        <v>5.0</v>
      </c>
      <c r="W4" s="31">
        <v>3.0</v>
      </c>
      <c r="X4" s="31">
        <v>6.0</v>
      </c>
      <c r="Y4" s="29">
        <f t="shared" si="1"/>
        <v>42</v>
      </c>
      <c r="Z4" s="29">
        <f t="shared" si="2"/>
        <v>41</v>
      </c>
      <c r="AA4" s="29">
        <f t="shared" ref="AA4:AA11" si="3">IF(Z4&gt;0,Y4+Z4,"")</f>
        <v>83</v>
      </c>
      <c r="AB4" s="29">
        <f t="shared" ref="AB4:AB11" si="4">IF(Z4=0,"",AA4-B4)</f>
        <v>75</v>
      </c>
    </row>
    <row r="5" ht="12.75" customHeight="1">
      <c r="A5" s="32" t="s">
        <v>21</v>
      </c>
      <c r="B5" s="33">
        <v>18.0</v>
      </c>
      <c r="C5" s="34" t="s">
        <v>19</v>
      </c>
      <c r="D5" s="34" t="s">
        <v>20</v>
      </c>
      <c r="E5" s="34" t="s">
        <v>19</v>
      </c>
      <c r="F5" s="26"/>
      <c r="G5" s="35">
        <v>4.0</v>
      </c>
      <c r="H5" s="35">
        <v>3.0</v>
      </c>
      <c r="I5" s="35">
        <v>5.0</v>
      </c>
      <c r="J5" s="35">
        <v>8.0</v>
      </c>
      <c r="K5" s="35">
        <v>3.0</v>
      </c>
      <c r="L5" s="35">
        <v>7.0</v>
      </c>
      <c r="M5" s="35">
        <v>6.0</v>
      </c>
      <c r="N5" s="35">
        <v>5.0</v>
      </c>
      <c r="O5" s="35">
        <v>5.0</v>
      </c>
      <c r="P5" s="35">
        <v>5.0</v>
      </c>
      <c r="Q5" s="35">
        <v>7.0</v>
      </c>
      <c r="R5" s="35">
        <v>3.0</v>
      </c>
      <c r="S5" s="35">
        <v>3.0</v>
      </c>
      <c r="T5" s="35">
        <v>7.0</v>
      </c>
      <c r="U5" s="35">
        <v>4.0</v>
      </c>
      <c r="V5" s="35">
        <v>5.0</v>
      </c>
      <c r="W5" s="35">
        <v>4.0</v>
      </c>
      <c r="X5" s="35">
        <v>4.0</v>
      </c>
      <c r="Y5" s="36">
        <f t="shared" si="1"/>
        <v>46</v>
      </c>
      <c r="Z5" s="36">
        <f t="shared" si="2"/>
        <v>42</v>
      </c>
      <c r="AA5" s="36">
        <f t="shared" si="3"/>
        <v>88</v>
      </c>
      <c r="AB5" s="36">
        <f t="shared" si="4"/>
        <v>70</v>
      </c>
    </row>
    <row r="6" ht="12.75" customHeight="1">
      <c r="A6" s="28" t="s">
        <v>22</v>
      </c>
      <c r="B6" s="31">
        <v>15.0</v>
      </c>
      <c r="C6" s="30" t="s">
        <v>19</v>
      </c>
      <c r="D6" s="30" t="s">
        <v>20</v>
      </c>
      <c r="E6" s="30" t="s">
        <v>19</v>
      </c>
      <c r="F6" s="26"/>
      <c r="G6" s="31">
        <v>8.0</v>
      </c>
      <c r="H6" s="31">
        <v>3.0</v>
      </c>
      <c r="I6" s="31">
        <v>5.0</v>
      </c>
      <c r="J6" s="31">
        <v>4.0</v>
      </c>
      <c r="K6" s="31">
        <v>3.0</v>
      </c>
      <c r="L6" s="31">
        <v>4.0</v>
      </c>
      <c r="M6" s="31">
        <v>4.0</v>
      </c>
      <c r="N6" s="31">
        <v>6.0</v>
      </c>
      <c r="O6" s="31">
        <v>5.0</v>
      </c>
      <c r="P6" s="31">
        <v>4.0</v>
      </c>
      <c r="Q6" s="31">
        <v>6.0</v>
      </c>
      <c r="R6" s="31">
        <v>4.0</v>
      </c>
      <c r="S6" s="31">
        <v>5.0</v>
      </c>
      <c r="T6" s="31">
        <v>8.0</v>
      </c>
      <c r="U6" s="31">
        <v>4.0</v>
      </c>
      <c r="V6" s="31">
        <v>4.0</v>
      </c>
      <c r="W6" s="31">
        <v>3.0</v>
      </c>
      <c r="X6" s="31">
        <v>4.0</v>
      </c>
      <c r="Y6" s="29">
        <f t="shared" si="1"/>
        <v>42</v>
      </c>
      <c r="Z6" s="29">
        <f t="shared" si="2"/>
        <v>42</v>
      </c>
      <c r="AA6" s="29">
        <f t="shared" si="3"/>
        <v>84</v>
      </c>
      <c r="AB6" s="29">
        <f t="shared" si="4"/>
        <v>69</v>
      </c>
    </row>
    <row r="7" ht="12.75" customHeight="1">
      <c r="A7" s="32" t="s">
        <v>23</v>
      </c>
      <c r="B7" s="33">
        <v>18.0</v>
      </c>
      <c r="C7" s="34" t="s">
        <v>19</v>
      </c>
      <c r="D7" s="34" t="s">
        <v>20</v>
      </c>
      <c r="E7" s="34" t="s">
        <v>19</v>
      </c>
      <c r="F7" s="26"/>
      <c r="G7" s="35">
        <v>5.0</v>
      </c>
      <c r="H7" s="35">
        <v>4.0</v>
      </c>
      <c r="I7" s="35">
        <v>5.0</v>
      </c>
      <c r="J7" s="35">
        <v>7.0</v>
      </c>
      <c r="K7" s="35">
        <v>2.0</v>
      </c>
      <c r="L7" s="35">
        <v>5.0</v>
      </c>
      <c r="M7" s="35">
        <v>6.0</v>
      </c>
      <c r="N7" s="35">
        <v>8.0</v>
      </c>
      <c r="O7" s="35">
        <v>6.0</v>
      </c>
      <c r="P7" s="35">
        <v>7.0</v>
      </c>
      <c r="Q7" s="35">
        <v>8.0</v>
      </c>
      <c r="R7" s="35">
        <v>3.0</v>
      </c>
      <c r="S7" s="35">
        <v>5.0</v>
      </c>
      <c r="T7" s="35">
        <v>5.0</v>
      </c>
      <c r="U7" s="35">
        <v>3.0</v>
      </c>
      <c r="V7" s="35">
        <v>7.0</v>
      </c>
      <c r="W7" s="35">
        <v>6.0</v>
      </c>
      <c r="X7" s="35">
        <v>4.0</v>
      </c>
      <c r="Y7" s="36">
        <f t="shared" si="1"/>
        <v>48</v>
      </c>
      <c r="Z7" s="36">
        <f t="shared" si="2"/>
        <v>48</v>
      </c>
      <c r="AA7" s="36">
        <f t="shared" si="3"/>
        <v>96</v>
      </c>
      <c r="AB7" s="36">
        <f t="shared" si="4"/>
        <v>78</v>
      </c>
    </row>
    <row r="8" ht="12.75" customHeight="1">
      <c r="A8" s="28" t="s">
        <v>24</v>
      </c>
      <c r="B8" s="29">
        <v>8.0</v>
      </c>
      <c r="C8" s="30" t="s">
        <v>19</v>
      </c>
      <c r="D8" s="30" t="s">
        <v>20</v>
      </c>
      <c r="E8" s="30" t="s">
        <v>19</v>
      </c>
      <c r="F8" s="26"/>
      <c r="G8" s="31">
        <v>5.0</v>
      </c>
      <c r="H8" s="31">
        <v>3.0</v>
      </c>
      <c r="I8" s="31">
        <v>5.0</v>
      </c>
      <c r="J8" s="31">
        <v>5.0</v>
      </c>
      <c r="K8" s="31">
        <v>3.0</v>
      </c>
      <c r="L8" s="31">
        <v>4.0</v>
      </c>
      <c r="M8" s="31">
        <v>3.0</v>
      </c>
      <c r="N8" s="31">
        <v>3.0</v>
      </c>
      <c r="O8" s="31">
        <v>3.0</v>
      </c>
      <c r="P8" s="31">
        <v>4.0</v>
      </c>
      <c r="Q8" s="31">
        <v>6.0</v>
      </c>
      <c r="R8" s="31">
        <v>3.0</v>
      </c>
      <c r="S8" s="31">
        <v>4.0</v>
      </c>
      <c r="T8" s="31">
        <v>4.0</v>
      </c>
      <c r="U8" s="31">
        <v>3.0</v>
      </c>
      <c r="V8" s="31">
        <v>6.0</v>
      </c>
      <c r="W8" s="31">
        <v>3.0</v>
      </c>
      <c r="X8" s="31">
        <v>6.0</v>
      </c>
      <c r="Y8" s="29">
        <f t="shared" si="1"/>
        <v>34</v>
      </c>
      <c r="Z8" s="29">
        <f t="shared" si="2"/>
        <v>39</v>
      </c>
      <c r="AA8" s="29">
        <f t="shared" si="3"/>
        <v>73</v>
      </c>
      <c r="AB8" s="29">
        <f t="shared" si="4"/>
        <v>65</v>
      </c>
    </row>
    <row r="9" ht="12.75" customHeight="1">
      <c r="A9" s="32" t="s">
        <v>25</v>
      </c>
      <c r="B9" s="33" t="s">
        <v>26</v>
      </c>
      <c r="C9" s="34" t="s">
        <v>20</v>
      </c>
      <c r="D9" s="34" t="s">
        <v>20</v>
      </c>
      <c r="E9" s="34" t="s">
        <v>20</v>
      </c>
      <c r="F9" s="2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>
        <f t="shared" si="1"/>
        <v>0</v>
      </c>
      <c r="Z9" s="36">
        <f t="shared" si="2"/>
        <v>0</v>
      </c>
      <c r="AA9" s="36" t="str">
        <f t="shared" si="3"/>
        <v/>
      </c>
      <c r="AB9" s="36" t="str">
        <f t="shared" si="4"/>
        <v/>
      </c>
    </row>
    <row r="10" ht="12.75" customHeight="1">
      <c r="A10" s="28"/>
      <c r="B10" s="29"/>
      <c r="C10" s="30"/>
      <c r="D10" s="30"/>
      <c r="E10" s="30"/>
      <c r="F10" s="26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 t="str">
        <f t="shared" si="3"/>
        <v/>
      </c>
      <c r="AB10" s="29" t="str">
        <f t="shared" si="4"/>
        <v/>
      </c>
    </row>
    <row r="11" ht="12.75" customHeight="1">
      <c r="A11" s="37"/>
      <c r="B11" s="38"/>
      <c r="C11" s="39"/>
      <c r="D11" s="39"/>
      <c r="E11" s="39"/>
      <c r="F11" s="2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 t="str">
        <f t="shared" si="3"/>
        <v/>
      </c>
      <c r="AB11" s="36" t="str">
        <f t="shared" si="4"/>
        <v/>
      </c>
    </row>
    <row r="12" ht="12.75" customHeight="1">
      <c r="A12" s="40"/>
      <c r="B12" s="40"/>
      <c r="C12" s="41">
        <f>COUNTIF(Scorecards!$C$4:$C$11, "Y")*C2</f>
        <v>25</v>
      </c>
      <c r="D12" s="41">
        <f>COUNTIF(Scorecards!$D$4:$D$11, "Y")*D2</f>
        <v>0</v>
      </c>
      <c r="E12" s="41">
        <f>COUNTIF(Scorecards!$E$4:$E$11, "Y")*E2</f>
        <v>0</v>
      </c>
      <c r="F12" s="26" t="s">
        <v>27</v>
      </c>
      <c r="G12" s="27" t="str">
        <f t="array" ref="G12">IF(OR(SUM(IF(IF(Scorecards!$C$4:$C$11="Y", G4:G11, 10)=MIN(IF(Scorecards!$C$4:$C$11="Y", G4:G11, 10)), 1, 0)) &gt; 1, MIN(IF(Scorecards!$C$4:$C$11="Y", G4:G11, 10)) &gt; G3), "", INDEX(Scorecards!$A$4:$A$11,MATCH(MIN(IF(Scorecards!$C$4:$C$11="Y",G4:G11,10)),IF(Scorecards!$C$4:$C$11="Y",G4:G11,10),0)))</f>
        <v>BB</v>
      </c>
      <c r="H12" s="27" t="str">
        <f t="array" ref="H12">IF(OR(SUM(IF(IF(Scorecards!$C$4:$C$11="Y", H4:H11, 10)=MIN(IF(Scorecards!$C$4:$C$11="Y", H4:H11, 10)), 1, 0)) &gt; 1, MIN(IF(Scorecards!$C$4:$C$11="Y", H4:H11, 10)) &gt; H3), "", INDEX(Scorecards!$A$4:$A$11,MATCH(MIN(IF(Scorecards!$C$4:$C$11="Y",H4:H11,10)),IF(Scorecards!$C$4:$C$11="Y",H4:H11,10),0)))</f>
        <v/>
      </c>
      <c r="I12" s="27" t="str">
        <f t="array" ref="I12">IF(OR(SUM(IF(IF(Scorecards!$C$4:$C$11="Y", I4:I11, 10)=MIN(IF(Scorecards!$C$4:$C$11="Y", I4:I11, 10)), 1, 0)) &gt; 1, MIN(IF(Scorecards!$C$4:$C$11="Y", I4:I11, 10)) &gt; I3), "", INDEX(Scorecards!$A$4:$A$11,MATCH(MIN(IF(Scorecards!$C$4:$C$11="Y",I4:I11,10)),IF(Scorecards!$C$4:$C$11="Y",I4:I11,10),0)))</f>
        <v/>
      </c>
      <c r="J12" s="27" t="str">
        <f t="array" ref="J12">IF(OR(SUM(IF(IF(Scorecards!$C$4:$C$11="Y", J4:J11, 10)=MIN(IF(Scorecards!$C$4:$C$11="Y", J4:J11, 10)), 1, 0)) &gt; 1, MIN(IF(Scorecards!$C$4:$C$11="Y", J4:J11, 10)) &gt; J3), "", INDEX(Scorecards!$A$4:$A$11,MATCH(MIN(IF(Scorecards!$C$4:$C$11="Y",J4:J11,10)),IF(Scorecards!$C$4:$C$11="Y",J4:J11,10),0)))</f>
        <v>BK</v>
      </c>
      <c r="K12" s="27" t="str">
        <f t="array" ref="K12">IF(OR(SUM(IF(IF(Scorecards!$C$4:$C$11="Y", K4:K11, 10)=MIN(IF(Scorecards!$C$4:$C$11="Y", K4:K11, 10)), 1, 0)) &gt; 1, MIN(IF(Scorecards!$C$4:$C$11="Y", K4:K11, 10)) &gt; K3), "", INDEX(Scorecards!$A$4:$A$11,MATCH(MIN(IF(Scorecards!$C$4:$C$11="Y",K4:K11,10)),IF(Scorecards!$C$4:$C$11="Y",K4:K11,10),0)))</f>
        <v>EO</v>
      </c>
      <c r="L12" s="27" t="str">
        <f t="array" ref="L12">IF(OR(SUM(IF(IF(Scorecards!$C$4:$C$11="Y", L4:L11, 10)=MIN(IF(Scorecards!$C$4:$C$11="Y", L4:L11, 10)), 1, 0)) &gt; 1, MIN(IF(Scorecards!$C$4:$C$11="Y", L4:L11, 10)) &gt; L3), "", INDEX(Scorecards!$A$4:$A$11,MATCH(MIN(IF(Scorecards!$C$4:$C$11="Y",L4:L11,10)),IF(Scorecards!$C$4:$C$11="Y",L4:L11,10),0)))</f>
        <v/>
      </c>
      <c r="M12" s="27" t="str">
        <f t="array" ref="M12">IF(OR(SUM(IF(IF(Scorecards!$C$4:$C$11="Y", M4:M11, 10)=MIN(IF(Scorecards!$C$4:$C$11="Y", M4:M11, 10)), 1, 0)) &gt; 1, MIN(IF(Scorecards!$C$4:$C$11="Y", M4:M11, 10)) &gt; M3), "", INDEX(Scorecards!$A$4:$A$11,MATCH(MIN(IF(Scorecards!$C$4:$C$11="Y",M4:M11,10)),IF(Scorecards!$C$4:$C$11="Y",M4:M11,10),0)))</f>
        <v>SR</v>
      </c>
      <c r="N12" s="27" t="str">
        <f t="array" ref="N12">IF(OR(SUM(IF(IF(Scorecards!$C$4:$C$11="Y", N4:N11, 10)=MIN(IF(Scorecards!$C$4:$C$11="Y", N4:N11, 10)), 1, 0)) &gt; 1, MIN(IF(Scorecards!$C$4:$C$11="Y", N4:N11, 10)) &gt; N3), "", INDEX(Scorecards!$A$4:$A$11,MATCH(MIN(IF(Scorecards!$C$4:$C$11="Y",N4:N11,10)),IF(Scorecards!$C$4:$C$11="Y",N4:N11,10),0)))</f>
        <v>SR</v>
      </c>
      <c r="O12" s="27" t="str">
        <f t="array" ref="O12">IF(OR(SUM(IF(IF(Scorecards!$C$4:$C$11="Y", O4:O11, 10)=MIN(IF(Scorecards!$C$4:$C$11="Y", O4:O11, 10)), 1, 0)) &gt; 1, MIN(IF(Scorecards!$C$4:$C$11="Y", O4:O11, 10)) &gt; O3), "", INDEX(Scorecards!$A$4:$A$11,MATCH(MIN(IF(Scorecards!$C$4:$C$11="Y",O4:O11,10)),IF(Scorecards!$C$4:$C$11="Y",O4:O11,10),0)))</f>
        <v>SR</v>
      </c>
      <c r="P12" s="27" t="str">
        <f t="array" ref="P12">IF(OR(SUM(IF(IF(Scorecards!$C$4:$C$11="Y", P4:P11, 10)=MIN(IF(Scorecards!$C$4:$C$11="Y", P4:P11, 10)), 1, 0)) &gt; 1, MIN(IF(Scorecards!$C$4:$C$11="Y", P4:P11, 10)) &gt; P3), "", INDEX(Scorecards!$A$4:$A$11,MATCH(MIN(IF(Scorecards!$C$4:$C$11="Y",P4:P11,10)),IF(Scorecards!$C$4:$C$11="Y",P4:P11,10),0)))</f>
        <v/>
      </c>
      <c r="Q12" s="27" t="str">
        <f t="array" ref="Q12">IF(OR(SUM(IF(IF(Scorecards!$C$4:$C$11="Y", Q4:Q11, 10)=MIN(IF(Scorecards!$C$4:$C$11="Y", Q4:Q11, 10)), 1, 0)) &gt; 1, MIN(IF(Scorecards!$C$4:$C$11="Y", Q4:Q11, 10)) &gt; Q3), "", INDEX(Scorecards!$A$4:$A$11,MATCH(MIN(IF(Scorecards!$C$4:$C$11="Y",Q4:Q11,10)),IF(Scorecards!$C$4:$C$11="Y",Q4:Q11,10),0)))</f>
        <v>AJ</v>
      </c>
      <c r="R12" s="27" t="str">
        <f t="array" ref="R12">IF(OR(SUM(IF(IF(Scorecards!$C$4:$C$11="Y", R4:R11, 10)=MIN(IF(Scorecards!$C$4:$C$11="Y", R4:R11, 10)), 1, 0)) &gt; 1, MIN(IF(Scorecards!$C$4:$C$11="Y", R4:R11, 10)) &gt; R3), "", INDEX(Scorecards!$A$4:$A$11,MATCH(MIN(IF(Scorecards!$C$4:$C$11="Y",R4:R11,10)),IF(Scorecards!$C$4:$C$11="Y",R4:R11,10),0)))</f>
        <v/>
      </c>
      <c r="S12" s="27" t="str">
        <f t="array" ref="S12">IF(OR(SUM(IF(IF(Scorecards!$C$4:$C$11="Y", S4:S11, 10)=MIN(IF(Scorecards!$C$4:$C$11="Y", S4:S11, 10)), 1, 0)) &gt; 1, MIN(IF(Scorecards!$C$4:$C$11="Y", S4:S11, 10)) &gt; S3), "", INDEX(Scorecards!$A$4:$A$11,MATCH(MIN(IF(Scorecards!$C$4:$C$11="Y",S4:S11,10)),IF(Scorecards!$C$4:$C$11="Y",S4:S11,10),0)))</f>
        <v/>
      </c>
      <c r="T12" s="27" t="str">
        <f t="array" ref="T12">IF(OR(SUM(IF(IF(Scorecards!$C$4:$C$11="Y", T4:T11, 10)=MIN(IF(Scorecards!$C$4:$C$11="Y", T4:T11, 10)), 1, 0)) &gt; 1, MIN(IF(Scorecards!$C$4:$C$11="Y", T4:T11, 10)) &gt; T3), "", INDEX(Scorecards!$A$4:$A$11,MATCH(MIN(IF(Scorecards!$C$4:$C$11="Y",T4:T11,10)),IF(Scorecards!$C$4:$C$11="Y",T4:T11,10),0)))</f>
        <v>SR</v>
      </c>
      <c r="U12" s="27" t="str">
        <f t="array" ref="U12">IF(OR(SUM(IF(IF(Scorecards!$C$4:$C$11="Y", U4:U11, 10)=MIN(IF(Scorecards!$C$4:$C$11="Y", U4:U11, 10)), 1, 0)) &gt; 1, MIN(IF(Scorecards!$C$4:$C$11="Y", U4:U11, 10)) &gt; U3), "", INDEX(Scorecards!$A$4:$A$11,MATCH(MIN(IF(Scorecards!$C$4:$C$11="Y",U4:U11,10)),IF(Scorecards!$C$4:$C$11="Y",U4:U11,10),0)))</f>
        <v/>
      </c>
      <c r="V12" s="27" t="str">
        <f t="array" ref="V12">IF(OR(SUM(IF(IF(Scorecards!$C$4:$C$11="Y", V4:V11, 10)=MIN(IF(Scorecards!$C$4:$C$11="Y", V4:V11, 10)), 1, 0)) &gt; 1, MIN(IF(Scorecards!$C$4:$C$11="Y", V4:V11, 10)) &gt; V3), "", INDEX(Scorecards!$A$4:$A$11,MATCH(MIN(IF(Scorecards!$C$4:$C$11="Y",V4:V11,10)),IF(Scorecards!$C$4:$C$11="Y",V4:V11,10),0)))</f>
        <v>BK</v>
      </c>
      <c r="W12" s="27" t="str">
        <f t="array" ref="W12">IF(OR(SUM(IF(IF(Scorecards!$C$4:$C$11="Y", W4:W11, 10)=MIN(IF(Scorecards!$C$4:$C$11="Y", W4:W11, 10)), 1, 0)) &gt; 1, MIN(IF(Scorecards!$C$4:$C$11="Y", W4:W11, 10)) &gt; W3), "", INDEX(Scorecards!$A$4:$A$11,MATCH(MIN(IF(Scorecards!$C$4:$C$11="Y",W4:W11,10)),IF(Scorecards!$C$4:$C$11="Y",W4:W11,10),0)))</f>
        <v/>
      </c>
      <c r="X12" s="27" t="str">
        <f t="array" ref="X12">IF(OR(SUM(IF(IF(Scorecards!$C$4:$C$11="Y", X4:X11, 10)=MIN(IF(Scorecards!$C$4:$C$11="Y", X4:X11, 10)), 1, 0)) &gt; 1, MIN(IF(Scorecards!$C$4:$C$11="Y", X4:X11, 10)) &gt; X3), "", INDEX(Scorecards!$A$4:$A$11,MATCH(MIN(IF(Scorecards!$C$4:$C$11="Y",X4:X11,10)),IF(Scorecards!$C$4:$C$11="Y",X4:X11,10),0)))</f>
        <v/>
      </c>
      <c r="Y12" s="27"/>
      <c r="Z12" s="27"/>
      <c r="AA12" s="27">
        <f>18-COUNTBLANK(G12:X12)</f>
        <v>9</v>
      </c>
      <c r="AB12" s="42">
        <f>IF(AA12 = 0, 0, C12/AA12)</f>
        <v>2.777777778</v>
      </c>
    </row>
    <row r="13" ht="12.75" customHeight="1">
      <c r="A13" s="14"/>
      <c r="B13" s="14"/>
      <c r="C13" s="14"/>
      <c r="D13" s="14"/>
      <c r="E13" s="14"/>
      <c r="F13" s="26" t="s">
        <v>15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14"/>
      <c r="Z13" s="14"/>
      <c r="AA13" s="27">
        <f>COUNTA(H13,K13,T13,W13)</f>
        <v>0</v>
      </c>
      <c r="AB13" s="42">
        <f>IF(AA13 = 0, 0, D12/AA13)</f>
        <v>0</v>
      </c>
    </row>
    <row r="14" ht="12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t="12.75" customHeight="1">
      <c r="A15" s="14"/>
      <c r="B15" s="14"/>
      <c r="C15" s="14"/>
      <c r="D15" s="14"/>
      <c r="E15" s="14"/>
      <c r="F15" s="15" t="s">
        <v>28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  <c r="AA15" s="43">
        <v>71.2</v>
      </c>
      <c r="AB15" s="43">
        <v>132.0</v>
      </c>
    </row>
    <row r="16" ht="12.75" customHeight="1">
      <c r="A16" s="14"/>
      <c r="B16" s="14"/>
      <c r="C16" s="19">
        <v>5.0</v>
      </c>
      <c r="D16" s="20">
        <v>0.0</v>
      </c>
      <c r="E16" s="20">
        <v>0.0</v>
      </c>
      <c r="F16" s="21" t="s">
        <v>7</v>
      </c>
      <c r="G16" s="22">
        <v>1.0</v>
      </c>
      <c r="H16" s="22">
        <v>2.0</v>
      </c>
      <c r="I16" s="22">
        <v>3.0</v>
      </c>
      <c r="J16" s="22">
        <v>4.0</v>
      </c>
      <c r="K16" s="22">
        <v>5.0</v>
      </c>
      <c r="L16" s="22">
        <v>6.0</v>
      </c>
      <c r="M16" s="22">
        <v>7.0</v>
      </c>
      <c r="N16" s="22">
        <v>8.0</v>
      </c>
      <c r="O16" s="22">
        <v>9.0</v>
      </c>
      <c r="P16" s="22">
        <v>10.0</v>
      </c>
      <c r="Q16" s="22">
        <v>11.0</v>
      </c>
      <c r="R16" s="22">
        <v>12.0</v>
      </c>
      <c r="S16" s="22">
        <v>13.0</v>
      </c>
      <c r="T16" s="22">
        <v>14.0</v>
      </c>
      <c r="U16" s="22">
        <v>15.0</v>
      </c>
      <c r="V16" s="22">
        <v>16.0</v>
      </c>
      <c r="W16" s="22">
        <v>17.0</v>
      </c>
      <c r="X16" s="22">
        <v>18.0</v>
      </c>
      <c r="Y16" s="22" t="s">
        <v>8</v>
      </c>
      <c r="Z16" s="22" t="s">
        <v>9</v>
      </c>
      <c r="AA16" s="22" t="s">
        <v>10</v>
      </c>
      <c r="AB16" s="22" t="s">
        <v>11</v>
      </c>
    </row>
    <row r="17" ht="12.75" customHeight="1">
      <c r="A17" s="23" t="s">
        <v>12</v>
      </c>
      <c r="B17" s="23" t="s">
        <v>13</v>
      </c>
      <c r="C17" s="24" t="s">
        <v>14</v>
      </c>
      <c r="D17" s="25" t="s">
        <v>15</v>
      </c>
      <c r="E17" s="25" t="s">
        <v>16</v>
      </c>
      <c r="F17" s="26" t="s">
        <v>17</v>
      </c>
      <c r="G17" s="27">
        <v>5.0</v>
      </c>
      <c r="H17" s="27">
        <v>5.0</v>
      </c>
      <c r="I17" s="27">
        <v>4.0</v>
      </c>
      <c r="J17" s="27">
        <v>3.0</v>
      </c>
      <c r="K17" s="27">
        <v>4.0</v>
      </c>
      <c r="L17" s="27">
        <v>5.0</v>
      </c>
      <c r="M17" s="27">
        <v>4.0</v>
      </c>
      <c r="N17" s="27">
        <v>4.0</v>
      </c>
      <c r="O17" s="27">
        <v>3.0</v>
      </c>
      <c r="P17" s="27">
        <v>5.0</v>
      </c>
      <c r="Q17" s="27">
        <v>3.0</v>
      </c>
      <c r="R17" s="27">
        <v>4.0</v>
      </c>
      <c r="S17" s="27">
        <v>4.0</v>
      </c>
      <c r="T17" s="27">
        <v>4.0</v>
      </c>
      <c r="U17" s="27">
        <v>4.0</v>
      </c>
      <c r="V17" s="27">
        <v>3.0</v>
      </c>
      <c r="W17" s="27">
        <v>4.0</v>
      </c>
      <c r="X17" s="27">
        <v>4.0</v>
      </c>
      <c r="Y17" s="27">
        <f t="shared" ref="Y17:Y23" si="5">SUM(G17:O17)</f>
        <v>37</v>
      </c>
      <c r="Z17" s="27">
        <f t="shared" ref="Z17:Z23" si="6">SUM(P17:X17)</f>
        <v>35</v>
      </c>
      <c r="AA17" s="27">
        <f>Y17+Z17</f>
        <v>72</v>
      </c>
      <c r="AB17" s="27"/>
    </row>
    <row r="18" ht="12.75" customHeight="1">
      <c r="A18" s="28" t="s">
        <v>18</v>
      </c>
      <c r="B18" s="29">
        <v>8.0</v>
      </c>
      <c r="C18" s="30" t="s">
        <v>19</v>
      </c>
      <c r="D18" s="30" t="s">
        <v>20</v>
      </c>
      <c r="E18" s="30" t="s">
        <v>19</v>
      </c>
      <c r="F18" s="26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>
        <f t="shared" si="5"/>
        <v>0</v>
      </c>
      <c r="Z18" s="29">
        <f t="shared" si="6"/>
        <v>0</v>
      </c>
      <c r="AA18" s="29" t="str">
        <f t="shared" ref="AA18:AA25" si="7">IF(Z18&gt;0,Y18+Z18,"")</f>
        <v/>
      </c>
      <c r="AB18" s="29" t="str">
        <f t="shared" ref="AB18:AB25" si="8">IF(Z18=0,"",AA18-B18)</f>
        <v/>
      </c>
    </row>
    <row r="19" ht="12.75" customHeight="1">
      <c r="A19" s="32" t="s">
        <v>21</v>
      </c>
      <c r="B19" s="33">
        <v>18.0</v>
      </c>
      <c r="C19" s="34" t="s">
        <v>19</v>
      </c>
      <c r="D19" s="34" t="s">
        <v>20</v>
      </c>
      <c r="E19" s="34" t="s">
        <v>19</v>
      </c>
      <c r="F19" s="26"/>
      <c r="G19" s="35">
        <v>7.0</v>
      </c>
      <c r="H19" s="35">
        <v>8.0</v>
      </c>
      <c r="I19" s="35">
        <v>5.0</v>
      </c>
      <c r="J19" s="35">
        <v>5.0</v>
      </c>
      <c r="K19" s="35">
        <v>5.0</v>
      </c>
      <c r="L19" s="35">
        <v>6.0</v>
      </c>
      <c r="M19" s="35">
        <v>4.0</v>
      </c>
      <c r="N19" s="35">
        <v>5.0</v>
      </c>
      <c r="O19" s="35">
        <v>4.0</v>
      </c>
      <c r="P19" s="35">
        <v>8.0</v>
      </c>
      <c r="Q19" s="35">
        <v>4.0</v>
      </c>
      <c r="R19" s="35">
        <v>5.0</v>
      </c>
      <c r="S19" s="35">
        <v>4.0</v>
      </c>
      <c r="T19" s="35">
        <v>5.0</v>
      </c>
      <c r="U19" s="35">
        <v>5.0</v>
      </c>
      <c r="V19" s="35">
        <v>4.0</v>
      </c>
      <c r="W19" s="35">
        <v>7.0</v>
      </c>
      <c r="X19" s="35">
        <v>5.0</v>
      </c>
      <c r="Y19" s="36">
        <f t="shared" si="5"/>
        <v>49</v>
      </c>
      <c r="Z19" s="36">
        <f t="shared" si="6"/>
        <v>47</v>
      </c>
      <c r="AA19" s="36">
        <f t="shared" si="7"/>
        <v>96</v>
      </c>
      <c r="AB19" s="36">
        <f t="shared" si="8"/>
        <v>78</v>
      </c>
    </row>
    <row r="20" ht="12.75" customHeight="1">
      <c r="A20" s="28" t="s">
        <v>22</v>
      </c>
      <c r="B20" s="31">
        <v>15.0</v>
      </c>
      <c r="C20" s="30" t="s">
        <v>19</v>
      </c>
      <c r="D20" s="30" t="s">
        <v>20</v>
      </c>
      <c r="E20" s="30" t="s">
        <v>19</v>
      </c>
      <c r="F20" s="26"/>
      <c r="G20" s="31">
        <v>6.0</v>
      </c>
      <c r="H20" s="31">
        <v>6.0</v>
      </c>
      <c r="I20" s="31">
        <v>4.0</v>
      </c>
      <c r="J20" s="31">
        <v>4.0</v>
      </c>
      <c r="K20" s="31">
        <v>3.0</v>
      </c>
      <c r="L20" s="31">
        <v>6.0</v>
      </c>
      <c r="M20" s="31">
        <v>4.0</v>
      </c>
      <c r="N20" s="31">
        <v>4.0</v>
      </c>
      <c r="O20" s="31">
        <v>5.0</v>
      </c>
      <c r="P20" s="31">
        <v>6.0</v>
      </c>
      <c r="Q20" s="31">
        <v>6.0</v>
      </c>
      <c r="R20" s="31">
        <v>6.0</v>
      </c>
      <c r="S20" s="31">
        <v>4.0</v>
      </c>
      <c r="T20" s="31">
        <v>4.0</v>
      </c>
      <c r="U20" s="31">
        <v>5.0</v>
      </c>
      <c r="V20" s="31">
        <v>2.0</v>
      </c>
      <c r="W20" s="31">
        <v>6.0</v>
      </c>
      <c r="X20" s="31">
        <v>5.0</v>
      </c>
      <c r="Y20" s="29">
        <f t="shared" si="5"/>
        <v>42</v>
      </c>
      <c r="Z20" s="29">
        <f t="shared" si="6"/>
        <v>44</v>
      </c>
      <c r="AA20" s="29">
        <f t="shared" si="7"/>
        <v>86</v>
      </c>
      <c r="AB20" s="29">
        <f t="shared" si="8"/>
        <v>71</v>
      </c>
    </row>
    <row r="21" ht="12.75" customHeight="1">
      <c r="A21" s="32" t="s">
        <v>23</v>
      </c>
      <c r="B21" s="33">
        <v>18.0</v>
      </c>
      <c r="C21" s="34" t="s">
        <v>19</v>
      </c>
      <c r="D21" s="34" t="s">
        <v>20</v>
      </c>
      <c r="E21" s="34" t="s">
        <v>19</v>
      </c>
      <c r="F21" s="26"/>
      <c r="G21" s="35">
        <v>7.0</v>
      </c>
      <c r="H21" s="35">
        <v>6.0</v>
      </c>
      <c r="I21" s="35">
        <v>4.0</v>
      </c>
      <c r="J21" s="35">
        <v>4.0</v>
      </c>
      <c r="K21" s="35">
        <v>4.0</v>
      </c>
      <c r="L21" s="35">
        <v>8.0</v>
      </c>
      <c r="M21" s="35">
        <v>5.0</v>
      </c>
      <c r="N21" s="35">
        <v>5.0</v>
      </c>
      <c r="O21" s="35">
        <v>3.0</v>
      </c>
      <c r="P21" s="35">
        <v>5.0</v>
      </c>
      <c r="Q21" s="35">
        <v>3.0</v>
      </c>
      <c r="R21" s="35">
        <v>5.0</v>
      </c>
      <c r="S21" s="35">
        <v>3.0</v>
      </c>
      <c r="T21" s="35">
        <v>4.0</v>
      </c>
      <c r="U21" s="35">
        <v>4.0</v>
      </c>
      <c r="V21" s="35">
        <v>3.0</v>
      </c>
      <c r="W21" s="35">
        <v>8.0</v>
      </c>
      <c r="X21" s="35">
        <v>6.0</v>
      </c>
      <c r="Y21" s="36">
        <f t="shared" si="5"/>
        <v>46</v>
      </c>
      <c r="Z21" s="36">
        <f t="shared" si="6"/>
        <v>41</v>
      </c>
      <c r="AA21" s="36">
        <f t="shared" si="7"/>
        <v>87</v>
      </c>
      <c r="AB21" s="36">
        <f t="shared" si="8"/>
        <v>69</v>
      </c>
    </row>
    <row r="22" ht="12.75" customHeight="1">
      <c r="A22" s="28" t="s">
        <v>24</v>
      </c>
      <c r="B22" s="29">
        <v>8.0</v>
      </c>
      <c r="C22" s="30" t="s">
        <v>19</v>
      </c>
      <c r="D22" s="30" t="s">
        <v>20</v>
      </c>
      <c r="E22" s="30" t="s">
        <v>19</v>
      </c>
      <c r="F22" s="26"/>
      <c r="G22" s="31">
        <v>6.0</v>
      </c>
      <c r="H22" s="31">
        <v>6.0</v>
      </c>
      <c r="I22" s="31">
        <v>4.0</v>
      </c>
      <c r="J22" s="31">
        <v>3.0</v>
      </c>
      <c r="K22" s="31">
        <v>4.0</v>
      </c>
      <c r="L22" s="31">
        <v>6.0</v>
      </c>
      <c r="M22" s="31">
        <v>4.0</v>
      </c>
      <c r="N22" s="31">
        <v>4.0</v>
      </c>
      <c r="O22" s="31">
        <v>4.0</v>
      </c>
      <c r="P22" s="31">
        <v>6.0</v>
      </c>
      <c r="Q22" s="31">
        <v>5.0</v>
      </c>
      <c r="R22" s="31">
        <v>4.0</v>
      </c>
      <c r="S22" s="31">
        <v>5.0</v>
      </c>
      <c r="T22" s="31">
        <v>5.0</v>
      </c>
      <c r="U22" s="31">
        <v>5.0</v>
      </c>
      <c r="V22" s="31">
        <v>4.0</v>
      </c>
      <c r="W22" s="31">
        <v>5.0</v>
      </c>
      <c r="X22" s="31">
        <v>6.0</v>
      </c>
      <c r="Y22" s="29">
        <f t="shared" si="5"/>
        <v>41</v>
      </c>
      <c r="Z22" s="29">
        <f t="shared" si="6"/>
        <v>45</v>
      </c>
      <c r="AA22" s="29">
        <f t="shared" si="7"/>
        <v>86</v>
      </c>
      <c r="AB22" s="29">
        <f t="shared" si="8"/>
        <v>78</v>
      </c>
    </row>
    <row r="23" ht="12.75" customHeight="1">
      <c r="A23" s="32" t="s">
        <v>25</v>
      </c>
      <c r="B23" s="33" t="s">
        <v>26</v>
      </c>
      <c r="C23" s="34" t="s">
        <v>20</v>
      </c>
      <c r="D23" s="34" t="s">
        <v>20</v>
      </c>
      <c r="E23" s="34" t="s">
        <v>20</v>
      </c>
      <c r="F23" s="2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>
        <f t="shared" si="5"/>
        <v>0</v>
      </c>
      <c r="Z23" s="36">
        <f t="shared" si="6"/>
        <v>0</v>
      </c>
      <c r="AA23" s="36" t="str">
        <f t="shared" si="7"/>
        <v/>
      </c>
      <c r="AB23" s="36" t="str">
        <f t="shared" si="8"/>
        <v/>
      </c>
    </row>
    <row r="24" ht="12.75" customHeight="1">
      <c r="A24" s="28"/>
      <c r="B24" s="29"/>
      <c r="C24" s="30"/>
      <c r="D24" s="30"/>
      <c r="E24" s="30"/>
      <c r="F24" s="26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 t="str">
        <f t="shared" si="7"/>
        <v/>
      </c>
      <c r="AB24" s="29" t="str">
        <f t="shared" si="8"/>
        <v/>
      </c>
    </row>
    <row r="25" ht="12.75" customHeight="1">
      <c r="A25" s="37"/>
      <c r="B25" s="38"/>
      <c r="C25" s="39"/>
      <c r="D25" s="39"/>
      <c r="E25" s="39"/>
      <c r="F25" s="2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 t="str">
        <f t="shared" si="7"/>
        <v/>
      </c>
      <c r="AB25" s="36" t="str">
        <f t="shared" si="8"/>
        <v/>
      </c>
    </row>
    <row r="26" ht="12.75" customHeight="1">
      <c r="A26" s="40"/>
      <c r="B26" s="40"/>
      <c r="C26" s="41">
        <f>COUNTIF(Scorecards!$C$4:$C$11, "Y")*C16</f>
        <v>25</v>
      </c>
      <c r="D26" s="41">
        <f>COUNTIF(Scorecards!$D$4:$D$11, "Y")*D16</f>
        <v>0</v>
      </c>
      <c r="E26" s="41">
        <f>COUNTIF(Scorecards!$E$18:$E$25, "Y")*E16</f>
        <v>0</v>
      </c>
      <c r="F26" s="26" t="s">
        <v>27</v>
      </c>
      <c r="G26" s="27" t="str">
        <f t="array" ref="G26">IF(OR(SUM(IF(IF(Scorecards!$C$18:$C$25="Y", G18:G25, 10)=MIN(IF(Scorecards!$C$18:$C$25="Y", G18:G25, 10)), 1, 0)) &gt; 1, MIN(IF(Scorecards!$C$18:$C$25="Y", G18:G25, 10)) &gt; G17), "", INDEX(Scorecards!$A$18:$A$25,MATCH(MIN(IF(Scorecards!$C$18:$C$25="Y",G18:G25,10)),IF(Scorecards!$C$18:$C$25="Y",G18:G25,10),0)))</f>
        <v/>
      </c>
      <c r="H26" s="27" t="str">
        <f t="array" ref="H26">IF(OR(SUM(IF(IF(Scorecards!$C$18:$C$25="Y", H18:H25, 10)=MIN(IF(Scorecards!$C$18:$C$25="Y", H18:H25, 10)), 1, 0)) &gt; 1, MIN(IF(Scorecards!$C$18:$C$25="Y", H18:H25, 10)) &gt; H17), "", INDEX(Scorecards!$A$18:$A$25,MATCH(MIN(IF(Scorecards!$C$18:$C$25="Y",H18:H25,10)),IF(Scorecards!$C$18:$C$25="Y",H18:H25,10),0)))</f>
        <v/>
      </c>
      <c r="I26" s="27" t="str">
        <f t="array" ref="I26">IF(OR(SUM(IF(IF(Scorecards!$C$18:$C$25="Y", I18:I25, 10)=MIN(IF(Scorecards!$C$18:$C$25="Y", I18:I25, 10)), 1, 0)) &gt; 1, MIN(IF(Scorecards!$C$18:$C$25="Y", I18:I25, 10)) &gt; I17), "", INDEX(Scorecards!$A$18:$A$25,MATCH(MIN(IF(Scorecards!$C$18:$C$25="Y",I18:I25,10)),IF(Scorecards!$C$18:$C$25="Y",I18:I25,10),0)))</f>
        <v/>
      </c>
      <c r="J26" s="27" t="str">
        <f t="array" ref="J26">IF(OR(SUM(IF(IF(Scorecards!$C$18:$C$25="Y", J18:J25, 10)=MIN(IF(Scorecards!$C$18:$C$25="Y", J18:J25, 10)), 1, 0)) &gt; 1, MIN(IF(Scorecards!$C$18:$C$25="Y", J18:J25, 10)) &gt; J17), "", INDEX(Scorecards!$A$18:$A$25,MATCH(MIN(IF(Scorecards!$C$18:$C$25="Y",J18:J25,10)),IF(Scorecards!$C$18:$C$25="Y",J18:J25,10),0)))</f>
        <v>SR</v>
      </c>
      <c r="K26" s="27" t="str">
        <f t="array" ref="K26">IF(OR(SUM(IF(IF(Scorecards!$C$18:$C$25="Y", K18:K25, 10)=MIN(IF(Scorecards!$C$18:$C$25="Y", K18:K25, 10)), 1, 0)) &gt; 1, MIN(IF(Scorecards!$C$18:$C$25="Y", K18:K25, 10)) &gt; K17), "", INDEX(Scorecards!$A$18:$A$25,MATCH(MIN(IF(Scorecards!$C$18:$C$25="Y",K18:K25,10)),IF(Scorecards!$C$18:$C$25="Y",K18:K25,10),0)))</f>
        <v>BK</v>
      </c>
      <c r="L26" s="27" t="str">
        <f t="array" ref="L26">IF(OR(SUM(IF(IF(Scorecards!$C$18:$C$25="Y", L18:L25, 10)=MIN(IF(Scorecards!$C$18:$C$25="Y", L18:L25, 10)), 1, 0)) &gt; 1, MIN(IF(Scorecards!$C$18:$C$25="Y", L18:L25, 10)) &gt; L17), "", INDEX(Scorecards!$A$18:$A$25,MATCH(MIN(IF(Scorecards!$C$18:$C$25="Y",L18:L25,10)),IF(Scorecards!$C$18:$C$25="Y",L18:L25,10),0)))</f>
        <v/>
      </c>
      <c r="M26" s="27" t="str">
        <f t="array" ref="M26">IF(OR(SUM(IF(IF(Scorecards!$C$18:$C$25="Y", M18:M25, 10)=MIN(IF(Scorecards!$C$18:$C$25="Y", M18:M25, 10)), 1, 0)) &gt; 1, MIN(IF(Scorecards!$C$18:$C$25="Y", M18:M25, 10)) &gt; M17), "", INDEX(Scorecards!$A$18:$A$25,MATCH(MIN(IF(Scorecards!$C$18:$C$25="Y",M18:M25,10)),IF(Scorecards!$C$18:$C$25="Y",M18:M25,10),0)))</f>
        <v/>
      </c>
      <c r="N26" s="27" t="str">
        <f t="array" ref="N26">IF(OR(SUM(IF(IF(Scorecards!$C$18:$C$25="Y", N18:N25, 10)=MIN(IF(Scorecards!$C$18:$C$25="Y", N18:N25, 10)), 1, 0)) &gt; 1, MIN(IF(Scorecards!$C$18:$C$25="Y", N18:N25, 10)) &gt; N17), "", INDEX(Scorecards!$A$18:$A$25,MATCH(MIN(IF(Scorecards!$C$18:$C$25="Y",N18:N25,10)),IF(Scorecards!$C$18:$C$25="Y",N18:N25,10),0)))</f>
        <v/>
      </c>
      <c r="O26" s="27" t="str">
        <f t="array" ref="O26">IF(OR(SUM(IF(IF(Scorecards!$C$18:$C$25="Y", O18:O25, 10)=MIN(IF(Scorecards!$C$18:$C$25="Y", O18:O25, 10)), 1, 0)) &gt; 1, MIN(IF(Scorecards!$C$18:$C$25="Y", O18:O25, 10)) &gt; O17), "", INDEX(Scorecards!$A$18:$A$25,MATCH(MIN(IF(Scorecards!$C$18:$C$25="Y",O18:O25,10)),IF(Scorecards!$C$18:$C$25="Y",O18:O25,10),0)))</f>
        <v>EO</v>
      </c>
      <c r="P26" s="27" t="str">
        <f t="array" ref="P26">IF(OR(SUM(IF(IF(Scorecards!$C$18:$C$25="Y", P18:P25, 10)=MIN(IF(Scorecards!$C$18:$C$25="Y", P18:P25, 10)), 1, 0)) &gt; 1, MIN(IF(Scorecards!$C$18:$C$25="Y", P18:P25, 10)) &gt; P17), "", INDEX(Scorecards!$A$18:$A$25,MATCH(MIN(IF(Scorecards!$C$18:$C$25="Y",P18:P25,10)),IF(Scorecards!$C$18:$C$25="Y",P18:P25,10),0)))</f>
        <v>EO</v>
      </c>
      <c r="Q26" s="27" t="str">
        <f t="array" ref="Q26">IF(OR(SUM(IF(IF(Scorecards!$C$18:$C$25="Y", Q18:Q25, 10)=MIN(IF(Scorecards!$C$18:$C$25="Y", Q18:Q25, 10)), 1, 0)) &gt; 1, MIN(IF(Scorecards!$C$18:$C$25="Y", Q18:Q25, 10)) &gt; Q17), "", INDEX(Scorecards!$A$18:$A$25,MATCH(MIN(IF(Scorecards!$C$18:$C$25="Y",Q18:Q25,10)),IF(Scorecards!$C$18:$C$25="Y",Q18:Q25,10),0)))</f>
        <v>EO</v>
      </c>
      <c r="R26" s="27" t="str">
        <f t="array" ref="R26">IF(OR(SUM(IF(IF(Scorecards!$C$18:$C$25="Y", R18:R25, 10)=MIN(IF(Scorecards!$C$18:$C$25="Y", R18:R25, 10)), 1, 0)) &gt; 1, MIN(IF(Scorecards!$C$18:$C$25="Y", R18:R25, 10)) &gt; R17), "", INDEX(Scorecards!$A$18:$A$25,MATCH(MIN(IF(Scorecards!$C$18:$C$25="Y",R18:R25,10)),IF(Scorecards!$C$18:$C$25="Y",R18:R25,10),0)))</f>
        <v>SR</v>
      </c>
      <c r="S26" s="27" t="str">
        <f t="array" ref="S26">IF(OR(SUM(IF(IF(Scorecards!$C$18:$C$25="Y", S18:S25, 10)=MIN(IF(Scorecards!$C$18:$C$25="Y", S18:S25, 10)), 1, 0)) &gt; 1, MIN(IF(Scorecards!$C$18:$C$25="Y", S18:S25, 10)) &gt; S17), "", INDEX(Scorecards!$A$18:$A$25,MATCH(MIN(IF(Scorecards!$C$18:$C$25="Y",S18:S25,10)),IF(Scorecards!$C$18:$C$25="Y",S18:S25,10),0)))</f>
        <v>EO</v>
      </c>
      <c r="T26" s="27" t="str">
        <f t="array" ref="T26">IF(OR(SUM(IF(IF(Scorecards!$C$18:$C$25="Y", T18:T25, 10)=MIN(IF(Scorecards!$C$18:$C$25="Y", T18:T25, 10)), 1, 0)) &gt; 1, MIN(IF(Scorecards!$C$18:$C$25="Y", T18:T25, 10)) &gt; T17), "", INDEX(Scorecards!$A$18:$A$25,MATCH(MIN(IF(Scorecards!$C$18:$C$25="Y",T18:T25,10)),IF(Scorecards!$C$18:$C$25="Y",T18:T25,10),0)))</f>
        <v/>
      </c>
      <c r="U26" s="27" t="str">
        <f t="array" ref="U26">IF(OR(SUM(IF(IF(Scorecards!$C$18:$C$25="Y", U18:U25, 10)=MIN(IF(Scorecards!$C$18:$C$25="Y", U18:U25, 10)), 1, 0)) &gt; 1, MIN(IF(Scorecards!$C$18:$C$25="Y", U18:U25, 10)) &gt; U17), "", INDEX(Scorecards!$A$18:$A$25,MATCH(MIN(IF(Scorecards!$C$18:$C$25="Y",U18:U25,10)),IF(Scorecards!$C$18:$C$25="Y",U18:U25,10),0)))</f>
        <v>EO</v>
      </c>
      <c r="V26" s="27" t="str">
        <f t="array" ref="V26">IF(OR(SUM(IF(IF(Scorecards!$C$18:$C$25="Y", V18:V25, 10)=MIN(IF(Scorecards!$C$18:$C$25="Y", V18:V25, 10)), 1, 0)) &gt; 1, MIN(IF(Scorecards!$C$18:$C$25="Y", V18:V25, 10)) &gt; V17), "", INDEX(Scorecards!$A$18:$A$25,MATCH(MIN(IF(Scorecards!$C$18:$C$25="Y",V18:V25,10)),IF(Scorecards!$C$18:$C$25="Y",V18:V25,10),0)))</f>
        <v>BK</v>
      </c>
      <c r="W26" s="44" t="s">
        <v>24</v>
      </c>
      <c r="X26" s="27" t="str">
        <f t="array" ref="X26">IF(OR(SUM(IF(IF(Scorecards!$C$18:$C$25="Y", X18:X25, 10)=MIN(IF(Scorecards!$C$18:$C$25="Y", X18:X25, 10)), 1, 0)) &gt; 1, MIN(IF(Scorecards!$C$18:$C$25="Y", X18:X25, 10)) &gt; X17), "", INDEX(Scorecards!$A$18:$A$25,MATCH(MIN(IF(Scorecards!$C$18:$C$25="Y",X18:X25,10)),IF(Scorecards!$C$18:$C$25="Y",X18:X25,10),0)))</f>
        <v/>
      </c>
      <c r="Y26" s="27"/>
      <c r="Z26" s="27"/>
      <c r="AA26" s="27">
        <f>18-COUNTBLANK(G26:X26)</f>
        <v>10</v>
      </c>
      <c r="AB26" s="42">
        <f>IF(AA26 = 0, 0, C26/AA26)</f>
        <v>2.5</v>
      </c>
    </row>
    <row r="27" ht="12.75" customHeight="1">
      <c r="A27" s="14"/>
      <c r="B27" s="14"/>
      <c r="C27" s="14"/>
      <c r="D27" s="14"/>
      <c r="E27" s="14"/>
      <c r="F27" s="26" t="s">
        <v>15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14"/>
      <c r="Z27" s="14"/>
      <c r="AA27" s="27">
        <f>COUNTA(I27,N27,R27,W27)</f>
        <v>0</v>
      </c>
      <c r="AB27" s="42">
        <f>IF(AA27 = 0, 0, D26/AA27)</f>
        <v>0</v>
      </c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t="12.75" customHeight="1">
      <c r="A29" s="14"/>
      <c r="B29" s="14"/>
      <c r="C29" s="14"/>
      <c r="D29" s="14"/>
      <c r="E29" s="14"/>
      <c r="F29" s="15" t="s">
        <v>29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7"/>
      <c r="AA29" s="43">
        <v>69.3</v>
      </c>
      <c r="AB29" s="43">
        <v>127.0</v>
      </c>
    </row>
    <row r="30" ht="12.75" customHeight="1">
      <c r="A30" s="14"/>
      <c r="B30" s="14"/>
      <c r="C30" s="19">
        <v>5.0</v>
      </c>
      <c r="D30" s="20">
        <v>0.0</v>
      </c>
      <c r="E30" s="20">
        <v>0.0</v>
      </c>
      <c r="F30" s="21" t="s">
        <v>7</v>
      </c>
      <c r="G30" s="22">
        <v>1.0</v>
      </c>
      <c r="H30" s="22">
        <v>2.0</v>
      </c>
      <c r="I30" s="22">
        <v>3.0</v>
      </c>
      <c r="J30" s="22">
        <v>4.0</v>
      </c>
      <c r="K30" s="22">
        <v>5.0</v>
      </c>
      <c r="L30" s="22">
        <v>6.0</v>
      </c>
      <c r="M30" s="22">
        <v>7.0</v>
      </c>
      <c r="N30" s="22">
        <v>8.0</v>
      </c>
      <c r="O30" s="22">
        <v>9.0</v>
      </c>
      <c r="P30" s="22">
        <v>10.0</v>
      </c>
      <c r="Q30" s="22">
        <v>11.0</v>
      </c>
      <c r="R30" s="22">
        <v>12.0</v>
      </c>
      <c r="S30" s="22">
        <v>13.0</v>
      </c>
      <c r="T30" s="22">
        <v>14.0</v>
      </c>
      <c r="U30" s="22">
        <v>15.0</v>
      </c>
      <c r="V30" s="22">
        <v>16.0</v>
      </c>
      <c r="W30" s="22">
        <v>17.0</v>
      </c>
      <c r="X30" s="22">
        <v>18.0</v>
      </c>
      <c r="Y30" s="22" t="s">
        <v>8</v>
      </c>
      <c r="Z30" s="22" t="s">
        <v>9</v>
      </c>
      <c r="AA30" s="22" t="s">
        <v>10</v>
      </c>
      <c r="AB30" s="22" t="s">
        <v>11</v>
      </c>
    </row>
    <row r="31" ht="12.75" customHeight="1">
      <c r="A31" s="23" t="s">
        <v>12</v>
      </c>
      <c r="B31" s="23" t="s">
        <v>13</v>
      </c>
      <c r="C31" s="24" t="s">
        <v>14</v>
      </c>
      <c r="D31" s="25" t="s">
        <v>15</v>
      </c>
      <c r="E31" s="25" t="s">
        <v>16</v>
      </c>
      <c r="F31" s="26" t="s">
        <v>17</v>
      </c>
      <c r="G31" s="27">
        <v>5.0</v>
      </c>
      <c r="H31" s="27">
        <v>3.0</v>
      </c>
      <c r="I31" s="27">
        <v>4.0</v>
      </c>
      <c r="J31" s="27">
        <v>4.0</v>
      </c>
      <c r="K31" s="27">
        <v>4.0</v>
      </c>
      <c r="L31" s="27">
        <v>5.0</v>
      </c>
      <c r="M31" s="27">
        <v>4.0</v>
      </c>
      <c r="N31" s="27">
        <v>3.0</v>
      </c>
      <c r="O31" s="27">
        <v>4.0</v>
      </c>
      <c r="P31" s="27">
        <v>5.0</v>
      </c>
      <c r="Q31" s="27">
        <v>4.0</v>
      </c>
      <c r="R31" s="27">
        <v>4.0</v>
      </c>
      <c r="S31" s="27">
        <v>5.0</v>
      </c>
      <c r="T31" s="27">
        <v>4.0</v>
      </c>
      <c r="U31" s="27">
        <v>3.0</v>
      </c>
      <c r="V31" s="27">
        <v>4.0</v>
      </c>
      <c r="W31" s="27">
        <v>3.0</v>
      </c>
      <c r="X31" s="27">
        <v>4.0</v>
      </c>
      <c r="Y31" s="27">
        <f t="shared" ref="Y31:Y37" si="9">SUM(G31:O31)</f>
        <v>36</v>
      </c>
      <c r="Z31" s="27">
        <f t="shared" ref="Z31:Z37" si="10">SUM(P31:X31)</f>
        <v>36</v>
      </c>
      <c r="AA31" s="27">
        <f>Y31+Z31</f>
        <v>72</v>
      </c>
      <c r="AB31" s="27"/>
    </row>
    <row r="32" ht="12.75" customHeight="1">
      <c r="A32" s="29" t="s">
        <v>18</v>
      </c>
      <c r="B32" s="29">
        <v>8.0</v>
      </c>
      <c r="C32" s="30" t="s">
        <v>19</v>
      </c>
      <c r="D32" s="30" t="s">
        <v>20</v>
      </c>
      <c r="E32" s="30" t="s">
        <v>19</v>
      </c>
      <c r="F32" s="26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>
        <f t="shared" si="9"/>
        <v>0</v>
      </c>
      <c r="Z32" s="29">
        <f t="shared" si="10"/>
        <v>0</v>
      </c>
      <c r="AA32" s="29" t="str">
        <f t="shared" ref="AA32:AA39" si="11">IF(Z32&gt;0,Y32+Z32,"")</f>
        <v/>
      </c>
      <c r="AB32" s="29" t="str">
        <f t="shared" ref="AB32:AB39" si="12">IF(Z32=0,"",AA32-B32)</f>
        <v/>
      </c>
    </row>
    <row r="33" ht="12.75" customHeight="1">
      <c r="A33" s="33" t="s">
        <v>21</v>
      </c>
      <c r="B33" s="33">
        <v>18.0</v>
      </c>
      <c r="C33" s="34" t="s">
        <v>19</v>
      </c>
      <c r="D33" s="34" t="s">
        <v>20</v>
      </c>
      <c r="E33" s="34" t="s">
        <v>19</v>
      </c>
      <c r="F33" s="26"/>
      <c r="G33" s="35">
        <v>5.0</v>
      </c>
      <c r="H33" s="35">
        <v>5.0</v>
      </c>
      <c r="I33" s="35">
        <v>4.0</v>
      </c>
      <c r="J33" s="35">
        <v>5.0</v>
      </c>
      <c r="K33" s="35">
        <v>4.0</v>
      </c>
      <c r="L33" s="35">
        <v>4.0</v>
      </c>
      <c r="M33" s="35">
        <v>5.0</v>
      </c>
      <c r="N33" s="35">
        <v>2.0</v>
      </c>
      <c r="O33" s="35">
        <v>5.0</v>
      </c>
      <c r="P33" s="35">
        <v>5.0</v>
      </c>
      <c r="Q33" s="35">
        <v>6.0</v>
      </c>
      <c r="R33" s="35">
        <v>5.0</v>
      </c>
      <c r="S33" s="35">
        <v>8.0</v>
      </c>
      <c r="T33" s="35">
        <v>4.0</v>
      </c>
      <c r="U33" s="35">
        <v>4.0</v>
      </c>
      <c r="V33" s="35">
        <v>5.0</v>
      </c>
      <c r="W33" s="35">
        <v>4.0</v>
      </c>
      <c r="X33" s="35">
        <v>6.0</v>
      </c>
      <c r="Y33" s="36">
        <f t="shared" si="9"/>
        <v>39</v>
      </c>
      <c r="Z33" s="36">
        <f t="shared" si="10"/>
        <v>47</v>
      </c>
      <c r="AA33" s="36">
        <f t="shared" si="11"/>
        <v>86</v>
      </c>
      <c r="AB33" s="36">
        <f t="shared" si="12"/>
        <v>68</v>
      </c>
    </row>
    <row r="34" ht="12.75" customHeight="1">
      <c r="A34" s="29" t="s">
        <v>22</v>
      </c>
      <c r="B34" s="31">
        <v>15.0</v>
      </c>
      <c r="C34" s="30" t="s">
        <v>19</v>
      </c>
      <c r="D34" s="30" t="s">
        <v>20</v>
      </c>
      <c r="E34" s="30" t="s">
        <v>19</v>
      </c>
      <c r="F34" s="26"/>
      <c r="G34" s="31">
        <v>6.0</v>
      </c>
      <c r="H34" s="31">
        <v>4.0</v>
      </c>
      <c r="I34" s="31">
        <v>5.0</v>
      </c>
      <c r="J34" s="31">
        <v>5.0</v>
      </c>
      <c r="K34" s="31">
        <v>5.0</v>
      </c>
      <c r="L34" s="31">
        <v>5.0</v>
      </c>
      <c r="M34" s="31">
        <v>4.0</v>
      </c>
      <c r="N34" s="31">
        <v>4.0</v>
      </c>
      <c r="O34" s="31">
        <v>7.0</v>
      </c>
      <c r="P34" s="31">
        <v>5.0</v>
      </c>
      <c r="Q34" s="31">
        <v>5.0</v>
      </c>
      <c r="R34" s="31">
        <v>5.0</v>
      </c>
      <c r="S34" s="31">
        <v>6.0</v>
      </c>
      <c r="T34" s="31">
        <v>6.0</v>
      </c>
      <c r="U34" s="31">
        <v>2.0</v>
      </c>
      <c r="V34" s="31">
        <v>5.0</v>
      </c>
      <c r="W34" s="31">
        <v>4.0</v>
      </c>
      <c r="X34" s="31">
        <v>6.0</v>
      </c>
      <c r="Y34" s="29">
        <f t="shared" si="9"/>
        <v>45</v>
      </c>
      <c r="Z34" s="29">
        <f t="shared" si="10"/>
        <v>44</v>
      </c>
      <c r="AA34" s="29">
        <f t="shared" si="11"/>
        <v>89</v>
      </c>
      <c r="AB34" s="29">
        <f t="shared" si="12"/>
        <v>74</v>
      </c>
    </row>
    <row r="35" ht="12.75" customHeight="1">
      <c r="A35" s="33" t="s">
        <v>23</v>
      </c>
      <c r="B35" s="33">
        <v>18.0</v>
      </c>
      <c r="C35" s="34" t="s">
        <v>19</v>
      </c>
      <c r="D35" s="34" t="s">
        <v>20</v>
      </c>
      <c r="E35" s="34" t="s">
        <v>19</v>
      </c>
      <c r="F35" s="26"/>
      <c r="G35" s="35">
        <v>5.0</v>
      </c>
      <c r="H35" s="35">
        <v>7.0</v>
      </c>
      <c r="I35" s="35">
        <v>6.0</v>
      </c>
      <c r="J35" s="35">
        <v>6.0</v>
      </c>
      <c r="K35" s="35">
        <v>8.0</v>
      </c>
      <c r="L35" s="35">
        <v>7.0</v>
      </c>
      <c r="M35" s="35">
        <v>5.0</v>
      </c>
      <c r="N35" s="35">
        <v>3.0</v>
      </c>
      <c r="O35" s="35">
        <v>8.0</v>
      </c>
      <c r="P35" s="35">
        <v>5.0</v>
      </c>
      <c r="Q35" s="35">
        <v>6.0</v>
      </c>
      <c r="R35" s="35">
        <v>5.0</v>
      </c>
      <c r="S35" s="35">
        <v>8.0</v>
      </c>
      <c r="T35" s="35">
        <v>4.0</v>
      </c>
      <c r="U35" s="35">
        <v>3.0</v>
      </c>
      <c r="V35" s="35">
        <v>7.0</v>
      </c>
      <c r="W35" s="35">
        <v>7.0</v>
      </c>
      <c r="X35" s="35">
        <v>6.0</v>
      </c>
      <c r="Y35" s="36">
        <f t="shared" si="9"/>
        <v>55</v>
      </c>
      <c r="Z35" s="36">
        <f t="shared" si="10"/>
        <v>51</v>
      </c>
      <c r="AA35" s="36">
        <f t="shared" si="11"/>
        <v>106</v>
      </c>
      <c r="AB35" s="36">
        <f t="shared" si="12"/>
        <v>88</v>
      </c>
    </row>
    <row r="36" ht="12.75" customHeight="1">
      <c r="A36" s="29" t="s">
        <v>24</v>
      </c>
      <c r="B36" s="29">
        <v>8.0</v>
      </c>
      <c r="C36" s="30" t="s">
        <v>19</v>
      </c>
      <c r="D36" s="30" t="s">
        <v>20</v>
      </c>
      <c r="E36" s="30" t="s">
        <v>19</v>
      </c>
      <c r="F36" s="26"/>
      <c r="G36" s="31">
        <v>8.0</v>
      </c>
      <c r="H36" s="31">
        <v>3.0</v>
      </c>
      <c r="I36" s="31">
        <v>4.0</v>
      </c>
      <c r="J36" s="31">
        <v>7.0</v>
      </c>
      <c r="K36" s="31">
        <v>3.0</v>
      </c>
      <c r="L36" s="31">
        <v>5.0</v>
      </c>
      <c r="M36" s="31">
        <v>4.0</v>
      </c>
      <c r="N36" s="31">
        <v>3.0</v>
      </c>
      <c r="O36" s="31">
        <v>6.0</v>
      </c>
      <c r="P36" s="31">
        <v>6.0</v>
      </c>
      <c r="Q36" s="31">
        <v>5.0</v>
      </c>
      <c r="R36" s="31">
        <v>4.0</v>
      </c>
      <c r="S36" s="31">
        <v>6.0</v>
      </c>
      <c r="T36" s="31">
        <v>4.0</v>
      </c>
      <c r="U36" s="31">
        <v>4.0</v>
      </c>
      <c r="V36" s="31">
        <v>4.0</v>
      </c>
      <c r="W36" s="31">
        <v>4.0</v>
      </c>
      <c r="X36" s="31">
        <v>4.0</v>
      </c>
      <c r="Y36" s="29">
        <f t="shared" si="9"/>
        <v>43</v>
      </c>
      <c r="Z36" s="29">
        <f t="shared" si="10"/>
        <v>41</v>
      </c>
      <c r="AA36" s="29">
        <f t="shared" si="11"/>
        <v>84</v>
      </c>
      <c r="AB36" s="29">
        <f t="shared" si="12"/>
        <v>76</v>
      </c>
    </row>
    <row r="37" ht="12.75" customHeight="1">
      <c r="A37" s="33" t="s">
        <v>25</v>
      </c>
      <c r="B37" s="33" t="s">
        <v>26</v>
      </c>
      <c r="C37" s="34" t="s">
        <v>20</v>
      </c>
      <c r="D37" s="34" t="s">
        <v>20</v>
      </c>
      <c r="E37" s="34" t="s">
        <v>20</v>
      </c>
      <c r="F37" s="2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>
        <f t="shared" si="9"/>
        <v>0</v>
      </c>
      <c r="Z37" s="36">
        <f t="shared" si="10"/>
        <v>0</v>
      </c>
      <c r="AA37" s="36" t="str">
        <f t="shared" si="11"/>
        <v/>
      </c>
      <c r="AB37" s="36" t="str">
        <f t="shared" si="12"/>
        <v/>
      </c>
    </row>
    <row r="38" ht="12.75" customHeight="1">
      <c r="A38" s="29"/>
      <c r="B38" s="29"/>
      <c r="C38" s="30"/>
      <c r="D38" s="30"/>
      <c r="E38" s="30"/>
      <c r="F38" s="26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 t="str">
        <f t="shared" si="11"/>
        <v/>
      </c>
      <c r="AB38" s="29" t="str">
        <f t="shared" si="12"/>
        <v/>
      </c>
    </row>
    <row r="39" ht="12.75" customHeight="1">
      <c r="A39" s="33"/>
      <c r="B39" s="33"/>
      <c r="C39" s="39"/>
      <c r="D39" s="39"/>
      <c r="E39" s="39"/>
      <c r="F39" s="2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 t="str">
        <f t="shared" si="11"/>
        <v/>
      </c>
      <c r="AB39" s="36" t="str">
        <f t="shared" si="12"/>
        <v/>
      </c>
    </row>
    <row r="40" ht="12.75" customHeight="1">
      <c r="A40" s="40"/>
      <c r="B40" s="40"/>
      <c r="C40" s="41">
        <f>COUNTIF(Scorecards!$C$4:$C$11, "Y")*C30</f>
        <v>25</v>
      </c>
      <c r="D40" s="41">
        <f>COUNTIF(Scorecards!$D$4:$D$11, "Y")*D30</f>
        <v>0</v>
      </c>
      <c r="E40" s="41">
        <f>COUNTIF(Scorecards!$E$4:$E$11, "Y")*E30</f>
        <v>0</v>
      </c>
      <c r="F40" s="26" t="s">
        <v>27</v>
      </c>
      <c r="G40" s="27" t="str">
        <f t="array" ref="G40">IF(OR(SUM(IF(IF(Scorecards!$C$32:$C$39="Y", G32:G39, 10)=MIN(IF(Scorecards!$C$32:$C$39="Y", G32:G39, 10)), 1, 0)) &gt; 1, MIN(IF(Scorecards!$C$32:$C$39="Y", G32:G39, 10)) &gt; G31), "", INDEX(Scorecards!$A$32:$A$39,MATCH(MIN(IF(Scorecards!$C$32:$C$39="Y",G32:G39,10)),IF(Scorecards!$C$32:$C$39="Y",G32:G39,10),0)))</f>
        <v/>
      </c>
      <c r="H40" s="27" t="str">
        <f t="array" ref="H40">IF(OR(SUM(IF(IF(Scorecards!$C$32:$C$39="Y", H32:H39, 10)=MIN(IF(Scorecards!$C$32:$C$39="Y", H32:H39, 10)), 1, 0)) &gt; 1, MIN(IF(Scorecards!$C$32:$C$39="Y", H32:H39, 10)) &gt; H31), "", INDEX(Scorecards!$A$32:$A$39,MATCH(MIN(IF(Scorecards!$C$32:$C$39="Y",H32:H39,10)),IF(Scorecards!$C$32:$C$39="Y",H32:H39,10),0)))</f>
        <v>SR</v>
      </c>
      <c r="I40" s="27" t="str">
        <f t="array" ref="I40">IF(OR(SUM(IF(IF(Scorecards!$C$32:$C$39="Y", I32:I39, 10)=MIN(IF(Scorecards!$C$32:$C$39="Y", I32:I39, 10)), 1, 0)) &gt; 1, MIN(IF(Scorecards!$C$32:$C$39="Y", I32:I39, 10)) &gt; I31), "", INDEX(Scorecards!$A$32:$A$39,MATCH(MIN(IF(Scorecards!$C$32:$C$39="Y",I32:I39,10)),IF(Scorecards!$C$32:$C$39="Y",I32:I39,10),0)))</f>
        <v/>
      </c>
      <c r="J40" s="27" t="str">
        <f t="array" ref="J40">IF(OR(SUM(IF(IF(Scorecards!$C$32:$C$39="Y", J32:J39, 10)=MIN(IF(Scorecards!$C$32:$C$39="Y", J32:J39, 10)), 1, 0)) &gt; 1, MIN(IF(Scorecards!$C$32:$C$39="Y", J32:J39, 10)) &gt; J31), "", INDEX(Scorecards!$A$32:$A$39,MATCH(MIN(IF(Scorecards!$C$32:$C$39="Y",J32:J39,10)),IF(Scorecards!$C$32:$C$39="Y",J32:J39,10),0)))</f>
        <v/>
      </c>
      <c r="K40" s="27" t="str">
        <f t="array" ref="K40">IF(OR(SUM(IF(IF(Scorecards!$C$32:$C$39="Y", K32:K39, 10)=MIN(IF(Scorecards!$C$32:$C$39="Y", K32:K39, 10)), 1, 0)) &gt; 1, MIN(IF(Scorecards!$C$32:$C$39="Y", K32:K39, 10)) &gt; K31), "", INDEX(Scorecards!$A$32:$A$39,MATCH(MIN(IF(Scorecards!$C$32:$C$39="Y",K32:K39,10)),IF(Scorecards!$C$32:$C$39="Y",K32:K39,10),0)))</f>
        <v>SR</v>
      </c>
      <c r="L40" s="27" t="str">
        <f t="array" ref="L40">IF(OR(SUM(IF(IF(Scorecards!$C$32:$C$39="Y", L32:L39, 10)=MIN(IF(Scorecards!$C$32:$C$39="Y", L32:L39, 10)), 1, 0)) &gt; 1, MIN(IF(Scorecards!$C$32:$C$39="Y", L32:L39, 10)) &gt; L31), "", INDEX(Scorecards!$A$32:$A$39,MATCH(MIN(IF(Scorecards!$C$32:$C$39="Y",L32:L39,10)),IF(Scorecards!$C$32:$C$39="Y",L32:L39,10),0)))</f>
        <v>BB</v>
      </c>
      <c r="M40" s="27" t="str">
        <f t="array" ref="M40">IF(OR(SUM(IF(IF(Scorecards!$C$32:$C$39="Y", M32:M39, 10)=MIN(IF(Scorecards!$C$32:$C$39="Y", M32:M39, 10)), 1, 0)) &gt; 1, MIN(IF(Scorecards!$C$32:$C$39="Y", M32:M39, 10)) &gt; M31), "", INDEX(Scorecards!$A$32:$A$39,MATCH(MIN(IF(Scorecards!$C$32:$C$39="Y",M32:M39,10)),IF(Scorecards!$C$32:$C$39="Y",M32:M39,10),0)))</f>
        <v/>
      </c>
      <c r="N40" s="27" t="str">
        <f t="array" ref="N40">IF(OR(SUM(IF(IF(Scorecards!$C$32:$C$39="Y", N32:N39, 10)=MIN(IF(Scorecards!$C$32:$C$39="Y", N32:N39, 10)), 1, 0)) &gt; 1, MIN(IF(Scorecards!$C$32:$C$39="Y", N32:N39, 10)) &gt; N31), "", INDEX(Scorecards!$A$32:$A$39,MATCH(MIN(IF(Scorecards!$C$32:$C$39="Y",N32:N39,10)),IF(Scorecards!$C$32:$C$39="Y",N32:N39,10),0)))</f>
        <v>BB</v>
      </c>
      <c r="O40" s="44" t="s">
        <v>21</v>
      </c>
      <c r="P40" s="27" t="str">
        <f t="array" ref="P40">IF(OR(SUM(IF(IF(Scorecards!$C$32:$C$39="Y", P32:P39, 10)=MIN(IF(Scorecards!$C$32:$C$39="Y", P32:P39, 10)), 1, 0)) &gt; 1, MIN(IF(Scorecards!$C$32:$C$39="Y", P32:P39, 10)) &gt; P31), "", INDEX(Scorecards!$A$32:$A$39,MATCH(MIN(IF(Scorecards!$C$32:$C$39="Y",P32:P39,10)),IF(Scorecards!$C$32:$C$39="Y",P32:P39,10),0)))</f>
        <v/>
      </c>
      <c r="Q40" s="27" t="str">
        <f t="array" ref="Q40">IF(OR(SUM(IF(IF(Scorecards!$C$32:$C$39="Y", Q32:Q39, 10)=MIN(IF(Scorecards!$C$32:$C$39="Y", Q32:Q39, 10)), 1, 0)) &gt; 1, MIN(IF(Scorecards!$C$32:$C$39="Y", Q32:Q39, 10)) &gt; Q31), "", INDEX(Scorecards!$A$32:$A$39,MATCH(MIN(IF(Scorecards!$C$32:$C$39="Y",Q32:Q39,10)),IF(Scorecards!$C$32:$C$39="Y",Q32:Q39,10),0)))</f>
        <v/>
      </c>
      <c r="R40" s="27" t="str">
        <f t="array" ref="R40">IF(OR(SUM(IF(IF(Scorecards!$C$32:$C$39="Y", R32:R39, 10)=MIN(IF(Scorecards!$C$32:$C$39="Y", R32:R39, 10)), 1, 0)) &gt; 1, MIN(IF(Scorecards!$C$32:$C$39="Y", R32:R39, 10)) &gt; R31), "", INDEX(Scorecards!$A$32:$A$39,MATCH(MIN(IF(Scorecards!$C$32:$C$39="Y",R32:R39,10)),IF(Scorecards!$C$32:$C$39="Y",R32:R39,10),0)))</f>
        <v>SR</v>
      </c>
      <c r="S40" s="27" t="str">
        <f t="array" ref="S40">IF(OR(SUM(IF(IF(Scorecards!$C$32:$C$39="Y", S32:S39, 10)=MIN(IF(Scorecards!$C$32:$C$39="Y", S32:S39, 10)), 1, 0)) &gt; 1, MIN(IF(Scorecards!$C$32:$C$39="Y", S32:S39, 10)) &gt; S31), "", INDEX(Scorecards!$A$32:$A$39,MATCH(MIN(IF(Scorecards!$C$32:$C$39="Y",S32:S39,10)),IF(Scorecards!$C$32:$C$39="Y",S32:S39,10),0)))</f>
        <v/>
      </c>
      <c r="T40" s="27" t="str">
        <f t="array" ref="T40">IF(OR(SUM(IF(IF(Scorecards!$C$32:$C$39="Y", T32:T39, 10)=MIN(IF(Scorecards!$C$32:$C$39="Y", T32:T39, 10)), 1, 0)) &gt; 1, MIN(IF(Scorecards!$C$32:$C$39="Y", T32:T39, 10)) &gt; T31), "", INDEX(Scorecards!$A$32:$A$39,MATCH(MIN(IF(Scorecards!$C$32:$C$39="Y",T32:T39,10)),IF(Scorecards!$C$32:$C$39="Y",T32:T39,10),0)))</f>
        <v/>
      </c>
      <c r="U40" s="27" t="str">
        <f t="array" ref="U40">IF(OR(SUM(IF(IF(Scorecards!$C$32:$C$39="Y", U32:U39, 10)=MIN(IF(Scorecards!$C$32:$C$39="Y", U32:U39, 10)), 1, 0)) &gt; 1, MIN(IF(Scorecards!$C$32:$C$39="Y", U32:U39, 10)) &gt; U31), "", INDEX(Scorecards!$A$32:$A$39,MATCH(MIN(IF(Scorecards!$C$32:$C$39="Y",U32:U39,10)),IF(Scorecards!$C$32:$C$39="Y",U32:U39,10),0)))</f>
        <v>BK</v>
      </c>
      <c r="V40" s="27" t="str">
        <f t="array" ref="V40">IF(OR(SUM(IF(IF(Scorecards!$C$32:$C$39="Y", V32:V39, 10)=MIN(IF(Scorecards!$C$32:$C$39="Y", V32:V39, 10)), 1, 0)) &gt; 1, MIN(IF(Scorecards!$C$32:$C$39="Y", V32:V39, 10)) &gt; V31), "", INDEX(Scorecards!$A$32:$A$39,MATCH(MIN(IF(Scorecards!$C$32:$C$39="Y",V32:V39,10)),IF(Scorecards!$C$32:$C$39="Y",V32:V39,10),0)))</f>
        <v>SR</v>
      </c>
      <c r="W40" s="27" t="str">
        <f t="array" ref="W40">IF(OR(SUM(IF(IF(Scorecards!$C$32:$C$39="Y", W32:W39, 10)=MIN(IF(Scorecards!$C$32:$C$39="Y", W32:W39, 10)), 1, 0)) &gt; 1, MIN(IF(Scorecards!$C$32:$C$39="Y", W32:W39, 10)) &gt; W31), "", INDEX(Scorecards!$A$32:$A$39,MATCH(MIN(IF(Scorecards!$C$32:$C$39="Y",W32:W39,10)),IF(Scorecards!$C$32:$C$39="Y",W32:W39,10),0)))</f>
        <v/>
      </c>
      <c r="X40" s="27" t="str">
        <f t="array" ref="X40">IF(OR(SUM(IF(IF(Scorecards!$C$32:$C$39="Y", X32:X39, 10)=MIN(IF(Scorecards!$C$32:$C$39="Y", X32:X39, 10)), 1, 0)) &gt; 1, MIN(IF(Scorecards!$C$32:$C$39="Y", X32:X39, 10)) &gt; X31), "", INDEX(Scorecards!$A$32:$A$39,MATCH(MIN(IF(Scorecards!$C$32:$C$39="Y",X32:X39,10)),IF(Scorecards!$C$32:$C$39="Y",X32:X39,10),0)))</f>
        <v>SR</v>
      </c>
      <c r="Y40" s="27"/>
      <c r="Z40" s="27"/>
      <c r="AA40" s="27">
        <f>18-COUNTBLANK(G40:X40)</f>
        <v>9</v>
      </c>
      <c r="AB40" s="42">
        <f>IF(AA40 = 0, 0, C40/AA40)</f>
        <v>2.777777778</v>
      </c>
    </row>
    <row r="41" ht="12.75" customHeight="1">
      <c r="A41" s="14"/>
      <c r="B41" s="14"/>
      <c r="C41" s="14"/>
      <c r="D41" s="14"/>
      <c r="E41" s="14"/>
      <c r="F41" s="26" t="s">
        <v>15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14"/>
      <c r="Z41" s="14"/>
      <c r="AA41" s="27">
        <f>COUNTA(H41,N41,R41,U41)</f>
        <v>0</v>
      </c>
      <c r="AB41" s="42">
        <f>IF(AA41 = 0, 0, D40/AA41)</f>
        <v>0</v>
      </c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ht="12.75" customHeight="1">
      <c r="A43" s="14"/>
      <c r="B43" s="14"/>
      <c r="C43" s="14"/>
      <c r="D43" s="14"/>
      <c r="E43" s="14"/>
      <c r="F43" s="15" t="s">
        <v>29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7"/>
      <c r="AA43" s="45">
        <v>69.1</v>
      </c>
      <c r="AB43" s="45">
        <v>124.0</v>
      </c>
    </row>
    <row r="44" ht="12.75" customHeight="1">
      <c r="A44" s="14"/>
      <c r="B44" s="14"/>
      <c r="C44" s="19">
        <v>5.0</v>
      </c>
      <c r="D44" s="20">
        <v>0.0</v>
      </c>
      <c r="E44" s="20">
        <v>0.0</v>
      </c>
      <c r="F44" s="21" t="s">
        <v>7</v>
      </c>
      <c r="G44" s="22">
        <v>1.0</v>
      </c>
      <c r="H44" s="22">
        <v>2.0</v>
      </c>
      <c r="I44" s="22">
        <v>3.0</v>
      </c>
      <c r="J44" s="22">
        <v>4.0</v>
      </c>
      <c r="K44" s="22">
        <v>5.0</v>
      </c>
      <c r="L44" s="22">
        <v>6.0</v>
      </c>
      <c r="M44" s="22">
        <v>7.0</v>
      </c>
      <c r="N44" s="22">
        <v>8.0</v>
      </c>
      <c r="O44" s="22">
        <v>9.0</v>
      </c>
      <c r="P44" s="22">
        <v>10.0</v>
      </c>
      <c r="Q44" s="22">
        <v>11.0</v>
      </c>
      <c r="R44" s="22">
        <v>12.0</v>
      </c>
      <c r="S44" s="22">
        <v>13.0</v>
      </c>
      <c r="T44" s="22">
        <v>14.0</v>
      </c>
      <c r="U44" s="22">
        <v>15.0</v>
      </c>
      <c r="V44" s="22">
        <v>16.0</v>
      </c>
      <c r="W44" s="22">
        <v>17.0</v>
      </c>
      <c r="X44" s="22">
        <v>18.0</v>
      </c>
      <c r="Y44" s="22" t="s">
        <v>8</v>
      </c>
      <c r="Z44" s="22" t="s">
        <v>9</v>
      </c>
      <c r="AA44" s="22" t="s">
        <v>10</v>
      </c>
      <c r="AB44" s="22" t="s">
        <v>11</v>
      </c>
    </row>
    <row r="45" ht="12.75" customHeight="1">
      <c r="A45" s="23" t="s">
        <v>12</v>
      </c>
      <c r="B45" s="23" t="s">
        <v>13</v>
      </c>
      <c r="C45" s="24" t="s">
        <v>14</v>
      </c>
      <c r="D45" s="25" t="s">
        <v>15</v>
      </c>
      <c r="E45" s="25" t="s">
        <v>16</v>
      </c>
      <c r="F45" s="26" t="s">
        <v>17</v>
      </c>
      <c r="G45" s="27">
        <v>5.0</v>
      </c>
      <c r="H45" s="27">
        <v>3.0</v>
      </c>
      <c r="I45" s="27">
        <v>4.0</v>
      </c>
      <c r="J45" s="27">
        <v>4.0</v>
      </c>
      <c r="K45" s="27">
        <v>4.0</v>
      </c>
      <c r="L45" s="27">
        <v>5.0</v>
      </c>
      <c r="M45" s="27">
        <v>4.0</v>
      </c>
      <c r="N45" s="27">
        <v>3.0</v>
      </c>
      <c r="O45" s="27">
        <v>4.0</v>
      </c>
      <c r="P45" s="27">
        <v>5.0</v>
      </c>
      <c r="Q45" s="27">
        <v>4.0</v>
      </c>
      <c r="R45" s="27">
        <v>4.0</v>
      </c>
      <c r="S45" s="27">
        <v>5.0</v>
      </c>
      <c r="T45" s="27">
        <v>4.0</v>
      </c>
      <c r="U45" s="27">
        <v>3.0</v>
      </c>
      <c r="V45" s="27">
        <v>4.0</v>
      </c>
      <c r="W45" s="27">
        <v>3.0</v>
      </c>
      <c r="X45" s="27">
        <v>4.0</v>
      </c>
      <c r="Y45" s="27">
        <f t="shared" ref="Y45:Y51" si="13">SUM(G45:O45)</f>
        <v>36</v>
      </c>
      <c r="Z45" s="27">
        <f t="shared" ref="Z45:Z51" si="14">SUM(P45:X45)</f>
        <v>36</v>
      </c>
      <c r="AA45" s="27">
        <f>Y45+Z45</f>
        <v>72</v>
      </c>
      <c r="AB45" s="27"/>
    </row>
    <row r="46" ht="12.75" customHeight="1">
      <c r="A46" s="29" t="s">
        <v>18</v>
      </c>
      <c r="B46" s="29">
        <v>8.0</v>
      </c>
      <c r="C46" s="30" t="s">
        <v>19</v>
      </c>
      <c r="D46" s="30" t="s">
        <v>20</v>
      </c>
      <c r="E46" s="30" t="s">
        <v>19</v>
      </c>
      <c r="F46" s="26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>
        <f t="shared" si="13"/>
        <v>0</v>
      </c>
      <c r="Z46" s="29">
        <f t="shared" si="14"/>
        <v>0</v>
      </c>
      <c r="AA46" s="29" t="str">
        <f t="shared" ref="AA46:AA53" si="15">IF(Z46&gt;0,Y46+Z46,"")</f>
        <v/>
      </c>
      <c r="AB46" s="29" t="str">
        <f t="shared" ref="AB46:AB53" si="16">IF(Z46=0,"",AA46-B46)</f>
        <v/>
      </c>
    </row>
    <row r="47" ht="12.75" customHeight="1">
      <c r="A47" s="33" t="s">
        <v>21</v>
      </c>
      <c r="B47" s="33">
        <v>18.0</v>
      </c>
      <c r="C47" s="34" t="s">
        <v>19</v>
      </c>
      <c r="D47" s="34" t="s">
        <v>20</v>
      </c>
      <c r="E47" s="34" t="s">
        <v>19</v>
      </c>
      <c r="F47" s="26"/>
      <c r="G47" s="35">
        <v>6.0</v>
      </c>
      <c r="H47" s="35">
        <v>2.0</v>
      </c>
      <c r="I47" s="35">
        <v>6.0</v>
      </c>
      <c r="J47" s="35">
        <v>6.0</v>
      </c>
      <c r="K47" s="35">
        <v>4.0</v>
      </c>
      <c r="L47" s="35">
        <v>5.0</v>
      </c>
      <c r="M47" s="35">
        <v>5.0</v>
      </c>
      <c r="N47" s="35">
        <v>4.0</v>
      </c>
      <c r="O47" s="35">
        <v>5.0</v>
      </c>
      <c r="P47" s="35">
        <v>5.0</v>
      </c>
      <c r="Q47" s="35">
        <v>5.0</v>
      </c>
      <c r="R47" s="35">
        <v>7.0</v>
      </c>
      <c r="S47" s="35">
        <v>5.0</v>
      </c>
      <c r="T47" s="35">
        <v>8.0</v>
      </c>
      <c r="U47" s="35">
        <v>3.0</v>
      </c>
      <c r="V47" s="35">
        <v>6.0</v>
      </c>
      <c r="W47" s="35">
        <v>4.0</v>
      </c>
      <c r="X47" s="35">
        <v>6.0</v>
      </c>
      <c r="Y47" s="36">
        <f t="shared" si="13"/>
        <v>43</v>
      </c>
      <c r="Z47" s="36">
        <f t="shared" si="14"/>
        <v>49</v>
      </c>
      <c r="AA47" s="36">
        <f t="shared" si="15"/>
        <v>92</v>
      </c>
      <c r="AB47" s="36">
        <f t="shared" si="16"/>
        <v>74</v>
      </c>
    </row>
    <row r="48" ht="12.75" customHeight="1">
      <c r="A48" s="29" t="s">
        <v>22</v>
      </c>
      <c r="B48" s="31">
        <v>15.0</v>
      </c>
      <c r="C48" s="30" t="s">
        <v>19</v>
      </c>
      <c r="D48" s="30" t="s">
        <v>20</v>
      </c>
      <c r="E48" s="30" t="s">
        <v>19</v>
      </c>
      <c r="F48" s="26"/>
      <c r="G48" s="31">
        <v>5.0</v>
      </c>
      <c r="H48" s="31">
        <v>4.0</v>
      </c>
      <c r="I48" s="31">
        <v>4.0</v>
      </c>
      <c r="J48" s="31">
        <v>4.0</v>
      </c>
      <c r="K48" s="31">
        <v>5.0</v>
      </c>
      <c r="L48" s="31">
        <v>5.0</v>
      </c>
      <c r="M48" s="31">
        <v>5.0</v>
      </c>
      <c r="N48" s="31">
        <v>4.0</v>
      </c>
      <c r="O48" s="31">
        <v>4.0</v>
      </c>
      <c r="P48" s="31">
        <v>5.0</v>
      </c>
      <c r="Q48" s="31">
        <v>6.0</v>
      </c>
      <c r="R48" s="31">
        <v>4.0</v>
      </c>
      <c r="S48" s="31">
        <v>6.0</v>
      </c>
      <c r="T48" s="31">
        <v>6.0</v>
      </c>
      <c r="U48" s="31">
        <v>3.0</v>
      </c>
      <c r="V48" s="31">
        <v>7.0</v>
      </c>
      <c r="W48" s="31">
        <v>3.0</v>
      </c>
      <c r="X48" s="31">
        <v>5.0</v>
      </c>
      <c r="Y48" s="29">
        <f t="shared" si="13"/>
        <v>40</v>
      </c>
      <c r="Z48" s="29">
        <f t="shared" si="14"/>
        <v>45</v>
      </c>
      <c r="AA48" s="29">
        <f t="shared" si="15"/>
        <v>85</v>
      </c>
      <c r="AB48" s="29">
        <f t="shared" si="16"/>
        <v>70</v>
      </c>
    </row>
    <row r="49" ht="12.75" customHeight="1">
      <c r="A49" s="33" t="s">
        <v>23</v>
      </c>
      <c r="B49" s="33">
        <v>18.0</v>
      </c>
      <c r="C49" s="34" t="s">
        <v>19</v>
      </c>
      <c r="D49" s="34" t="s">
        <v>20</v>
      </c>
      <c r="E49" s="34" t="s">
        <v>19</v>
      </c>
      <c r="F49" s="26"/>
      <c r="G49" s="35">
        <v>6.0</v>
      </c>
      <c r="H49" s="35">
        <v>5.0</v>
      </c>
      <c r="I49" s="35">
        <v>3.0</v>
      </c>
      <c r="J49" s="35">
        <v>5.0</v>
      </c>
      <c r="K49" s="35">
        <v>5.0</v>
      </c>
      <c r="L49" s="35">
        <v>6.0</v>
      </c>
      <c r="M49" s="35">
        <v>5.0</v>
      </c>
      <c r="N49" s="35">
        <v>5.0</v>
      </c>
      <c r="O49" s="35">
        <v>7.0</v>
      </c>
      <c r="P49" s="35">
        <v>8.0</v>
      </c>
      <c r="Q49" s="35">
        <v>7.0</v>
      </c>
      <c r="R49" s="35">
        <v>4.0</v>
      </c>
      <c r="S49" s="35">
        <v>7.0</v>
      </c>
      <c r="T49" s="35">
        <v>5.0</v>
      </c>
      <c r="U49" s="35">
        <v>3.0</v>
      </c>
      <c r="V49" s="35">
        <v>5.0</v>
      </c>
      <c r="W49" s="35">
        <v>3.0</v>
      </c>
      <c r="X49" s="35">
        <v>5.0</v>
      </c>
      <c r="Y49" s="36">
        <f t="shared" si="13"/>
        <v>47</v>
      </c>
      <c r="Z49" s="36">
        <f t="shared" si="14"/>
        <v>47</v>
      </c>
      <c r="AA49" s="36">
        <f t="shared" si="15"/>
        <v>94</v>
      </c>
      <c r="AB49" s="36">
        <f t="shared" si="16"/>
        <v>76</v>
      </c>
    </row>
    <row r="50" ht="12.75" customHeight="1">
      <c r="A50" s="29" t="s">
        <v>24</v>
      </c>
      <c r="B50" s="29">
        <v>8.0</v>
      </c>
      <c r="C50" s="30" t="s">
        <v>19</v>
      </c>
      <c r="D50" s="30" t="s">
        <v>20</v>
      </c>
      <c r="E50" s="30" t="s">
        <v>19</v>
      </c>
      <c r="F50" s="26"/>
      <c r="G50" s="31">
        <v>4.0</v>
      </c>
      <c r="H50" s="31">
        <v>4.0</v>
      </c>
      <c r="I50" s="31">
        <v>8.0</v>
      </c>
      <c r="J50" s="31">
        <v>5.0</v>
      </c>
      <c r="K50" s="31">
        <v>4.0</v>
      </c>
      <c r="L50" s="31">
        <v>4.0</v>
      </c>
      <c r="M50" s="31">
        <v>4.0</v>
      </c>
      <c r="N50" s="31">
        <v>3.0</v>
      </c>
      <c r="O50" s="31">
        <v>6.0</v>
      </c>
      <c r="P50" s="31">
        <v>5.0</v>
      </c>
      <c r="Q50" s="31">
        <v>4.0</v>
      </c>
      <c r="R50" s="31">
        <v>4.0</v>
      </c>
      <c r="S50" s="31">
        <v>4.0</v>
      </c>
      <c r="T50" s="31">
        <v>5.0</v>
      </c>
      <c r="U50" s="31">
        <v>4.0</v>
      </c>
      <c r="V50" s="31">
        <v>4.0</v>
      </c>
      <c r="W50" s="31">
        <v>4.0</v>
      </c>
      <c r="X50" s="31">
        <v>4.0</v>
      </c>
      <c r="Y50" s="29">
        <f t="shared" si="13"/>
        <v>42</v>
      </c>
      <c r="Z50" s="29">
        <f t="shared" si="14"/>
        <v>38</v>
      </c>
      <c r="AA50" s="29">
        <f t="shared" si="15"/>
        <v>80</v>
      </c>
      <c r="AB50" s="29">
        <f t="shared" si="16"/>
        <v>72</v>
      </c>
    </row>
    <row r="51" ht="12.75" customHeight="1">
      <c r="A51" s="33" t="s">
        <v>25</v>
      </c>
      <c r="B51" s="33" t="s">
        <v>26</v>
      </c>
      <c r="C51" s="34" t="s">
        <v>20</v>
      </c>
      <c r="D51" s="34" t="s">
        <v>20</v>
      </c>
      <c r="E51" s="34" t="s">
        <v>20</v>
      </c>
      <c r="F51" s="2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>
        <f t="shared" si="13"/>
        <v>0</v>
      </c>
      <c r="Z51" s="36">
        <f t="shared" si="14"/>
        <v>0</v>
      </c>
      <c r="AA51" s="36" t="str">
        <f t="shared" si="15"/>
        <v/>
      </c>
      <c r="AB51" s="36" t="str">
        <f t="shared" si="16"/>
        <v/>
      </c>
    </row>
    <row r="52" ht="12.75" customHeight="1">
      <c r="A52" s="29"/>
      <c r="B52" s="29"/>
      <c r="C52" s="30"/>
      <c r="D52" s="30"/>
      <c r="E52" s="30"/>
      <c r="F52" s="26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 t="str">
        <f t="shared" si="15"/>
        <v/>
      </c>
      <c r="AB52" s="29" t="str">
        <f t="shared" si="16"/>
        <v/>
      </c>
    </row>
    <row r="53" ht="12.75" customHeight="1">
      <c r="A53" s="33"/>
      <c r="B53" s="33"/>
      <c r="C53" s="39"/>
      <c r="D53" s="39"/>
      <c r="E53" s="39"/>
      <c r="F53" s="2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 t="str">
        <f t="shared" si="15"/>
        <v/>
      </c>
      <c r="AB53" s="36" t="str">
        <f t="shared" si="16"/>
        <v/>
      </c>
    </row>
    <row r="54" ht="12.75" customHeight="1">
      <c r="A54" s="40"/>
      <c r="B54" s="40"/>
      <c r="C54" s="41">
        <f>COUNTIF(Scorecards!$C$4:$C$11, "Y")*C44</f>
        <v>25</v>
      </c>
      <c r="D54" s="41">
        <f>COUNTIF(Scorecards!$D$4:$D$11, "Y")*D44</f>
        <v>0</v>
      </c>
      <c r="E54" s="41">
        <f>COUNTIF(Scorecards!$E$4:$E$11, "Y")*E44</f>
        <v>0</v>
      </c>
      <c r="F54" s="26" t="s">
        <v>27</v>
      </c>
      <c r="G54" s="27" t="str">
        <f t="array" ref="G54">IF(OR(SUM(IF(IF(Scorecards!$C$46:$C$53="Y", G46:G53, 10)=MIN(IF(Scorecards!$C$46:$C$53="Y", G46:G53, 10)), 1, 0)) &gt; 1, MIN(IF(Scorecards!$C$46:$C$53="Y", G46:G53, 10)) &gt; G45), "", INDEX(Scorecards!$A$46:$A$53,MATCH(MIN(IF(Scorecards!$C$46:$C$53="Y",G46:G53,10)),IF(Scorecards!$C$46:$C$53="Y",G46:G53,10),0)))</f>
        <v>SR</v>
      </c>
      <c r="H54" s="27" t="str">
        <f t="array" ref="H54">IF(OR(SUM(IF(IF(Scorecards!$C$46:$C$53="Y", H46:H53, 10)=MIN(IF(Scorecards!$C$46:$C$53="Y", H46:H53, 10)), 1, 0)) &gt; 1, MIN(IF(Scorecards!$C$46:$C$53="Y", H46:H53, 10)) &gt; H45), "", INDEX(Scorecards!$A$46:$A$53,MATCH(MIN(IF(Scorecards!$C$46:$C$53="Y",H46:H53,10)),IF(Scorecards!$C$46:$C$53="Y",H46:H53,10),0)))</f>
        <v>BB</v>
      </c>
      <c r="I54" s="27" t="str">
        <f t="array" ref="I54">IF(OR(SUM(IF(IF(Scorecards!$C$46:$C$53="Y", I46:I53, 10)=MIN(IF(Scorecards!$C$46:$C$53="Y", I46:I53, 10)), 1, 0)) &gt; 1, MIN(IF(Scorecards!$C$46:$C$53="Y", I46:I53, 10)) &gt; I45), "", INDEX(Scorecards!$A$46:$A$53,MATCH(MIN(IF(Scorecards!$C$46:$C$53="Y",I46:I53,10)),IF(Scorecards!$C$46:$C$53="Y",I46:I53,10),0)))</f>
        <v>EO</v>
      </c>
      <c r="J54" s="27" t="str">
        <f t="array" ref="J54">IF(OR(SUM(IF(IF(Scorecards!$C$46:$C$53="Y", J46:J53, 10)=MIN(IF(Scorecards!$C$46:$C$53="Y", J46:J53, 10)), 1, 0)) &gt; 1, MIN(IF(Scorecards!$C$46:$C$53="Y", J46:J53, 10)) &gt; J45), "", INDEX(Scorecards!$A$46:$A$53,MATCH(MIN(IF(Scorecards!$C$46:$C$53="Y",J46:J53,10)),IF(Scorecards!$C$46:$C$53="Y",J46:J53,10),0)))</f>
        <v>BK</v>
      </c>
      <c r="K54" s="27" t="str">
        <f t="array" ref="K54">IF(OR(SUM(IF(IF(Scorecards!$C$46:$C$53="Y", K46:K53, 10)=MIN(IF(Scorecards!$C$46:$C$53="Y", K46:K53, 10)), 1, 0)) &gt; 1, MIN(IF(Scorecards!$C$46:$C$53="Y", K46:K53, 10)) &gt; K45), "", INDEX(Scorecards!$A$46:$A$53,MATCH(MIN(IF(Scorecards!$C$46:$C$53="Y",K46:K53,10)),IF(Scorecards!$C$46:$C$53="Y",K46:K53,10),0)))</f>
        <v/>
      </c>
      <c r="L54" s="27" t="str">
        <f t="array" ref="L54">IF(OR(SUM(IF(IF(Scorecards!$C$46:$C$53="Y", L46:L53, 10)=MIN(IF(Scorecards!$C$46:$C$53="Y", L46:L53, 10)), 1, 0)) &gt; 1, MIN(IF(Scorecards!$C$46:$C$53="Y", L46:L53, 10)) &gt; L45), "", INDEX(Scorecards!$A$46:$A$53,MATCH(MIN(IF(Scorecards!$C$46:$C$53="Y",L46:L53,10)),IF(Scorecards!$C$46:$C$53="Y",L46:L53,10),0)))</f>
        <v>SR</v>
      </c>
      <c r="M54" s="27" t="str">
        <f t="array" ref="M54">IF(OR(SUM(IF(IF(Scorecards!$C$46:$C$53="Y", M46:M53, 10)=MIN(IF(Scorecards!$C$46:$C$53="Y", M46:M53, 10)), 1, 0)) &gt; 1, MIN(IF(Scorecards!$C$46:$C$53="Y", M46:M53, 10)) &gt; M45), "", INDEX(Scorecards!$A$46:$A$53,MATCH(MIN(IF(Scorecards!$C$46:$C$53="Y",M46:M53,10)),IF(Scorecards!$C$46:$C$53="Y",M46:M53,10),0)))</f>
        <v>SR</v>
      </c>
      <c r="N54" s="27" t="str">
        <f t="array" ref="N54">IF(OR(SUM(IF(IF(Scorecards!$C$46:$C$53="Y", N46:N53, 10)=MIN(IF(Scorecards!$C$46:$C$53="Y", N46:N53, 10)), 1, 0)) &gt; 1, MIN(IF(Scorecards!$C$46:$C$53="Y", N46:N53, 10)) &gt; N45), "", INDEX(Scorecards!$A$46:$A$53,MATCH(MIN(IF(Scorecards!$C$46:$C$53="Y",N46:N53,10)),IF(Scorecards!$C$46:$C$53="Y",N46:N53,10),0)))</f>
        <v>SR</v>
      </c>
      <c r="O54" s="27" t="str">
        <f t="array" ref="O54">IF(OR(SUM(IF(IF(Scorecards!$C$46:$C$53="Y", O46:O53, 10)=MIN(IF(Scorecards!$C$46:$C$53="Y", O46:O53, 10)), 1, 0)) &gt; 1, MIN(IF(Scorecards!$C$46:$C$53="Y", O46:O53, 10)) &gt; O45), "", INDEX(Scorecards!$A$46:$A$53,MATCH(MIN(IF(Scorecards!$C$46:$C$53="Y",O46:O53,10)),IF(Scorecards!$C$46:$C$53="Y",O46:O53,10),0)))</f>
        <v>BK</v>
      </c>
      <c r="P54" s="27" t="str">
        <f t="array" ref="P54">IF(OR(SUM(IF(IF(Scorecards!$C$46:$C$53="Y", P46:P53, 10)=MIN(IF(Scorecards!$C$46:$C$53="Y", P46:P53, 10)), 1, 0)) &gt; 1, MIN(IF(Scorecards!$C$46:$C$53="Y", P46:P53, 10)) &gt; P45), "", INDEX(Scorecards!$A$46:$A$53,MATCH(MIN(IF(Scorecards!$C$46:$C$53="Y",P46:P53,10)),IF(Scorecards!$C$46:$C$53="Y",P46:P53,10),0)))</f>
        <v/>
      </c>
      <c r="Q54" s="27" t="str">
        <f t="array" ref="Q54">IF(OR(SUM(IF(IF(Scorecards!$C$46:$C$53="Y", Q46:Q53, 10)=MIN(IF(Scorecards!$C$46:$C$53="Y", Q46:Q53, 10)), 1, 0)) &gt; 1, MIN(IF(Scorecards!$C$46:$C$53="Y", Q46:Q53, 10)) &gt; Q45), "", INDEX(Scorecards!$A$46:$A$53,MATCH(MIN(IF(Scorecards!$C$46:$C$53="Y",Q46:Q53,10)),IF(Scorecards!$C$46:$C$53="Y",Q46:Q53,10),0)))</f>
        <v>SR</v>
      </c>
      <c r="R54" s="27" t="str">
        <f t="array" ref="R54">IF(OR(SUM(IF(IF(Scorecards!$C$46:$C$53="Y", R46:R53, 10)=MIN(IF(Scorecards!$C$46:$C$53="Y", R46:R53, 10)), 1, 0)) &gt; 1, MIN(IF(Scorecards!$C$46:$C$53="Y", R46:R53, 10)) &gt; R45), "", INDEX(Scorecards!$A$46:$A$53,MATCH(MIN(IF(Scorecards!$C$46:$C$53="Y",R46:R53,10)),IF(Scorecards!$C$46:$C$53="Y",R46:R53,10),0)))</f>
        <v/>
      </c>
      <c r="S54" s="27" t="str">
        <f t="array" ref="S54">IF(OR(SUM(IF(IF(Scorecards!$C$46:$C$53="Y", S46:S53, 10)=MIN(IF(Scorecards!$C$46:$C$53="Y", S46:S53, 10)), 1, 0)) &gt; 1, MIN(IF(Scorecards!$C$46:$C$53="Y", S46:S53, 10)) &gt; S45), "", INDEX(Scorecards!$A$46:$A$53,MATCH(MIN(IF(Scorecards!$C$46:$C$53="Y",S46:S53,10)),IF(Scorecards!$C$46:$C$53="Y",S46:S53,10),0)))</f>
        <v>SR</v>
      </c>
      <c r="T54" s="27" t="str">
        <f t="array" ref="T54">IF(OR(SUM(IF(IF(Scorecards!$C$46:$C$53="Y", T46:T53, 10)=MIN(IF(Scorecards!$C$46:$C$53="Y", T46:T53, 10)), 1, 0)) &gt; 1, MIN(IF(Scorecards!$C$46:$C$53="Y", T46:T53, 10)) &gt; T45), "", INDEX(Scorecards!$A$46:$A$53,MATCH(MIN(IF(Scorecards!$C$46:$C$53="Y",T46:T53,10)),IF(Scorecards!$C$46:$C$53="Y",T46:T53,10),0)))</f>
        <v/>
      </c>
      <c r="U54" s="27" t="str">
        <f t="array" ref="U54">IF(OR(SUM(IF(IF(Scorecards!$C$46:$C$53="Y", U46:U53, 10)=MIN(IF(Scorecards!$C$46:$C$53="Y", U46:U53, 10)), 1, 0)) &gt; 1, MIN(IF(Scorecards!$C$46:$C$53="Y", U46:U53, 10)) &gt; U45), "", INDEX(Scorecards!$A$46:$A$53,MATCH(MIN(IF(Scorecards!$C$46:$C$53="Y",U46:U53,10)),IF(Scorecards!$C$46:$C$53="Y",U46:U53,10),0)))</f>
        <v/>
      </c>
      <c r="V54" s="27" t="str">
        <f t="array" ref="V54">IF(OR(SUM(IF(IF(Scorecards!$C$46:$C$53="Y", V46:V53, 10)=MIN(IF(Scorecards!$C$46:$C$53="Y", V46:V53, 10)), 1, 0)) &gt; 1, MIN(IF(Scorecards!$C$46:$C$53="Y", V46:V53, 10)) &gt; V45), "", INDEX(Scorecards!$A$46:$A$53,MATCH(MIN(IF(Scorecards!$C$46:$C$53="Y",V46:V53,10)),IF(Scorecards!$C$46:$C$53="Y",V46:V53,10),0)))</f>
        <v>SR</v>
      </c>
      <c r="W54" s="27" t="str">
        <f t="array" ref="W54">IF(OR(SUM(IF(IF(Scorecards!$C$46:$C$53="Y", W46:W53, 10)=MIN(IF(Scorecards!$C$46:$C$53="Y", W46:W53, 10)), 1, 0)) &gt; 1, MIN(IF(Scorecards!$C$46:$C$53="Y", W46:W53, 10)) &gt; W45), "", INDEX(Scorecards!$A$46:$A$53,MATCH(MIN(IF(Scorecards!$C$46:$C$53="Y",W46:W53,10)),IF(Scorecards!$C$46:$C$53="Y",W46:W53,10),0)))</f>
        <v/>
      </c>
      <c r="X54" s="27" t="str">
        <f t="array" ref="X54">IF(OR(SUM(IF(IF(Scorecards!$C$46:$C$53="Y", X46:X53, 10)=MIN(IF(Scorecards!$C$46:$C$53="Y", X46:X53, 10)), 1, 0)) &gt; 1, MIN(IF(Scorecards!$C$46:$C$53="Y", X46:X53, 10)) &gt; X45), "", INDEX(Scorecards!$A$46:$A$53,MATCH(MIN(IF(Scorecards!$C$46:$C$53="Y",X46:X53,10)),IF(Scorecards!$C$46:$C$53="Y",X46:X53,10),0)))</f>
        <v>SR</v>
      </c>
      <c r="Y54" s="27"/>
      <c r="Z54" s="27"/>
      <c r="AA54" s="27">
        <f>18-COUNTBLANK(G54:X54)</f>
        <v>12</v>
      </c>
      <c r="AB54" s="42">
        <f>IF(AA54 = 0, 0, C54/AA54)</f>
        <v>2.083333333</v>
      </c>
    </row>
    <row r="55" ht="12.75" customHeight="1">
      <c r="A55" s="14"/>
      <c r="B55" s="14"/>
      <c r="C55" s="14"/>
      <c r="D55" s="14"/>
      <c r="E55" s="14"/>
      <c r="F55" s="26" t="s">
        <v>15</v>
      </c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14"/>
      <c r="Z55" s="14"/>
      <c r="AA55" s="27">
        <f>COUNTA(J55,M55,T55,R55)</f>
        <v>0</v>
      </c>
      <c r="AB55" s="42">
        <f>IF(AA55 = 0, 0, D54/AA55)</f>
        <v>0</v>
      </c>
    </row>
  </sheetData>
  <mergeCells count="4">
    <mergeCell ref="F1:Z1"/>
    <mergeCell ref="F15:Z15"/>
    <mergeCell ref="F29:Z29"/>
    <mergeCell ref="F43:Z43"/>
  </mergeCells>
  <conditionalFormatting sqref="G13:X13 G27:X27 G41:X41 G55:X55">
    <cfRule type="expression" dxfId="0" priority="1">
      <formula>G3&lt;&gt;3</formula>
    </cfRule>
  </conditionalFormatting>
  <conditionalFormatting sqref="G41:X41">
    <cfRule type="expression" dxfId="1" priority="2">
      <formula>G31&lt;&gt;3</formula>
    </cfRule>
  </conditionalFormatting>
  <conditionalFormatting sqref="G55:X55">
    <cfRule type="expression" dxfId="1" priority="3">
      <formula>G45&lt;&gt;3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hidden="1" min="1" max="1" width="0.14"/>
    <col customWidth="1" min="2" max="2" width="12.71"/>
    <col customWidth="1" min="3" max="12" width="8.86"/>
    <col customWidth="1" min="13" max="13" width="4.43"/>
    <col customWidth="1" min="14" max="14" width="2.0"/>
    <col customWidth="1" min="15" max="15" width="11.71"/>
    <col customWidth="1" min="16" max="16" width="2.0"/>
    <col customWidth="1" min="17" max="17" width="10.71"/>
    <col customWidth="1" min="18" max="18" width="10.29"/>
    <col customWidth="1" min="19" max="19" width="12.0"/>
    <col customWidth="1" min="20" max="20" width="11.0"/>
    <col customWidth="1" min="21" max="21" width="14.57"/>
    <col customWidth="1" min="22" max="22" width="12.0"/>
    <col customWidth="1" min="23" max="27" width="8.71"/>
  </cols>
  <sheetData>
    <row r="1" ht="12.75" customHeight="1">
      <c r="A1" s="14"/>
      <c r="B1" s="46" t="s">
        <v>12</v>
      </c>
      <c r="C1" s="47" t="str">
        <f>Scorecards!F1</f>
        <v>THE GRANDE</v>
      </c>
      <c r="D1" s="48"/>
      <c r="E1" s="47" t="str">
        <f>Scorecards!F15</f>
        <v>CASCADES</v>
      </c>
      <c r="F1" s="48"/>
      <c r="G1" s="47" t="str">
        <f>Scorecards!F29</f>
        <v>CALDERONE</v>
      </c>
      <c r="H1" s="48"/>
      <c r="I1" s="47" t="str">
        <f>Scorecards!F43</f>
        <v>CALDERONE</v>
      </c>
      <c r="J1" s="48"/>
      <c r="K1" s="47" t="s">
        <v>10</v>
      </c>
      <c r="L1" s="48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12.75" customHeight="1">
      <c r="A2" s="14"/>
      <c r="B2" s="49"/>
      <c r="C2" s="29" t="s">
        <v>30</v>
      </c>
      <c r="D2" s="29" t="s">
        <v>11</v>
      </c>
      <c r="E2" s="29" t="s">
        <v>30</v>
      </c>
      <c r="F2" s="29" t="s">
        <v>11</v>
      </c>
      <c r="G2" s="29" t="s">
        <v>30</v>
      </c>
      <c r="H2" s="29" t="s">
        <v>11</v>
      </c>
      <c r="I2" s="29" t="s">
        <v>30</v>
      </c>
      <c r="J2" s="29" t="s">
        <v>11</v>
      </c>
      <c r="K2" s="50" t="s">
        <v>30</v>
      </c>
      <c r="L2" s="50" t="s">
        <v>11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12.75" customHeight="1">
      <c r="A3" s="14">
        <f t="shared" ref="A3:A8" si="1">RANK(L3,L$3:L$8,1)+COUNTIF($L$3:L3,L3)-1</f>
        <v>5</v>
      </c>
      <c r="B3" s="50" t="s">
        <v>31</v>
      </c>
      <c r="C3" s="36">
        <f>Scorecards!AA4</f>
        <v>83</v>
      </c>
      <c r="D3" s="36">
        <f>Scorecards!AB4</f>
        <v>75</v>
      </c>
      <c r="E3" s="36" t="str">
        <f>Scorecards!AA18</f>
        <v/>
      </c>
      <c r="F3" s="36" t="str">
        <f>Scorecards!AB18</f>
        <v/>
      </c>
      <c r="G3" s="36" t="str">
        <f>Scorecards!AA32</f>
        <v/>
      </c>
      <c r="H3" s="36" t="str">
        <f>Scorecards!AB32</f>
        <v/>
      </c>
      <c r="I3" s="36" t="str">
        <f>Scorecards!AA46</f>
        <v/>
      </c>
      <c r="J3" s="36" t="str">
        <f>Scorecards!AB46</f>
        <v/>
      </c>
      <c r="K3" s="51">
        <v>9999.0</v>
      </c>
      <c r="L3" s="52">
        <v>9999.0</v>
      </c>
      <c r="M3" s="14"/>
      <c r="N3" s="14">
        <f t="shared" ref="N3:N8" si="3">RANK(L3,$L$3:$L$8,1)+COUNTIF($L$3:L3,L3)-1</f>
        <v>5</v>
      </c>
      <c r="O3" s="14" t="str">
        <f t="shared" ref="O3:O8" si="4">INDEX($B$3:$N$8,MATCH(N3,$N$3:$N$8,0),1)</f>
        <v>Aaron Jensen</v>
      </c>
      <c r="P3" s="14">
        <f t="shared" ref="P3:P8" si="5">RANK(L3,$L$3:$L$8,1)</f>
        <v>5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2.75" customHeight="1">
      <c r="A4" s="14">
        <f t="shared" si="1"/>
        <v>2</v>
      </c>
      <c r="B4" s="50" t="s">
        <v>32</v>
      </c>
      <c r="C4" s="36">
        <f>Scorecards!AA5</f>
        <v>88</v>
      </c>
      <c r="D4" s="36">
        <f>Scorecards!AB5</f>
        <v>70</v>
      </c>
      <c r="E4" s="36">
        <f>Scorecards!AA19</f>
        <v>96</v>
      </c>
      <c r="F4" s="36">
        <f>Scorecards!AB19</f>
        <v>78</v>
      </c>
      <c r="G4" s="36">
        <f>Scorecards!AA33</f>
        <v>86</v>
      </c>
      <c r="H4" s="36">
        <f>Scorecards!AB33</f>
        <v>68</v>
      </c>
      <c r="I4" s="36">
        <f>Scorecards!AA47</f>
        <v>92</v>
      </c>
      <c r="J4" s="36">
        <f>Scorecards!AB47</f>
        <v>74</v>
      </c>
      <c r="K4" s="53">
        <f t="shared" ref="K4:L4" si="2">SUM(C4,E4,G4,I4)</f>
        <v>362</v>
      </c>
      <c r="L4" s="54">
        <f t="shared" si="2"/>
        <v>290</v>
      </c>
      <c r="M4" s="14"/>
      <c r="N4" s="14">
        <f t="shared" si="3"/>
        <v>2</v>
      </c>
      <c r="O4" s="14" t="str">
        <f t="shared" si="4"/>
        <v>Bob Bergeron</v>
      </c>
      <c r="P4" s="14">
        <f t="shared" si="5"/>
        <v>2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2.75" customHeight="1">
      <c r="A5" s="14">
        <f t="shared" si="1"/>
        <v>1</v>
      </c>
      <c r="B5" s="55" t="s">
        <v>33</v>
      </c>
      <c r="C5" s="36">
        <f>Scorecards!AA6</f>
        <v>84</v>
      </c>
      <c r="D5" s="36">
        <f>Scorecards!AB6</f>
        <v>69</v>
      </c>
      <c r="E5" s="36">
        <f>Scorecards!AA20</f>
        <v>86</v>
      </c>
      <c r="F5" s="36">
        <f>Scorecards!AB20</f>
        <v>71</v>
      </c>
      <c r="G5" s="36">
        <f>Scorecards!AA34</f>
        <v>89</v>
      </c>
      <c r="H5" s="36">
        <f>Scorecards!AB34</f>
        <v>74</v>
      </c>
      <c r="I5" s="36">
        <f>Scorecards!AA48</f>
        <v>85</v>
      </c>
      <c r="J5" s="36">
        <f>Scorecards!AB48</f>
        <v>70</v>
      </c>
      <c r="K5" s="53">
        <f t="shared" ref="K5:L5" si="6">SUM(C5,E5,G5,I5)</f>
        <v>344</v>
      </c>
      <c r="L5" s="54">
        <f t="shared" si="6"/>
        <v>284</v>
      </c>
      <c r="M5" s="14"/>
      <c r="N5" s="14">
        <f t="shared" si="3"/>
        <v>1</v>
      </c>
      <c r="O5" s="14" t="str">
        <f t="shared" si="4"/>
        <v>Brian Kelley</v>
      </c>
      <c r="P5" s="14">
        <f t="shared" si="5"/>
        <v>1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2.75" customHeight="1">
      <c r="A6" s="14">
        <f t="shared" si="1"/>
        <v>4</v>
      </c>
      <c r="B6" s="50" t="s">
        <v>34</v>
      </c>
      <c r="C6" s="36">
        <f>Scorecards!AA7</f>
        <v>96</v>
      </c>
      <c r="D6" s="36">
        <f>Scorecards!AB7</f>
        <v>78</v>
      </c>
      <c r="E6" s="36">
        <f>Scorecards!AA21</f>
        <v>87</v>
      </c>
      <c r="F6" s="36">
        <f>Scorecards!AB21</f>
        <v>69</v>
      </c>
      <c r="G6" s="36">
        <f>Scorecards!AA35</f>
        <v>106</v>
      </c>
      <c r="H6" s="36">
        <f>Scorecards!AB35</f>
        <v>88</v>
      </c>
      <c r="I6" s="36">
        <f>Scorecards!AA49</f>
        <v>94</v>
      </c>
      <c r="J6" s="36">
        <f>Scorecards!AB49</f>
        <v>76</v>
      </c>
      <c r="K6" s="53">
        <f t="shared" ref="K6:L6" si="7">SUM(C6,E6,G6,I6)</f>
        <v>383</v>
      </c>
      <c r="L6" s="54">
        <f t="shared" si="7"/>
        <v>311</v>
      </c>
      <c r="M6" s="14"/>
      <c r="N6" s="14">
        <f t="shared" si="3"/>
        <v>4</v>
      </c>
      <c r="O6" s="14" t="str">
        <f t="shared" si="4"/>
        <v>Eric Olson</v>
      </c>
      <c r="P6" s="14">
        <f t="shared" si="5"/>
        <v>4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12.75" customHeight="1">
      <c r="A7" s="14">
        <f t="shared" si="1"/>
        <v>3</v>
      </c>
      <c r="B7" s="50" t="s">
        <v>35</v>
      </c>
      <c r="C7" s="36">
        <f>Scorecards!AA8</f>
        <v>73</v>
      </c>
      <c r="D7" s="36">
        <f>Scorecards!AB8</f>
        <v>65</v>
      </c>
      <c r="E7" s="36">
        <f>Scorecards!AA22</f>
        <v>86</v>
      </c>
      <c r="F7" s="36">
        <f>Scorecards!AB22</f>
        <v>78</v>
      </c>
      <c r="G7" s="36">
        <f>Scorecards!AA36</f>
        <v>84</v>
      </c>
      <c r="H7" s="36">
        <f>Scorecards!AB36</f>
        <v>76</v>
      </c>
      <c r="I7" s="36">
        <f>Scorecards!AA50</f>
        <v>80</v>
      </c>
      <c r="J7" s="36">
        <f>Scorecards!AB50</f>
        <v>72</v>
      </c>
      <c r="K7" s="53">
        <f t="shared" ref="K7:L7" si="8">SUM(C7,E7,G7,I7)</f>
        <v>323</v>
      </c>
      <c r="L7" s="54">
        <f t="shared" si="8"/>
        <v>291</v>
      </c>
      <c r="M7" s="14"/>
      <c r="N7" s="14">
        <f t="shared" si="3"/>
        <v>3</v>
      </c>
      <c r="O7" s="14" t="str">
        <f t="shared" si="4"/>
        <v>Scott Rhoades</v>
      </c>
      <c r="P7" s="14">
        <f t="shared" si="5"/>
        <v>3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12.75" customHeight="1">
      <c r="A8" s="14">
        <f t="shared" si="1"/>
        <v>6</v>
      </c>
      <c r="B8" s="50" t="s">
        <v>36</v>
      </c>
      <c r="C8" s="36" t="str">
        <f>Scorecards!AA9</f>
        <v/>
      </c>
      <c r="D8" s="36" t="str">
        <f>Scorecards!AB9</f>
        <v/>
      </c>
      <c r="E8" s="36" t="str">
        <f>Scorecards!AA23</f>
        <v/>
      </c>
      <c r="F8" s="36" t="str">
        <f>Scorecards!AB23</f>
        <v/>
      </c>
      <c r="G8" s="36" t="str">
        <f>Scorecards!AA37</f>
        <v/>
      </c>
      <c r="H8" s="36" t="str">
        <f>Scorecards!AB37</f>
        <v/>
      </c>
      <c r="I8" s="36" t="str">
        <f>Scorecards!AA51</f>
        <v/>
      </c>
      <c r="J8" s="36" t="str">
        <f>Scorecards!AB51</f>
        <v/>
      </c>
      <c r="K8" s="53">
        <v>9999.0</v>
      </c>
      <c r="L8" s="54">
        <v>9999.0</v>
      </c>
      <c r="M8" s="14"/>
      <c r="N8" s="14">
        <f t="shared" si="3"/>
        <v>6</v>
      </c>
      <c r="O8" s="14" t="str">
        <f t="shared" si="4"/>
        <v>Matt Vigo</v>
      </c>
      <c r="P8" s="14">
        <f t="shared" si="5"/>
        <v>5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12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12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12.75" customHeight="1">
      <c r="A11" s="14"/>
      <c r="B11" s="14"/>
      <c r="C11" s="14"/>
      <c r="D11" s="14"/>
      <c r="E11" s="14"/>
      <c r="F11" s="56"/>
      <c r="G11" s="56"/>
      <c r="H11" s="14"/>
      <c r="I11" s="14"/>
      <c r="J11" s="57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ht="12.75" customHeight="1">
      <c r="A12" s="14"/>
      <c r="B12" s="14"/>
      <c r="C12" s="14"/>
      <c r="D12" s="14"/>
      <c r="E12" s="14"/>
      <c r="F12" s="56"/>
      <c r="G12" s="56"/>
      <c r="H12" s="14"/>
      <c r="I12" s="14"/>
      <c r="J12" s="57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ht="12.75" customHeight="1">
      <c r="A13" s="14"/>
      <c r="B13" s="14"/>
      <c r="C13" s="14"/>
      <c r="D13" s="14"/>
      <c r="E13" s="14"/>
      <c r="F13" s="56"/>
      <c r="G13" s="56"/>
      <c r="H13" s="14"/>
      <c r="I13" s="14"/>
      <c r="J13" s="5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ht="12.75" customHeight="1">
      <c r="A14" s="14"/>
      <c r="B14" s="14"/>
      <c r="C14" s="14"/>
      <c r="D14" s="14"/>
      <c r="E14" s="14"/>
      <c r="F14" s="56"/>
      <c r="G14" s="56"/>
      <c r="H14" s="14"/>
      <c r="I14" s="14"/>
      <c r="J14" s="57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12.75" customHeight="1">
      <c r="A15" s="14"/>
      <c r="B15" s="14"/>
      <c r="C15" s="14"/>
      <c r="D15" s="14"/>
      <c r="E15" s="14"/>
      <c r="F15" s="56"/>
      <c r="G15" s="56"/>
      <c r="H15" s="14"/>
      <c r="I15" s="14"/>
      <c r="J15" s="57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12.75" customHeight="1">
      <c r="A16" s="14"/>
      <c r="B16" s="14"/>
      <c r="C16" s="14"/>
      <c r="D16" s="14"/>
      <c r="E16" s="14"/>
      <c r="F16" s="56"/>
      <c r="G16" s="56"/>
      <c r="H16" s="14"/>
      <c r="I16" s="14"/>
      <c r="J16" s="5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ht="12.75" customHeight="1">
      <c r="A17" s="14"/>
      <c r="B17" s="14"/>
      <c r="C17" s="14"/>
      <c r="D17" s="14"/>
      <c r="E17" s="14"/>
      <c r="F17" s="56"/>
      <c r="G17" s="56"/>
      <c r="H17" s="14"/>
      <c r="I17" s="14"/>
      <c r="J17" s="5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ht="12.75" customHeight="1">
      <c r="A18" s="14"/>
      <c r="B18" s="14"/>
      <c r="C18" s="14"/>
      <c r="D18" s="14"/>
      <c r="E18" s="14"/>
      <c r="F18" s="56"/>
      <c r="G18" s="56"/>
      <c r="H18" s="14"/>
      <c r="I18" s="14"/>
      <c r="J18" s="5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ht="12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12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2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2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2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2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2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2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2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2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2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2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2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2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mergeCells count="6">
    <mergeCell ref="B1:B2"/>
    <mergeCell ref="C1:D1"/>
    <mergeCell ref="E1:F1"/>
    <mergeCell ref="G1:H1"/>
    <mergeCell ref="I1:J1"/>
    <mergeCell ref="K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0"/>
    <col customWidth="1" min="2" max="15" width="9.86"/>
    <col customWidth="1" min="16" max="16" width="7.43"/>
  </cols>
  <sheetData>
    <row r="1">
      <c r="A1" s="58"/>
      <c r="B1" s="59" t="s">
        <v>37</v>
      </c>
      <c r="C1" s="16"/>
      <c r="D1" s="16"/>
      <c r="E1" s="16"/>
      <c r="F1" s="16"/>
      <c r="G1" s="16"/>
      <c r="H1" s="48"/>
      <c r="I1" s="59" t="s">
        <v>38</v>
      </c>
      <c r="J1" s="16"/>
      <c r="K1" s="16"/>
      <c r="L1" s="16"/>
      <c r="M1" s="16"/>
      <c r="N1" s="16"/>
      <c r="O1" s="16"/>
      <c r="P1" s="60" t="s">
        <v>39</v>
      </c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58"/>
      <c r="B2" s="61" t="s">
        <v>18</v>
      </c>
      <c r="C2" s="61" t="s">
        <v>21</v>
      </c>
      <c r="D2" s="61" t="s">
        <v>22</v>
      </c>
      <c r="E2" s="61" t="s">
        <v>23</v>
      </c>
      <c r="F2" s="61" t="s">
        <v>24</v>
      </c>
      <c r="G2" s="61" t="s">
        <v>25</v>
      </c>
      <c r="H2" s="61" t="s">
        <v>40</v>
      </c>
      <c r="I2" s="61" t="s">
        <v>18</v>
      </c>
      <c r="J2" s="61" t="s">
        <v>21</v>
      </c>
      <c r="K2" s="61" t="s">
        <v>22</v>
      </c>
      <c r="L2" s="61" t="s">
        <v>23</v>
      </c>
      <c r="M2" s="61" t="s">
        <v>24</v>
      </c>
      <c r="N2" s="61" t="s">
        <v>25</v>
      </c>
      <c r="O2" s="61" t="s">
        <v>41</v>
      </c>
      <c r="P2" s="62">
        <f>sum(P3:P8)</f>
        <v>190</v>
      </c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>
      <c r="A3" s="63" t="s">
        <v>31</v>
      </c>
      <c r="B3" s="64">
        <v>9.0</v>
      </c>
      <c r="C3" s="64">
        <v>1.0</v>
      </c>
      <c r="D3" s="64">
        <v>3.0</v>
      </c>
      <c r="E3" s="64">
        <v>1.0</v>
      </c>
      <c r="F3" s="64">
        <v>6.0</v>
      </c>
      <c r="G3" s="64"/>
      <c r="H3" s="65">
        <f t="shared" ref="H3:H8" si="1">sum(B3:F3)</f>
        <v>20</v>
      </c>
      <c r="I3" s="64"/>
      <c r="J3" s="64"/>
      <c r="K3" s="64">
        <v>8.0</v>
      </c>
      <c r="L3" s="64">
        <v>4.0</v>
      </c>
      <c r="M3" s="64">
        <v>8.0</v>
      </c>
      <c r="N3" s="64"/>
      <c r="O3" s="66">
        <f t="shared" ref="O3:O8" si="2">sum(I3:N3)</f>
        <v>20</v>
      </c>
      <c r="P3" s="62">
        <f t="shared" ref="P3:P8" si="3">H3+O3</f>
        <v>40</v>
      </c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>
      <c r="A4" s="63" t="s">
        <v>32</v>
      </c>
      <c r="B4" s="64">
        <v>9.0</v>
      </c>
      <c r="C4" s="64">
        <v>1.0</v>
      </c>
      <c r="D4" s="64">
        <v>4.0</v>
      </c>
      <c r="E4" s="64">
        <v>2.0</v>
      </c>
      <c r="F4" s="64">
        <v>4.0</v>
      </c>
      <c r="G4" s="64"/>
      <c r="H4" s="65">
        <f t="shared" si="1"/>
        <v>20</v>
      </c>
      <c r="I4" s="67"/>
      <c r="J4" s="67"/>
      <c r="K4" s="64">
        <v>10.0</v>
      </c>
      <c r="L4" s="67"/>
      <c r="M4" s="64">
        <v>10.0</v>
      </c>
      <c r="N4" s="67"/>
      <c r="O4" s="66">
        <f t="shared" si="2"/>
        <v>20</v>
      </c>
      <c r="P4" s="62">
        <f t="shared" si="3"/>
        <v>40</v>
      </c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>
      <c r="A5" s="68" t="s">
        <v>33</v>
      </c>
      <c r="B5" s="64">
        <v>5.0</v>
      </c>
      <c r="C5" s="67"/>
      <c r="D5" s="64">
        <v>10.0</v>
      </c>
      <c r="E5" s="67"/>
      <c r="F5" s="64">
        <v>5.0</v>
      </c>
      <c r="G5" s="64"/>
      <c r="H5" s="65">
        <f t="shared" si="1"/>
        <v>20</v>
      </c>
      <c r="I5" s="67"/>
      <c r="J5" s="67"/>
      <c r="K5" s="64">
        <v>10.0</v>
      </c>
      <c r="L5" s="67"/>
      <c r="M5" s="64">
        <v>10.0</v>
      </c>
      <c r="N5" s="67"/>
      <c r="O5" s="66">
        <f t="shared" si="2"/>
        <v>20</v>
      </c>
      <c r="P5" s="62">
        <f t="shared" si="3"/>
        <v>40</v>
      </c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>
      <c r="A6" s="63" t="s">
        <v>34</v>
      </c>
      <c r="B6" s="64">
        <v>5.0</v>
      </c>
      <c r="C6" s="67"/>
      <c r="D6" s="64">
        <v>5.0</v>
      </c>
      <c r="E6" s="64">
        <v>3.0</v>
      </c>
      <c r="F6" s="64">
        <v>7.0</v>
      </c>
      <c r="G6" s="64"/>
      <c r="H6" s="65">
        <f t="shared" si="1"/>
        <v>20</v>
      </c>
      <c r="I6" s="64">
        <v>0.5</v>
      </c>
      <c r="J6" s="64">
        <v>5.0</v>
      </c>
      <c r="K6" s="64">
        <v>2.0</v>
      </c>
      <c r="L6" s="67"/>
      <c r="M6" s="64">
        <v>2.0</v>
      </c>
      <c r="N6" s="64">
        <v>0.5</v>
      </c>
      <c r="O6" s="66">
        <f t="shared" si="2"/>
        <v>10</v>
      </c>
      <c r="P6" s="62">
        <f t="shared" si="3"/>
        <v>30</v>
      </c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>
      <c r="A7" s="63" t="s">
        <v>35</v>
      </c>
      <c r="B7" s="64"/>
      <c r="C7" s="67"/>
      <c r="D7" s="67"/>
      <c r="E7" s="67"/>
      <c r="F7" s="64">
        <v>20.0</v>
      </c>
      <c r="G7" s="64"/>
      <c r="H7" s="65">
        <f t="shared" si="1"/>
        <v>20</v>
      </c>
      <c r="I7" s="67"/>
      <c r="J7" s="67"/>
      <c r="K7" s="67"/>
      <c r="L7" s="67"/>
      <c r="M7" s="67"/>
      <c r="N7" s="67"/>
      <c r="O7" s="66">
        <f t="shared" si="2"/>
        <v>0</v>
      </c>
      <c r="P7" s="62">
        <f t="shared" si="3"/>
        <v>20</v>
      </c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>
      <c r="A8" s="63" t="s">
        <v>36</v>
      </c>
      <c r="B8" s="67"/>
      <c r="C8" s="67"/>
      <c r="D8" s="67"/>
      <c r="E8" s="67"/>
      <c r="F8" s="67"/>
      <c r="G8" s="64"/>
      <c r="H8" s="65">
        <f t="shared" si="1"/>
        <v>0</v>
      </c>
      <c r="I8" s="67"/>
      <c r="J8" s="67"/>
      <c r="K8" s="64">
        <v>15.0</v>
      </c>
      <c r="L8" s="64">
        <v>5.0</v>
      </c>
      <c r="M8" s="67"/>
      <c r="N8" s="67"/>
      <c r="O8" s="69">
        <f t="shared" si="2"/>
        <v>20</v>
      </c>
      <c r="P8" s="62">
        <f t="shared" si="3"/>
        <v>20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>
      <c r="A9" s="60"/>
      <c r="B9" s="70" t="str">
        <f t="shared" ref="B9:G9" si="4">if($A$13=B2,(sum(B3:B8)+(sum(I3:I8)/2)),"")</f>
        <v/>
      </c>
      <c r="C9" s="70" t="str">
        <f t="shared" si="4"/>
        <v/>
      </c>
      <c r="D9" s="70">
        <f t="shared" si="4"/>
        <v>44.5</v>
      </c>
      <c r="E9" s="70" t="str">
        <f t="shared" si="4"/>
        <v/>
      </c>
      <c r="F9" s="70" t="str">
        <f t="shared" si="4"/>
        <v/>
      </c>
      <c r="G9" s="70" t="str">
        <f t="shared" si="4"/>
        <v/>
      </c>
      <c r="H9" s="70"/>
      <c r="I9" s="70"/>
      <c r="J9" s="70"/>
      <c r="K9" s="70"/>
      <c r="L9" s="70"/>
      <c r="M9" s="70"/>
      <c r="N9" s="70"/>
      <c r="O9" s="70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>
      <c r="A10" s="58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>
      <c r="A11" s="58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>
      <c r="A12" s="71" t="s">
        <v>42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>
      <c r="A13" s="71" t="s">
        <v>22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>
      <c r="A14" s="58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>
      <c r="A15" s="72" t="s">
        <v>43</v>
      </c>
      <c r="B15" s="64">
        <v>100.0</v>
      </c>
      <c r="C15" s="64"/>
      <c r="D15" s="64" t="s">
        <v>44</v>
      </c>
      <c r="E15" s="64">
        <v>90.0</v>
      </c>
      <c r="F15" s="73"/>
      <c r="G15" s="73"/>
      <c r="H15" s="70"/>
      <c r="I15" s="70"/>
      <c r="J15" s="70"/>
      <c r="K15" s="70"/>
      <c r="L15" s="70"/>
      <c r="M15" s="70"/>
      <c r="N15" s="70"/>
      <c r="O15" s="70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>
      <c r="A16" s="72" t="s">
        <v>45</v>
      </c>
      <c r="B16" s="64">
        <v>22.0</v>
      </c>
      <c r="C16" s="64"/>
      <c r="D16" s="64" t="s">
        <v>46</v>
      </c>
      <c r="E16" s="64">
        <f>sum(K3:K8)</f>
        <v>45</v>
      </c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>
      <c r="A17" s="72" t="s">
        <v>47</v>
      </c>
      <c r="B17" s="74">
        <f>B15/B16</f>
        <v>4.545454545</v>
      </c>
      <c r="C17" s="64"/>
      <c r="D17" s="64" t="s">
        <v>47</v>
      </c>
      <c r="E17" s="75">
        <f>E15/E16</f>
        <v>2</v>
      </c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</row>
    <row r="18">
      <c r="A18" s="33" t="s">
        <v>31</v>
      </c>
      <c r="B18" s="64">
        <v>3.0</v>
      </c>
      <c r="C18" s="74">
        <f t="shared" ref="C18:C23" si="5">B18*$B$17</f>
        <v>13.63636364</v>
      </c>
      <c r="D18" s="64">
        <v>8.0</v>
      </c>
      <c r="E18" s="74">
        <f t="shared" ref="E18:E23" si="6">D18*$E$17</f>
        <v>16</v>
      </c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</row>
    <row r="19">
      <c r="A19" s="33" t="s">
        <v>32</v>
      </c>
      <c r="B19" s="64">
        <v>4.0</v>
      </c>
      <c r="C19" s="74">
        <f t="shared" si="5"/>
        <v>18.18181818</v>
      </c>
      <c r="D19" s="64">
        <v>10.0</v>
      </c>
      <c r="E19" s="74">
        <f t="shared" si="6"/>
        <v>20</v>
      </c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</row>
    <row r="20">
      <c r="A20" s="76" t="s">
        <v>33</v>
      </c>
      <c r="B20" s="64">
        <v>10.0</v>
      </c>
      <c r="C20" s="74">
        <f t="shared" si="5"/>
        <v>45.45454545</v>
      </c>
      <c r="D20" s="64">
        <v>10.0</v>
      </c>
      <c r="E20" s="74">
        <f t="shared" si="6"/>
        <v>20</v>
      </c>
      <c r="F20" s="73"/>
      <c r="G20" s="70"/>
      <c r="H20" s="70"/>
      <c r="I20" s="70"/>
      <c r="J20" s="70"/>
      <c r="K20" s="70"/>
      <c r="L20" s="70"/>
      <c r="M20" s="70"/>
      <c r="N20" s="70"/>
      <c r="O20" s="70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</row>
    <row r="21">
      <c r="A21" s="33" t="s">
        <v>34</v>
      </c>
      <c r="B21" s="64">
        <v>5.0</v>
      </c>
      <c r="C21" s="74">
        <f t="shared" si="5"/>
        <v>22.72727273</v>
      </c>
      <c r="D21" s="64">
        <v>2.0</v>
      </c>
      <c r="E21" s="74">
        <f t="shared" si="6"/>
        <v>4</v>
      </c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>
      <c r="A22" s="33" t="s">
        <v>35</v>
      </c>
      <c r="B22" s="67"/>
      <c r="C22" s="74">
        <f t="shared" si="5"/>
        <v>0</v>
      </c>
      <c r="D22" s="67"/>
      <c r="E22" s="74">
        <f t="shared" si="6"/>
        <v>0</v>
      </c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>
      <c r="A23" s="33" t="s">
        <v>36</v>
      </c>
      <c r="B23" s="67"/>
      <c r="C23" s="74">
        <f t="shared" si="5"/>
        <v>0</v>
      </c>
      <c r="D23" s="64">
        <v>15.0</v>
      </c>
      <c r="E23" s="74">
        <f t="shared" si="6"/>
        <v>30</v>
      </c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>
      <c r="A24" s="58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>
      <c r="A25" s="63" t="s">
        <v>31</v>
      </c>
      <c r="B25" s="77">
        <f t="shared" ref="B25:B30" si="7">C18+E18</f>
        <v>29.63636364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>
      <c r="A26" s="63" t="s">
        <v>32</v>
      </c>
      <c r="B26" s="77">
        <f t="shared" si="7"/>
        <v>38.18181818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>
      <c r="A27" s="68" t="s">
        <v>33</v>
      </c>
      <c r="B27" s="77">
        <f t="shared" si="7"/>
        <v>65.45454545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>
      <c r="A28" s="63" t="s">
        <v>34</v>
      </c>
      <c r="B28" s="77">
        <f t="shared" si="7"/>
        <v>26.72727273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>
      <c r="A29" s="63" t="s">
        <v>35</v>
      </c>
      <c r="B29" s="77">
        <f t="shared" si="7"/>
        <v>0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>
      <c r="A30" s="63" t="s">
        <v>36</v>
      </c>
      <c r="B30" s="77">
        <f t="shared" si="7"/>
        <v>30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>
      <c r="A31" s="58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>
      <c r="A32" s="58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>
      <c r="A33" s="58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>
      <c r="A34" s="58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>
      <c r="A35" s="58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>
      <c r="A36" s="58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>
      <c r="A37" s="58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>
      <c r="A38" s="58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>
      <c r="A39" s="58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>
      <c r="A40" s="58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</row>
    <row r="41">
      <c r="A41" s="58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</row>
    <row r="42">
      <c r="A42" s="58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</row>
    <row r="43">
      <c r="A43" s="58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</row>
    <row r="44">
      <c r="A44" s="58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>
      <c r="A45" s="58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</row>
    <row r="46">
      <c r="A46" s="58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</row>
    <row r="47">
      <c r="A47" s="58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</row>
    <row r="48">
      <c r="A48" s="58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</row>
    <row r="49">
      <c r="A49" s="58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</row>
    <row r="50">
      <c r="A50" s="58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</row>
    <row r="51">
      <c r="A51" s="58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>
      <c r="A52" s="58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</row>
    <row r="53">
      <c r="A53" s="58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</row>
    <row r="54">
      <c r="A54" s="58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</row>
    <row r="55">
      <c r="A55" s="58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>
      <c r="A56" s="58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</row>
    <row r="57">
      <c r="A57" s="58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</row>
    <row r="58">
      <c r="A58" s="58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</row>
    <row r="59">
      <c r="A59" s="58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</row>
    <row r="60">
      <c r="A60" s="58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</row>
    <row r="61">
      <c r="A61" s="58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</row>
    <row r="62">
      <c r="A62" s="58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</row>
    <row r="63">
      <c r="A63" s="58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</row>
    <row r="64">
      <c r="A64" s="58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</row>
    <row r="65">
      <c r="A65" s="58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</row>
    <row r="66">
      <c r="A66" s="58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</row>
    <row r="67">
      <c r="A67" s="58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</row>
    <row r="68">
      <c r="A68" s="58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</row>
    <row r="69">
      <c r="A69" s="58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</row>
    <row r="70">
      <c r="A70" s="58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</row>
    <row r="71">
      <c r="A71" s="58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</row>
    <row r="72">
      <c r="A72" s="58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</row>
    <row r="73">
      <c r="A73" s="58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</row>
    <row r="74">
      <c r="A74" s="58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</row>
    <row r="75">
      <c r="A75" s="58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</row>
    <row r="76">
      <c r="A76" s="58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</row>
    <row r="77">
      <c r="A77" s="58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</row>
    <row r="78">
      <c r="A78" s="58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</row>
    <row r="79">
      <c r="A79" s="58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</row>
    <row r="80">
      <c r="A80" s="58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</row>
    <row r="81">
      <c r="A81" s="58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</row>
    <row r="82">
      <c r="A82" s="58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>
      <c r="A83" s="58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</row>
    <row r="84">
      <c r="A84" s="58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>
      <c r="A85" s="58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>
      <c r="A86" s="58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</row>
    <row r="87">
      <c r="A87" s="58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</row>
    <row r="88">
      <c r="A88" s="58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</row>
    <row r="89">
      <c r="A89" s="58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</row>
    <row r="90">
      <c r="A90" s="58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</row>
    <row r="91">
      <c r="A91" s="58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</row>
    <row r="92">
      <c r="A92" s="58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</row>
    <row r="93">
      <c r="A93" s="58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</row>
    <row r="94">
      <c r="A94" s="58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</row>
    <row r="95">
      <c r="A95" s="58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</row>
    <row r="96">
      <c r="A96" s="58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</row>
    <row r="97">
      <c r="A97" s="58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</row>
    <row r="98">
      <c r="A98" s="58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</row>
    <row r="99">
      <c r="A99" s="58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</row>
    <row r="100">
      <c r="A100" s="58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</row>
    <row r="101">
      <c r="A101" s="58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</row>
    <row r="102">
      <c r="A102" s="58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</row>
    <row r="103">
      <c r="A103" s="58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</row>
    <row r="104">
      <c r="A104" s="58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</row>
    <row r="105">
      <c r="A105" s="58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</row>
    <row r="106">
      <c r="A106" s="58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</row>
    <row r="107">
      <c r="A107" s="58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</row>
    <row r="108">
      <c r="A108" s="58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</row>
    <row r="109">
      <c r="A109" s="58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</row>
    <row r="110">
      <c r="A110" s="58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</row>
    <row r="111">
      <c r="A111" s="58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</row>
    <row r="112">
      <c r="A112" s="58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</row>
    <row r="113">
      <c r="A113" s="58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</row>
    <row r="114">
      <c r="A114" s="58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</row>
    <row r="115">
      <c r="A115" s="58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</row>
    <row r="116">
      <c r="A116" s="58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</row>
    <row r="117">
      <c r="A117" s="58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</row>
    <row r="118">
      <c r="A118" s="58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</row>
    <row r="119">
      <c r="A119" s="58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</row>
    <row r="120">
      <c r="A120" s="58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</row>
    <row r="121">
      <c r="A121" s="58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</row>
    <row r="122">
      <c r="A122" s="58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</row>
    <row r="123">
      <c r="A123" s="58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</row>
    <row r="124">
      <c r="A124" s="58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</row>
    <row r="125">
      <c r="A125" s="58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</row>
    <row r="126">
      <c r="A126" s="58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</row>
    <row r="127">
      <c r="A127" s="58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</row>
    <row r="128">
      <c r="A128" s="58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</row>
    <row r="129">
      <c r="A129" s="58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</row>
    <row r="130">
      <c r="A130" s="58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</row>
    <row r="131">
      <c r="A131" s="58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</row>
    <row r="132">
      <c r="A132" s="58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</row>
    <row r="133">
      <c r="A133" s="58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</row>
    <row r="134">
      <c r="A134" s="58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</row>
    <row r="135">
      <c r="A135" s="58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</row>
    <row r="136">
      <c r="A136" s="58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</row>
    <row r="137">
      <c r="A137" s="58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</row>
    <row r="138">
      <c r="A138" s="58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</row>
    <row r="139">
      <c r="A139" s="58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</row>
    <row r="140">
      <c r="A140" s="58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</row>
    <row r="141">
      <c r="A141" s="58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</row>
    <row r="142">
      <c r="A142" s="58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</row>
    <row r="143">
      <c r="A143" s="58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</row>
    <row r="144">
      <c r="A144" s="58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</row>
    <row r="145">
      <c r="A145" s="58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</row>
    <row r="146">
      <c r="A146" s="58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</row>
    <row r="147">
      <c r="A147" s="58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</row>
    <row r="148">
      <c r="A148" s="58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</row>
    <row r="149">
      <c r="A149" s="58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</row>
    <row r="150">
      <c r="A150" s="58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</row>
    <row r="151">
      <c r="A151" s="58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</row>
    <row r="152">
      <c r="A152" s="58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</row>
    <row r="153">
      <c r="A153" s="58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</row>
    <row r="154">
      <c r="A154" s="58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</row>
    <row r="155">
      <c r="A155" s="58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</row>
    <row r="156">
      <c r="A156" s="58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</row>
    <row r="157">
      <c r="A157" s="58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</row>
    <row r="158">
      <c r="A158" s="58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</row>
    <row r="159">
      <c r="A159" s="58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</row>
    <row r="160">
      <c r="A160" s="58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</row>
    <row r="161">
      <c r="A161" s="58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</row>
    <row r="162">
      <c r="A162" s="58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</row>
    <row r="163">
      <c r="A163" s="58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</row>
    <row r="164">
      <c r="A164" s="58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</row>
    <row r="165">
      <c r="A165" s="58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</row>
    <row r="166">
      <c r="A166" s="58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</row>
    <row r="167">
      <c r="A167" s="58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</row>
    <row r="168">
      <c r="A168" s="58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</row>
    <row r="169">
      <c r="A169" s="58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</row>
    <row r="170">
      <c r="A170" s="58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</row>
    <row r="171">
      <c r="A171" s="58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</row>
    <row r="172">
      <c r="A172" s="58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</row>
    <row r="173">
      <c r="A173" s="58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</row>
    <row r="174">
      <c r="A174" s="58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</row>
    <row r="175">
      <c r="A175" s="58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</row>
    <row r="176">
      <c r="A176" s="58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</row>
    <row r="177">
      <c r="A177" s="58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</row>
    <row r="178">
      <c r="A178" s="58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</row>
    <row r="179">
      <c r="A179" s="58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</row>
    <row r="180">
      <c r="A180" s="58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</row>
    <row r="181">
      <c r="A181" s="58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</row>
    <row r="182">
      <c r="A182" s="58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</row>
    <row r="183">
      <c r="A183" s="58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</row>
    <row r="184">
      <c r="A184" s="58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</row>
    <row r="185">
      <c r="A185" s="58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</row>
    <row r="186">
      <c r="A186" s="58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</row>
    <row r="187">
      <c r="A187" s="58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</row>
    <row r="188">
      <c r="A188" s="58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</row>
    <row r="189">
      <c r="A189" s="58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</row>
    <row r="190">
      <c r="A190" s="58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</row>
    <row r="191">
      <c r="A191" s="58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</row>
    <row r="192">
      <c r="A192" s="58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</row>
    <row r="193">
      <c r="A193" s="58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</row>
    <row r="194">
      <c r="A194" s="58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</row>
    <row r="195">
      <c r="A195" s="58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</row>
    <row r="196">
      <c r="A196" s="58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</row>
    <row r="197">
      <c r="A197" s="58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</row>
    <row r="198">
      <c r="A198" s="58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</row>
    <row r="199">
      <c r="A199" s="58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</row>
    <row r="200">
      <c r="A200" s="58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</row>
    <row r="201">
      <c r="A201" s="58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</row>
    <row r="202">
      <c r="A202" s="58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</row>
    <row r="203">
      <c r="A203" s="58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</row>
    <row r="204">
      <c r="A204" s="58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</row>
    <row r="205">
      <c r="A205" s="58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</row>
    <row r="206">
      <c r="A206" s="58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</row>
    <row r="207">
      <c r="A207" s="58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</row>
    <row r="208">
      <c r="A208" s="58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</row>
    <row r="209">
      <c r="A209" s="58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</row>
    <row r="210">
      <c r="A210" s="58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</row>
    <row r="211">
      <c r="A211" s="58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</row>
    <row r="212">
      <c r="A212" s="58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</row>
    <row r="213">
      <c r="A213" s="58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</row>
    <row r="214">
      <c r="A214" s="58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</row>
    <row r="215">
      <c r="A215" s="58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</row>
    <row r="216">
      <c r="A216" s="58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</row>
    <row r="217">
      <c r="A217" s="58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</row>
    <row r="218">
      <c r="A218" s="58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</row>
    <row r="219">
      <c r="A219" s="58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</row>
    <row r="220">
      <c r="A220" s="58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</row>
    <row r="221">
      <c r="A221" s="58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</row>
    <row r="222">
      <c r="A222" s="58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</row>
    <row r="223">
      <c r="A223" s="58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</row>
    <row r="224">
      <c r="A224" s="58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</row>
    <row r="225">
      <c r="A225" s="58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</row>
    <row r="226">
      <c r="A226" s="58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</row>
    <row r="227">
      <c r="A227" s="58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</row>
    <row r="228">
      <c r="A228" s="58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</row>
    <row r="229">
      <c r="A229" s="58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</row>
    <row r="230">
      <c r="A230" s="58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</row>
    <row r="231">
      <c r="A231" s="58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</row>
    <row r="232">
      <c r="A232" s="58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</row>
    <row r="233">
      <c r="A233" s="58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</row>
    <row r="234">
      <c r="A234" s="58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</row>
    <row r="235">
      <c r="A235" s="58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</row>
    <row r="236">
      <c r="A236" s="58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</row>
    <row r="237">
      <c r="A237" s="58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</row>
    <row r="238">
      <c r="A238" s="58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</row>
    <row r="239">
      <c r="A239" s="58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</row>
    <row r="240">
      <c r="A240" s="58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</row>
    <row r="241">
      <c r="A241" s="58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</row>
    <row r="242">
      <c r="A242" s="58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</row>
    <row r="243">
      <c r="A243" s="58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</row>
    <row r="244">
      <c r="A244" s="58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</row>
    <row r="245">
      <c r="A245" s="58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</row>
    <row r="246">
      <c r="A246" s="58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</row>
    <row r="247">
      <c r="A247" s="58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</row>
    <row r="248">
      <c r="A248" s="58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</row>
    <row r="249">
      <c r="A249" s="58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</row>
    <row r="250">
      <c r="A250" s="58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</row>
    <row r="251">
      <c r="A251" s="58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</row>
    <row r="252">
      <c r="A252" s="58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</row>
    <row r="253">
      <c r="A253" s="58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</row>
    <row r="254">
      <c r="A254" s="58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</row>
    <row r="255">
      <c r="A255" s="58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</row>
    <row r="256">
      <c r="A256" s="58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</row>
    <row r="257">
      <c r="A257" s="58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</row>
    <row r="258">
      <c r="A258" s="58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</row>
    <row r="259">
      <c r="A259" s="58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</row>
    <row r="260">
      <c r="A260" s="58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</row>
    <row r="261">
      <c r="A261" s="58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</row>
    <row r="262">
      <c r="A262" s="58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</row>
    <row r="263">
      <c r="A263" s="58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</row>
    <row r="264">
      <c r="A264" s="58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</row>
    <row r="265">
      <c r="A265" s="58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</row>
    <row r="266">
      <c r="A266" s="58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</row>
    <row r="267">
      <c r="A267" s="58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</row>
    <row r="268">
      <c r="A268" s="58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</row>
    <row r="269">
      <c r="A269" s="58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</row>
    <row r="270">
      <c r="A270" s="58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</row>
    <row r="271">
      <c r="A271" s="58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</row>
    <row r="272">
      <c r="A272" s="58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</row>
    <row r="273">
      <c r="A273" s="58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</row>
    <row r="274">
      <c r="A274" s="58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</row>
    <row r="275">
      <c r="A275" s="58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</row>
    <row r="276">
      <c r="A276" s="58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</row>
    <row r="277">
      <c r="A277" s="58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</row>
    <row r="278">
      <c r="A278" s="58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</row>
    <row r="279">
      <c r="A279" s="58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</row>
    <row r="280">
      <c r="A280" s="58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</row>
    <row r="281">
      <c r="A281" s="58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</row>
    <row r="282">
      <c r="A282" s="58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</row>
    <row r="283">
      <c r="A283" s="58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</row>
    <row r="284">
      <c r="A284" s="58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</row>
    <row r="285">
      <c r="A285" s="58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</row>
    <row r="286">
      <c r="A286" s="58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</row>
    <row r="287">
      <c r="A287" s="58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</row>
    <row r="288">
      <c r="A288" s="58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</row>
    <row r="289">
      <c r="A289" s="58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</row>
    <row r="290">
      <c r="A290" s="58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</row>
    <row r="291">
      <c r="A291" s="58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</row>
    <row r="292">
      <c r="A292" s="58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</row>
    <row r="293">
      <c r="A293" s="58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</row>
    <row r="294">
      <c r="A294" s="58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</row>
    <row r="295">
      <c r="A295" s="58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</row>
    <row r="296">
      <c r="A296" s="58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</row>
    <row r="297">
      <c r="A297" s="58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</row>
    <row r="298">
      <c r="A298" s="58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</row>
    <row r="299">
      <c r="A299" s="58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</row>
    <row r="300">
      <c r="A300" s="58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</row>
    <row r="301">
      <c r="A301" s="58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</row>
    <row r="302">
      <c r="A302" s="58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</row>
    <row r="303">
      <c r="A303" s="58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</row>
    <row r="304">
      <c r="A304" s="58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</row>
    <row r="305">
      <c r="A305" s="58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</row>
    <row r="306">
      <c r="A306" s="58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</row>
    <row r="307">
      <c r="A307" s="58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</row>
    <row r="308">
      <c r="A308" s="58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</row>
    <row r="309">
      <c r="A309" s="58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</row>
    <row r="310">
      <c r="A310" s="58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</row>
    <row r="311">
      <c r="A311" s="58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</row>
    <row r="312">
      <c r="A312" s="58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</row>
    <row r="313">
      <c r="A313" s="58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</row>
    <row r="314">
      <c r="A314" s="58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</row>
    <row r="315">
      <c r="A315" s="58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</row>
    <row r="316">
      <c r="A316" s="58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</row>
    <row r="317">
      <c r="A317" s="58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</row>
    <row r="318">
      <c r="A318" s="58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</row>
    <row r="319">
      <c r="A319" s="58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</row>
    <row r="320">
      <c r="A320" s="58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</row>
    <row r="321">
      <c r="A321" s="58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</row>
    <row r="322">
      <c r="A322" s="58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</row>
    <row r="323">
      <c r="A323" s="58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</row>
    <row r="324">
      <c r="A324" s="58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</row>
    <row r="325">
      <c r="A325" s="58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</row>
    <row r="326">
      <c r="A326" s="58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</row>
    <row r="327">
      <c r="A327" s="58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</row>
    <row r="328">
      <c r="A328" s="58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</row>
    <row r="329">
      <c r="A329" s="58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</row>
    <row r="330">
      <c r="A330" s="58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</row>
    <row r="331">
      <c r="A331" s="58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</row>
    <row r="332">
      <c r="A332" s="58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</row>
    <row r="333">
      <c r="A333" s="58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</row>
    <row r="334">
      <c r="A334" s="58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</row>
    <row r="335">
      <c r="A335" s="58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</row>
    <row r="336">
      <c r="A336" s="58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</row>
    <row r="337">
      <c r="A337" s="58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</row>
    <row r="338">
      <c r="A338" s="58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</row>
    <row r="339">
      <c r="A339" s="58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</row>
    <row r="340">
      <c r="A340" s="58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</row>
    <row r="341">
      <c r="A341" s="58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</row>
    <row r="342">
      <c r="A342" s="58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</row>
    <row r="343">
      <c r="A343" s="58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</row>
    <row r="344">
      <c r="A344" s="58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</row>
    <row r="345">
      <c r="A345" s="58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</row>
    <row r="346">
      <c r="A346" s="58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</row>
    <row r="347">
      <c r="A347" s="58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</row>
    <row r="348">
      <c r="A348" s="58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</row>
    <row r="349">
      <c r="A349" s="58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</row>
    <row r="350">
      <c r="A350" s="58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</row>
    <row r="351">
      <c r="A351" s="58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</row>
    <row r="352">
      <c r="A352" s="58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</row>
    <row r="353">
      <c r="A353" s="58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</row>
    <row r="354">
      <c r="A354" s="58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</row>
    <row r="355">
      <c r="A355" s="58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</row>
    <row r="356">
      <c r="A356" s="58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</row>
    <row r="357">
      <c r="A357" s="58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</row>
    <row r="358">
      <c r="A358" s="58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</row>
    <row r="359">
      <c r="A359" s="58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</row>
    <row r="360">
      <c r="A360" s="58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</row>
    <row r="361">
      <c r="A361" s="58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</row>
    <row r="362">
      <c r="A362" s="58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</row>
    <row r="363">
      <c r="A363" s="58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</row>
    <row r="364">
      <c r="A364" s="58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</row>
    <row r="365">
      <c r="A365" s="58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</row>
    <row r="366">
      <c r="A366" s="58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</row>
    <row r="367">
      <c r="A367" s="58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</row>
    <row r="368">
      <c r="A368" s="58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</row>
    <row r="369">
      <c r="A369" s="58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</row>
    <row r="370">
      <c r="A370" s="58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</row>
    <row r="371">
      <c r="A371" s="58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</row>
    <row r="372">
      <c r="A372" s="58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</row>
    <row r="373">
      <c r="A373" s="58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</row>
    <row r="374">
      <c r="A374" s="58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</row>
    <row r="375">
      <c r="A375" s="58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</row>
    <row r="376">
      <c r="A376" s="58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</row>
    <row r="377">
      <c r="A377" s="58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</row>
    <row r="378">
      <c r="A378" s="58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</row>
    <row r="379">
      <c r="A379" s="58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</row>
    <row r="380">
      <c r="A380" s="58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</row>
    <row r="381">
      <c r="A381" s="58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</row>
    <row r="382">
      <c r="A382" s="58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</row>
    <row r="383">
      <c r="A383" s="58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</row>
    <row r="384">
      <c r="A384" s="58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</row>
    <row r="385">
      <c r="A385" s="58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</row>
    <row r="386">
      <c r="A386" s="58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</row>
    <row r="387">
      <c r="A387" s="58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</row>
    <row r="388">
      <c r="A388" s="58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</row>
    <row r="389">
      <c r="A389" s="58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</row>
    <row r="390">
      <c r="A390" s="58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</row>
    <row r="391">
      <c r="A391" s="58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</row>
    <row r="392">
      <c r="A392" s="58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</row>
    <row r="393">
      <c r="A393" s="58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</row>
    <row r="394">
      <c r="A394" s="58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</row>
    <row r="395">
      <c r="A395" s="58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</row>
    <row r="396">
      <c r="A396" s="58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</row>
    <row r="397">
      <c r="A397" s="58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</row>
    <row r="398">
      <c r="A398" s="58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</row>
    <row r="399">
      <c r="A399" s="58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</row>
    <row r="400">
      <c r="A400" s="58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</row>
    <row r="401">
      <c r="A401" s="58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</row>
    <row r="402">
      <c r="A402" s="58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</row>
    <row r="403">
      <c r="A403" s="58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</row>
    <row r="404">
      <c r="A404" s="58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</row>
    <row r="405">
      <c r="A405" s="58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</row>
    <row r="406">
      <c r="A406" s="58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</row>
    <row r="407">
      <c r="A407" s="58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</row>
    <row r="408">
      <c r="A408" s="58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</row>
    <row r="409">
      <c r="A409" s="58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</row>
    <row r="410">
      <c r="A410" s="58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</row>
    <row r="411">
      <c r="A411" s="58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</row>
    <row r="412">
      <c r="A412" s="58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</row>
    <row r="413">
      <c r="A413" s="58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</row>
    <row r="414">
      <c r="A414" s="58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</row>
    <row r="415">
      <c r="A415" s="58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</row>
    <row r="416">
      <c r="A416" s="58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</row>
    <row r="417">
      <c r="A417" s="58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</row>
    <row r="418">
      <c r="A418" s="58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</row>
    <row r="419">
      <c r="A419" s="58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</row>
    <row r="420">
      <c r="A420" s="58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</row>
    <row r="421">
      <c r="A421" s="58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</row>
    <row r="422">
      <c r="A422" s="58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</row>
    <row r="423">
      <c r="A423" s="58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</row>
    <row r="424">
      <c r="A424" s="58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</row>
    <row r="425">
      <c r="A425" s="58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</row>
    <row r="426">
      <c r="A426" s="58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</row>
    <row r="427">
      <c r="A427" s="58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</row>
    <row r="428">
      <c r="A428" s="58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</row>
    <row r="429">
      <c r="A429" s="58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</row>
    <row r="430">
      <c r="A430" s="58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</row>
    <row r="431">
      <c r="A431" s="58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</row>
    <row r="432">
      <c r="A432" s="58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</row>
    <row r="433">
      <c r="A433" s="58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</row>
    <row r="434">
      <c r="A434" s="58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</row>
    <row r="435">
      <c r="A435" s="58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</row>
    <row r="436">
      <c r="A436" s="58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</row>
    <row r="437">
      <c r="A437" s="58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</row>
    <row r="438">
      <c r="A438" s="58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</row>
    <row r="439">
      <c r="A439" s="58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</row>
    <row r="440">
      <c r="A440" s="58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</row>
    <row r="441">
      <c r="A441" s="58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</row>
    <row r="442">
      <c r="A442" s="58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</row>
    <row r="443">
      <c r="A443" s="58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</row>
    <row r="444">
      <c r="A444" s="58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</row>
    <row r="445">
      <c r="A445" s="58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</row>
    <row r="446">
      <c r="A446" s="58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</row>
    <row r="447">
      <c r="A447" s="58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</row>
    <row r="448">
      <c r="A448" s="58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</row>
    <row r="449">
      <c r="A449" s="58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</row>
    <row r="450">
      <c r="A450" s="58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</row>
    <row r="451">
      <c r="A451" s="58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</row>
    <row r="452">
      <c r="A452" s="58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</row>
    <row r="453">
      <c r="A453" s="58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</row>
    <row r="454">
      <c r="A454" s="58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</row>
    <row r="455">
      <c r="A455" s="58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</row>
    <row r="456">
      <c r="A456" s="58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</row>
    <row r="457">
      <c r="A457" s="58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</row>
    <row r="458">
      <c r="A458" s="58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</row>
    <row r="459">
      <c r="A459" s="58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</row>
    <row r="460">
      <c r="A460" s="58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</row>
    <row r="461">
      <c r="A461" s="58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</row>
    <row r="462">
      <c r="A462" s="58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</row>
    <row r="463">
      <c r="A463" s="58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</row>
    <row r="464">
      <c r="A464" s="58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</row>
    <row r="465">
      <c r="A465" s="58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</row>
    <row r="466">
      <c r="A466" s="58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</row>
    <row r="467">
      <c r="A467" s="58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</row>
    <row r="468">
      <c r="A468" s="58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</row>
    <row r="469">
      <c r="A469" s="58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</row>
    <row r="470">
      <c r="A470" s="58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</row>
    <row r="471">
      <c r="A471" s="58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</row>
    <row r="472">
      <c r="A472" s="58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</row>
    <row r="473">
      <c r="A473" s="58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</row>
    <row r="474">
      <c r="A474" s="58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</row>
    <row r="475">
      <c r="A475" s="58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</row>
    <row r="476">
      <c r="A476" s="58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</row>
    <row r="477">
      <c r="A477" s="58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</row>
    <row r="478">
      <c r="A478" s="58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</row>
    <row r="479">
      <c r="A479" s="58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</row>
    <row r="480">
      <c r="A480" s="58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</row>
    <row r="481">
      <c r="A481" s="58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</row>
    <row r="482">
      <c r="A482" s="58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</row>
    <row r="483">
      <c r="A483" s="58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</row>
    <row r="484">
      <c r="A484" s="58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</row>
    <row r="485">
      <c r="A485" s="58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</row>
    <row r="486">
      <c r="A486" s="58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</row>
    <row r="487">
      <c r="A487" s="58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</row>
    <row r="488">
      <c r="A488" s="58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</row>
    <row r="489">
      <c r="A489" s="58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</row>
    <row r="490">
      <c r="A490" s="58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</row>
    <row r="491">
      <c r="A491" s="58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</row>
    <row r="492">
      <c r="A492" s="58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</row>
    <row r="493">
      <c r="A493" s="58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</row>
    <row r="494">
      <c r="A494" s="58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</row>
    <row r="495">
      <c r="A495" s="58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</row>
    <row r="496">
      <c r="A496" s="58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</row>
    <row r="497">
      <c r="A497" s="58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</row>
    <row r="498">
      <c r="A498" s="58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</row>
    <row r="499">
      <c r="A499" s="58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</row>
    <row r="500">
      <c r="A500" s="58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</row>
    <row r="501">
      <c r="A501" s="58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</row>
    <row r="502">
      <c r="A502" s="58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</row>
    <row r="503">
      <c r="A503" s="58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</row>
    <row r="504">
      <c r="A504" s="58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</row>
    <row r="505">
      <c r="A505" s="58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</row>
    <row r="506">
      <c r="A506" s="58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</row>
    <row r="507">
      <c r="A507" s="58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</row>
    <row r="508">
      <c r="A508" s="58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</row>
    <row r="509">
      <c r="A509" s="58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</row>
    <row r="510">
      <c r="A510" s="58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</row>
    <row r="511">
      <c r="A511" s="58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</row>
    <row r="512">
      <c r="A512" s="58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</row>
    <row r="513">
      <c r="A513" s="58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</row>
    <row r="514">
      <c r="A514" s="58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</row>
    <row r="515">
      <c r="A515" s="58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</row>
    <row r="516">
      <c r="A516" s="58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</row>
    <row r="517">
      <c r="A517" s="58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</row>
    <row r="518">
      <c r="A518" s="58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</row>
    <row r="519">
      <c r="A519" s="58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</row>
    <row r="520">
      <c r="A520" s="58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</row>
    <row r="521">
      <c r="A521" s="58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</row>
    <row r="522">
      <c r="A522" s="58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</row>
    <row r="523">
      <c r="A523" s="58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</row>
    <row r="524">
      <c r="A524" s="58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</row>
    <row r="525">
      <c r="A525" s="58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</row>
    <row r="526">
      <c r="A526" s="58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</row>
    <row r="527">
      <c r="A527" s="58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</row>
    <row r="528">
      <c r="A528" s="58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</row>
    <row r="529">
      <c r="A529" s="58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</row>
    <row r="530">
      <c r="A530" s="58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</row>
    <row r="531">
      <c r="A531" s="58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</row>
    <row r="532">
      <c r="A532" s="58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</row>
    <row r="533">
      <c r="A533" s="58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</row>
    <row r="534">
      <c r="A534" s="58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</row>
    <row r="535">
      <c r="A535" s="58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</row>
    <row r="536">
      <c r="A536" s="58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</row>
    <row r="537">
      <c r="A537" s="58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</row>
    <row r="538">
      <c r="A538" s="58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</row>
    <row r="539">
      <c r="A539" s="58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</row>
    <row r="540">
      <c r="A540" s="58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</row>
    <row r="541">
      <c r="A541" s="58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</row>
    <row r="542">
      <c r="A542" s="58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</row>
    <row r="543">
      <c r="A543" s="58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</row>
    <row r="544">
      <c r="A544" s="58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</row>
    <row r="545">
      <c r="A545" s="58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</row>
    <row r="546">
      <c r="A546" s="58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</row>
    <row r="547">
      <c r="A547" s="58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</row>
    <row r="548">
      <c r="A548" s="58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</row>
    <row r="549">
      <c r="A549" s="58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</row>
    <row r="550">
      <c r="A550" s="58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</row>
    <row r="551">
      <c r="A551" s="58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</row>
    <row r="552">
      <c r="A552" s="58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</row>
    <row r="553">
      <c r="A553" s="58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</row>
    <row r="554">
      <c r="A554" s="58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</row>
    <row r="555">
      <c r="A555" s="58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</row>
    <row r="556">
      <c r="A556" s="58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</row>
    <row r="557">
      <c r="A557" s="58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</row>
    <row r="558">
      <c r="A558" s="58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</row>
    <row r="559">
      <c r="A559" s="58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</row>
    <row r="560">
      <c r="A560" s="58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</row>
    <row r="561">
      <c r="A561" s="58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</row>
    <row r="562">
      <c r="A562" s="58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</row>
    <row r="563">
      <c r="A563" s="58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</row>
    <row r="564">
      <c r="A564" s="58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</row>
    <row r="565">
      <c r="A565" s="58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</row>
    <row r="566">
      <c r="A566" s="58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</row>
    <row r="567">
      <c r="A567" s="58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</row>
    <row r="568">
      <c r="A568" s="58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</row>
    <row r="569">
      <c r="A569" s="58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</row>
    <row r="570">
      <c r="A570" s="58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</row>
    <row r="571">
      <c r="A571" s="58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</row>
    <row r="572">
      <c r="A572" s="58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</row>
    <row r="573">
      <c r="A573" s="58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</row>
    <row r="574">
      <c r="A574" s="58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</row>
    <row r="575">
      <c r="A575" s="58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</row>
    <row r="576">
      <c r="A576" s="58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</row>
    <row r="577">
      <c r="A577" s="58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</row>
    <row r="578">
      <c r="A578" s="58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</row>
    <row r="579">
      <c r="A579" s="58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</row>
    <row r="580">
      <c r="A580" s="58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</row>
    <row r="581">
      <c r="A581" s="58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</row>
    <row r="582">
      <c r="A582" s="58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</row>
    <row r="583">
      <c r="A583" s="58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</row>
    <row r="584">
      <c r="A584" s="58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</row>
    <row r="585">
      <c r="A585" s="58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</row>
    <row r="586">
      <c r="A586" s="58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</row>
    <row r="587">
      <c r="A587" s="58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</row>
    <row r="588">
      <c r="A588" s="58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</row>
    <row r="589">
      <c r="A589" s="58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</row>
    <row r="590">
      <c r="A590" s="58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</row>
    <row r="591">
      <c r="A591" s="58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</row>
    <row r="592">
      <c r="A592" s="58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</row>
    <row r="593">
      <c r="A593" s="58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</row>
    <row r="594">
      <c r="A594" s="58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</row>
    <row r="595">
      <c r="A595" s="58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</row>
    <row r="596">
      <c r="A596" s="58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</row>
    <row r="597">
      <c r="A597" s="58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</row>
    <row r="598">
      <c r="A598" s="58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</row>
    <row r="599">
      <c r="A599" s="58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</row>
    <row r="600">
      <c r="A600" s="58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</row>
    <row r="601">
      <c r="A601" s="58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</row>
    <row r="602">
      <c r="A602" s="58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</row>
    <row r="603">
      <c r="A603" s="58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</row>
    <row r="604">
      <c r="A604" s="58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</row>
    <row r="605">
      <c r="A605" s="58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</row>
    <row r="606">
      <c r="A606" s="58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</row>
    <row r="607">
      <c r="A607" s="58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</row>
    <row r="608">
      <c r="A608" s="58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</row>
    <row r="609">
      <c r="A609" s="58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</row>
    <row r="610">
      <c r="A610" s="58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</row>
    <row r="611">
      <c r="A611" s="58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</row>
    <row r="612">
      <c r="A612" s="58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</row>
    <row r="613">
      <c r="A613" s="58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</row>
    <row r="614">
      <c r="A614" s="58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</row>
    <row r="615">
      <c r="A615" s="58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</row>
    <row r="616">
      <c r="A616" s="58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</row>
    <row r="617">
      <c r="A617" s="58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</row>
    <row r="618">
      <c r="A618" s="58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</row>
    <row r="619">
      <c r="A619" s="58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</row>
    <row r="620">
      <c r="A620" s="58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</row>
    <row r="621">
      <c r="A621" s="58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</row>
    <row r="622">
      <c r="A622" s="58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</row>
    <row r="623">
      <c r="A623" s="58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</row>
    <row r="624">
      <c r="A624" s="58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</row>
    <row r="625">
      <c r="A625" s="58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</row>
    <row r="626">
      <c r="A626" s="58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</row>
    <row r="627">
      <c r="A627" s="58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</row>
    <row r="628">
      <c r="A628" s="58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</row>
    <row r="629">
      <c r="A629" s="58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</row>
    <row r="630">
      <c r="A630" s="58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</row>
    <row r="631">
      <c r="A631" s="58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</row>
    <row r="632">
      <c r="A632" s="58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</row>
    <row r="633">
      <c r="A633" s="58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</row>
    <row r="634">
      <c r="A634" s="58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</row>
    <row r="635">
      <c r="A635" s="58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</row>
    <row r="636">
      <c r="A636" s="58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</row>
    <row r="637">
      <c r="A637" s="58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</row>
    <row r="638">
      <c r="A638" s="58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</row>
    <row r="639">
      <c r="A639" s="58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</row>
    <row r="640">
      <c r="A640" s="58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</row>
    <row r="641">
      <c r="A641" s="58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</row>
    <row r="642">
      <c r="A642" s="58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</row>
    <row r="643">
      <c r="A643" s="58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</row>
    <row r="644">
      <c r="A644" s="58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</row>
    <row r="645">
      <c r="A645" s="58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</row>
    <row r="646">
      <c r="A646" s="58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</row>
    <row r="647">
      <c r="A647" s="58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</row>
    <row r="648">
      <c r="A648" s="58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</row>
    <row r="649">
      <c r="A649" s="58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</row>
    <row r="650">
      <c r="A650" s="58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</row>
    <row r="651">
      <c r="A651" s="58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</row>
    <row r="652">
      <c r="A652" s="58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</row>
    <row r="653">
      <c r="A653" s="58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</row>
    <row r="654">
      <c r="A654" s="58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</row>
    <row r="655">
      <c r="A655" s="58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</row>
    <row r="656">
      <c r="A656" s="58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</row>
    <row r="657">
      <c r="A657" s="58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</row>
    <row r="658">
      <c r="A658" s="58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</row>
    <row r="659">
      <c r="A659" s="58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</row>
    <row r="660">
      <c r="A660" s="58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</row>
    <row r="661">
      <c r="A661" s="58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</row>
    <row r="662">
      <c r="A662" s="58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</row>
    <row r="663">
      <c r="A663" s="58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</row>
    <row r="664">
      <c r="A664" s="58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</row>
    <row r="665">
      <c r="A665" s="58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</row>
    <row r="666">
      <c r="A666" s="58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</row>
    <row r="667">
      <c r="A667" s="58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</row>
    <row r="668">
      <c r="A668" s="58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</row>
    <row r="669">
      <c r="A669" s="58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</row>
    <row r="670">
      <c r="A670" s="58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</row>
    <row r="671">
      <c r="A671" s="58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</row>
    <row r="672">
      <c r="A672" s="58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</row>
    <row r="673">
      <c r="A673" s="58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</row>
    <row r="674">
      <c r="A674" s="58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</row>
    <row r="675">
      <c r="A675" s="58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</row>
    <row r="676">
      <c r="A676" s="58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</row>
    <row r="677">
      <c r="A677" s="58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</row>
    <row r="678">
      <c r="A678" s="58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</row>
    <row r="679">
      <c r="A679" s="58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</row>
    <row r="680">
      <c r="A680" s="58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</row>
    <row r="681">
      <c r="A681" s="58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</row>
    <row r="682">
      <c r="A682" s="58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</row>
    <row r="683">
      <c r="A683" s="58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</row>
    <row r="684">
      <c r="A684" s="58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</row>
    <row r="685">
      <c r="A685" s="58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</row>
    <row r="686">
      <c r="A686" s="58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</row>
    <row r="687">
      <c r="A687" s="58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</row>
    <row r="688">
      <c r="A688" s="58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</row>
    <row r="689">
      <c r="A689" s="58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</row>
    <row r="690">
      <c r="A690" s="58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</row>
    <row r="691">
      <c r="A691" s="58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</row>
    <row r="692">
      <c r="A692" s="58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</row>
    <row r="693">
      <c r="A693" s="58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</row>
    <row r="694">
      <c r="A694" s="58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</row>
    <row r="695">
      <c r="A695" s="58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</row>
    <row r="696">
      <c r="A696" s="58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</row>
    <row r="697">
      <c r="A697" s="58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</row>
    <row r="698">
      <c r="A698" s="58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</row>
    <row r="699">
      <c r="A699" s="58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</row>
    <row r="700">
      <c r="A700" s="58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</row>
    <row r="701">
      <c r="A701" s="58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</row>
    <row r="702">
      <c r="A702" s="58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</row>
    <row r="703">
      <c r="A703" s="58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</row>
    <row r="704">
      <c r="A704" s="58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</row>
    <row r="705">
      <c r="A705" s="58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</row>
    <row r="706">
      <c r="A706" s="58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</row>
    <row r="707">
      <c r="A707" s="58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</row>
    <row r="708">
      <c r="A708" s="58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</row>
    <row r="709">
      <c r="A709" s="58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</row>
    <row r="710">
      <c r="A710" s="58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</row>
    <row r="711">
      <c r="A711" s="58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</row>
    <row r="712">
      <c r="A712" s="58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</row>
    <row r="713">
      <c r="A713" s="58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</row>
    <row r="714">
      <c r="A714" s="58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</row>
    <row r="715">
      <c r="A715" s="58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</row>
    <row r="716">
      <c r="A716" s="58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</row>
    <row r="717">
      <c r="A717" s="58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</row>
    <row r="718">
      <c r="A718" s="58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</row>
    <row r="719">
      <c r="A719" s="58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</row>
    <row r="720">
      <c r="A720" s="58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</row>
    <row r="721">
      <c r="A721" s="58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</row>
    <row r="722">
      <c r="A722" s="58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</row>
    <row r="723">
      <c r="A723" s="58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</row>
    <row r="724">
      <c r="A724" s="58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</row>
    <row r="725">
      <c r="A725" s="58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</row>
    <row r="726">
      <c r="A726" s="58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</row>
    <row r="727">
      <c r="A727" s="58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</row>
    <row r="728">
      <c r="A728" s="58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</row>
    <row r="729">
      <c r="A729" s="58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</row>
    <row r="730">
      <c r="A730" s="58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</row>
    <row r="731">
      <c r="A731" s="58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</row>
    <row r="732">
      <c r="A732" s="58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</row>
    <row r="733">
      <c r="A733" s="58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</row>
    <row r="734">
      <c r="A734" s="58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</row>
    <row r="735">
      <c r="A735" s="58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</row>
    <row r="736">
      <c r="A736" s="58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</row>
    <row r="737">
      <c r="A737" s="58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</row>
    <row r="738">
      <c r="A738" s="58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</row>
    <row r="739">
      <c r="A739" s="58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</row>
    <row r="740">
      <c r="A740" s="58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</row>
    <row r="741">
      <c r="A741" s="58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</row>
    <row r="742">
      <c r="A742" s="58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</row>
    <row r="743">
      <c r="A743" s="58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</row>
    <row r="744">
      <c r="A744" s="58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</row>
    <row r="745">
      <c r="A745" s="58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</row>
    <row r="746">
      <c r="A746" s="58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</row>
    <row r="747">
      <c r="A747" s="58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</row>
    <row r="748">
      <c r="A748" s="58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</row>
    <row r="749">
      <c r="A749" s="58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</row>
    <row r="750">
      <c r="A750" s="58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</row>
    <row r="751">
      <c r="A751" s="58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</row>
    <row r="752">
      <c r="A752" s="58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</row>
    <row r="753">
      <c r="A753" s="58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</row>
    <row r="754">
      <c r="A754" s="58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</row>
    <row r="755">
      <c r="A755" s="58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</row>
    <row r="756">
      <c r="A756" s="58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</row>
    <row r="757">
      <c r="A757" s="58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</row>
    <row r="758">
      <c r="A758" s="58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</row>
    <row r="759">
      <c r="A759" s="58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</row>
    <row r="760">
      <c r="A760" s="58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</row>
    <row r="761">
      <c r="A761" s="58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</row>
    <row r="762">
      <c r="A762" s="58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</row>
    <row r="763">
      <c r="A763" s="58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</row>
    <row r="764">
      <c r="A764" s="58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</row>
    <row r="765">
      <c r="A765" s="58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</row>
    <row r="766">
      <c r="A766" s="58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</row>
    <row r="767">
      <c r="A767" s="58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</row>
    <row r="768">
      <c r="A768" s="58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</row>
    <row r="769">
      <c r="A769" s="58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</row>
    <row r="770">
      <c r="A770" s="58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</row>
    <row r="771">
      <c r="A771" s="58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</row>
    <row r="772">
      <c r="A772" s="58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</row>
    <row r="773">
      <c r="A773" s="58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</row>
    <row r="774">
      <c r="A774" s="58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</row>
    <row r="775">
      <c r="A775" s="58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</row>
    <row r="776">
      <c r="A776" s="58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</row>
    <row r="777">
      <c r="A777" s="58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</row>
    <row r="778">
      <c r="A778" s="58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</row>
    <row r="779">
      <c r="A779" s="58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</row>
    <row r="780">
      <c r="A780" s="58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</row>
    <row r="781">
      <c r="A781" s="58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</row>
    <row r="782">
      <c r="A782" s="58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</row>
    <row r="783">
      <c r="A783" s="58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</row>
    <row r="784">
      <c r="A784" s="58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</row>
    <row r="785">
      <c r="A785" s="58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</row>
    <row r="786">
      <c r="A786" s="58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</row>
    <row r="787">
      <c r="A787" s="58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</row>
    <row r="788">
      <c r="A788" s="58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</row>
    <row r="789">
      <c r="A789" s="58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</row>
    <row r="790">
      <c r="A790" s="58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</row>
    <row r="791">
      <c r="A791" s="58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</row>
    <row r="792">
      <c r="A792" s="58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</row>
    <row r="793">
      <c r="A793" s="58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</row>
    <row r="794">
      <c r="A794" s="58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</row>
    <row r="795">
      <c r="A795" s="58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</row>
    <row r="796">
      <c r="A796" s="58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</row>
    <row r="797">
      <c r="A797" s="58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</row>
    <row r="798">
      <c r="A798" s="58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</row>
    <row r="799">
      <c r="A799" s="58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</row>
    <row r="800">
      <c r="A800" s="58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</row>
    <row r="801">
      <c r="A801" s="58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</row>
    <row r="802">
      <c r="A802" s="58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</row>
    <row r="803">
      <c r="A803" s="58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</row>
    <row r="804">
      <c r="A804" s="58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</row>
    <row r="805">
      <c r="A805" s="58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</row>
    <row r="806">
      <c r="A806" s="58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</row>
    <row r="807">
      <c r="A807" s="58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</row>
    <row r="808">
      <c r="A808" s="58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</row>
    <row r="809">
      <c r="A809" s="58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</row>
    <row r="810">
      <c r="A810" s="58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</row>
    <row r="811">
      <c r="A811" s="58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</row>
    <row r="812">
      <c r="A812" s="58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</row>
    <row r="813">
      <c r="A813" s="58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</row>
    <row r="814">
      <c r="A814" s="58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</row>
    <row r="815">
      <c r="A815" s="58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</row>
    <row r="816">
      <c r="A816" s="58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</row>
    <row r="817">
      <c r="A817" s="58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</row>
    <row r="818">
      <c r="A818" s="58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</row>
    <row r="819">
      <c r="A819" s="58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</row>
    <row r="820">
      <c r="A820" s="58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</row>
    <row r="821">
      <c r="A821" s="58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</row>
    <row r="822">
      <c r="A822" s="58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</row>
    <row r="823">
      <c r="A823" s="58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</row>
    <row r="824">
      <c r="A824" s="58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</row>
    <row r="825">
      <c r="A825" s="58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</row>
    <row r="826">
      <c r="A826" s="58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</row>
    <row r="827">
      <c r="A827" s="58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</row>
    <row r="828">
      <c r="A828" s="58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</row>
    <row r="829">
      <c r="A829" s="58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</row>
    <row r="830">
      <c r="A830" s="58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</row>
    <row r="831">
      <c r="A831" s="58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</row>
    <row r="832">
      <c r="A832" s="58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</row>
    <row r="833">
      <c r="A833" s="58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</row>
    <row r="834">
      <c r="A834" s="58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</row>
    <row r="835">
      <c r="A835" s="58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</row>
    <row r="836">
      <c r="A836" s="58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</row>
    <row r="837">
      <c r="A837" s="58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</row>
    <row r="838">
      <c r="A838" s="58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</row>
    <row r="839">
      <c r="A839" s="58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</row>
    <row r="840">
      <c r="A840" s="58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</row>
    <row r="841">
      <c r="A841" s="58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</row>
    <row r="842">
      <c r="A842" s="58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</row>
    <row r="843">
      <c r="A843" s="58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</row>
    <row r="844">
      <c r="A844" s="58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</row>
    <row r="845">
      <c r="A845" s="58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</row>
    <row r="846">
      <c r="A846" s="58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</row>
    <row r="847">
      <c r="A847" s="58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</row>
    <row r="848">
      <c r="A848" s="58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</row>
    <row r="849">
      <c r="A849" s="58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</row>
    <row r="850">
      <c r="A850" s="58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</row>
    <row r="851">
      <c r="A851" s="58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</row>
    <row r="852">
      <c r="A852" s="58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</row>
    <row r="853">
      <c r="A853" s="58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</row>
    <row r="854">
      <c r="A854" s="58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</row>
    <row r="855">
      <c r="A855" s="58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</row>
    <row r="856">
      <c r="A856" s="58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</row>
    <row r="857">
      <c r="A857" s="58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</row>
    <row r="858">
      <c r="A858" s="58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</row>
    <row r="859">
      <c r="A859" s="58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</row>
    <row r="860">
      <c r="A860" s="58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</row>
    <row r="861">
      <c r="A861" s="58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</row>
    <row r="862">
      <c r="A862" s="58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</row>
    <row r="863">
      <c r="A863" s="58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</row>
    <row r="864">
      <c r="A864" s="58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</row>
    <row r="865">
      <c r="A865" s="58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</row>
    <row r="866">
      <c r="A866" s="58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</row>
    <row r="867">
      <c r="A867" s="58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</row>
    <row r="868">
      <c r="A868" s="58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</row>
    <row r="869">
      <c r="A869" s="58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</row>
    <row r="870">
      <c r="A870" s="58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</row>
    <row r="871">
      <c r="A871" s="58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</row>
    <row r="872">
      <c r="A872" s="58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</row>
    <row r="873">
      <c r="A873" s="58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</row>
    <row r="874">
      <c r="A874" s="58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</row>
    <row r="875">
      <c r="A875" s="58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</row>
    <row r="876">
      <c r="A876" s="58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</row>
    <row r="877">
      <c r="A877" s="58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</row>
    <row r="878">
      <c r="A878" s="58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</row>
    <row r="879">
      <c r="A879" s="58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</row>
    <row r="880">
      <c r="A880" s="58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</row>
    <row r="881">
      <c r="A881" s="58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</row>
    <row r="882">
      <c r="A882" s="58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</row>
    <row r="883">
      <c r="A883" s="58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</row>
    <row r="884">
      <c r="A884" s="58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</row>
    <row r="885">
      <c r="A885" s="58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</row>
    <row r="886">
      <c r="A886" s="58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</row>
    <row r="887">
      <c r="A887" s="58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</row>
    <row r="888">
      <c r="A888" s="58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</row>
    <row r="889">
      <c r="A889" s="58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</row>
    <row r="890">
      <c r="A890" s="58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</row>
    <row r="891">
      <c r="A891" s="58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</row>
    <row r="892">
      <c r="A892" s="58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</row>
    <row r="893">
      <c r="A893" s="58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</row>
    <row r="894">
      <c r="A894" s="58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</row>
    <row r="895">
      <c r="A895" s="58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</row>
    <row r="896">
      <c r="A896" s="58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</row>
    <row r="897">
      <c r="A897" s="58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</row>
    <row r="898">
      <c r="A898" s="58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</row>
    <row r="899">
      <c r="A899" s="58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</row>
    <row r="900">
      <c r="A900" s="58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</row>
    <row r="901">
      <c r="A901" s="58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</row>
    <row r="902">
      <c r="A902" s="58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</row>
    <row r="903">
      <c r="A903" s="58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</row>
    <row r="904">
      <c r="A904" s="58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</row>
    <row r="905">
      <c r="A905" s="58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</row>
    <row r="906">
      <c r="A906" s="58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</row>
    <row r="907">
      <c r="A907" s="58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</row>
    <row r="908">
      <c r="A908" s="58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</row>
    <row r="909">
      <c r="A909" s="58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</row>
    <row r="910">
      <c r="A910" s="58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</row>
    <row r="911">
      <c r="A911" s="58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</row>
    <row r="912">
      <c r="A912" s="58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</row>
    <row r="913">
      <c r="A913" s="58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</row>
    <row r="914">
      <c r="A914" s="58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</row>
    <row r="915">
      <c r="A915" s="58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</row>
    <row r="916">
      <c r="A916" s="58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</row>
    <row r="917">
      <c r="A917" s="58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</row>
    <row r="918">
      <c r="A918" s="58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</row>
    <row r="919">
      <c r="A919" s="58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</row>
    <row r="920">
      <c r="A920" s="58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</row>
    <row r="921">
      <c r="A921" s="58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</row>
    <row r="922">
      <c r="A922" s="58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</row>
    <row r="923">
      <c r="A923" s="58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</row>
    <row r="924">
      <c r="A924" s="58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</row>
    <row r="925">
      <c r="A925" s="58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</row>
    <row r="926">
      <c r="A926" s="58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</row>
    <row r="927">
      <c r="A927" s="58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</row>
    <row r="928">
      <c r="A928" s="58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</row>
    <row r="929">
      <c r="A929" s="58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</row>
    <row r="930">
      <c r="A930" s="58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</row>
    <row r="931">
      <c r="A931" s="58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</row>
    <row r="932">
      <c r="A932" s="58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</row>
    <row r="933">
      <c r="A933" s="58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</row>
    <row r="934">
      <c r="A934" s="58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</row>
    <row r="935">
      <c r="A935" s="58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</row>
    <row r="936">
      <c r="A936" s="58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</row>
    <row r="937">
      <c r="A937" s="58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</row>
    <row r="938">
      <c r="A938" s="58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</row>
    <row r="939">
      <c r="A939" s="58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</row>
    <row r="940">
      <c r="A940" s="58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</row>
    <row r="941">
      <c r="A941" s="58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</row>
    <row r="942">
      <c r="A942" s="58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</row>
    <row r="943">
      <c r="A943" s="58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</row>
    <row r="944">
      <c r="A944" s="58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</row>
    <row r="945">
      <c r="A945" s="58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</row>
    <row r="946">
      <c r="A946" s="58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</row>
    <row r="947">
      <c r="A947" s="58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</row>
    <row r="948">
      <c r="A948" s="58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</row>
    <row r="949">
      <c r="A949" s="58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</row>
    <row r="950">
      <c r="A950" s="58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</row>
    <row r="951">
      <c r="A951" s="58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</row>
    <row r="952">
      <c r="A952" s="58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</row>
    <row r="953">
      <c r="A953" s="58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</row>
    <row r="954">
      <c r="A954" s="58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</row>
    <row r="955">
      <c r="A955" s="58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</row>
    <row r="956">
      <c r="A956" s="58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</row>
    <row r="957">
      <c r="A957" s="58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</row>
    <row r="958">
      <c r="A958" s="58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</row>
    <row r="959">
      <c r="A959" s="58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</row>
    <row r="960">
      <c r="A960" s="58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</row>
    <row r="961">
      <c r="A961" s="58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</row>
    <row r="962">
      <c r="A962" s="58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</row>
    <row r="963">
      <c r="A963" s="58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</row>
    <row r="964">
      <c r="A964" s="58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</row>
    <row r="965">
      <c r="A965" s="58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</row>
    <row r="966">
      <c r="A966" s="58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</row>
    <row r="967">
      <c r="A967" s="58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</row>
    <row r="968">
      <c r="A968" s="58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</row>
    <row r="969">
      <c r="A969" s="58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</row>
    <row r="970">
      <c r="A970" s="58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</row>
    <row r="971">
      <c r="A971" s="58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</row>
    <row r="972">
      <c r="A972" s="58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</row>
    <row r="973">
      <c r="A973" s="58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</row>
    <row r="974">
      <c r="A974" s="58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</row>
    <row r="975">
      <c r="A975" s="58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</row>
    <row r="976">
      <c r="A976" s="58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</row>
    <row r="977">
      <c r="A977" s="58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</row>
    <row r="978">
      <c r="A978" s="58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</row>
    <row r="979">
      <c r="A979" s="58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</row>
    <row r="980">
      <c r="A980" s="58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</row>
    <row r="981">
      <c r="A981" s="58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</row>
    <row r="982">
      <c r="A982" s="58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</row>
    <row r="983">
      <c r="A983" s="58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</row>
    <row r="984">
      <c r="A984" s="58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</row>
    <row r="985">
      <c r="A985" s="58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</row>
    <row r="986">
      <c r="A986" s="58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</row>
    <row r="987">
      <c r="A987" s="58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</row>
    <row r="988">
      <c r="A988" s="58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</row>
  </sheetData>
  <mergeCells count="2">
    <mergeCell ref="B1:H1"/>
    <mergeCell ref="I1:O1"/>
  </mergeCells>
  <dataValidations>
    <dataValidation type="list" allowBlank="1" showErrorMessage="1" sqref="A13">
      <formula1>Shares!$B$2:$G$2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43"/>
    <col customWidth="1" min="2" max="2" width="19.14"/>
    <col customWidth="1" min="3" max="3" width="18.43"/>
    <col customWidth="1" min="4" max="6" width="9.14"/>
    <col customWidth="1" min="7" max="26" width="8.71"/>
  </cols>
  <sheetData>
    <row r="1" ht="12.75" customHeight="1">
      <c r="A1" s="36"/>
      <c r="B1" s="20">
        <v>10.0</v>
      </c>
      <c r="C1" s="20">
        <v>0.0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2.75" customHeight="1">
      <c r="A2" s="63" t="s">
        <v>12</v>
      </c>
      <c r="B2" s="63" t="s">
        <v>48</v>
      </c>
      <c r="C2" s="63" t="s">
        <v>49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2.75" customHeight="1">
      <c r="A3" s="28" t="s">
        <v>18</v>
      </c>
      <c r="B3" s="78" t="s">
        <v>19</v>
      </c>
      <c r="C3" s="78" t="s">
        <v>19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2.75" customHeight="1">
      <c r="A4" s="32" t="s">
        <v>21</v>
      </c>
      <c r="B4" s="33" t="s">
        <v>19</v>
      </c>
      <c r="C4" s="33" t="s">
        <v>19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2.75" customHeight="1">
      <c r="A5" s="28" t="s">
        <v>22</v>
      </c>
      <c r="B5" s="78" t="s">
        <v>19</v>
      </c>
      <c r="C5" s="78" t="s">
        <v>19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2.75" customHeight="1">
      <c r="A6" s="32" t="s">
        <v>23</v>
      </c>
      <c r="B6" s="33" t="s">
        <v>19</v>
      </c>
      <c r="C6" s="33" t="s">
        <v>19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2.75" customHeight="1">
      <c r="A7" s="28" t="s">
        <v>25</v>
      </c>
      <c r="B7" s="78" t="s">
        <v>19</v>
      </c>
      <c r="C7" s="78" t="s">
        <v>19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2.75" customHeight="1">
      <c r="A8" s="32" t="s">
        <v>24</v>
      </c>
      <c r="B8" s="33" t="s">
        <v>19</v>
      </c>
      <c r="C8" s="33" t="s">
        <v>19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2.75" customHeight="1">
      <c r="A9" s="78"/>
      <c r="B9" s="78"/>
      <c r="C9" s="78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2.75" customHeight="1">
      <c r="A10" s="33"/>
      <c r="B10" s="33"/>
      <c r="C10" s="3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2.75" customHeight="1">
      <c r="A11" s="79" t="s">
        <v>50</v>
      </c>
      <c r="B11" s="80">
        <f t="shared" ref="B11:C11" si="1">COUNTIF(B3:B10,"Y") *B1</f>
        <v>60</v>
      </c>
      <c r="C11" s="80">
        <f t="shared" si="1"/>
        <v>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2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2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2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2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2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2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2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2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2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2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2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2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2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2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2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2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2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7" width="12.14"/>
    <col customWidth="1" min="8" max="8" width="18.71"/>
    <col customWidth="1" min="9" max="9" width="12.43"/>
    <col customWidth="1" min="10" max="26" width="8.71"/>
  </cols>
  <sheetData>
    <row r="1" ht="25.5" customHeight="1">
      <c r="A1" s="81" t="s">
        <v>51</v>
      </c>
      <c r="B1" s="82" t="s">
        <v>52</v>
      </c>
      <c r="C1" s="82" t="s">
        <v>53</v>
      </c>
      <c r="D1" s="82" t="s">
        <v>54</v>
      </c>
      <c r="E1" s="82" t="s">
        <v>55</v>
      </c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2.75" customHeight="1">
      <c r="A2" s="28" t="s">
        <v>18</v>
      </c>
      <c r="B2" s="78">
        <f>IF(Scorecards!E4="Y",Scores!D3, "")</f>
        <v>75</v>
      </c>
      <c r="C2" s="78" t="str">
        <f>IF(Scorecards!E18="Y",Scores!F3, "")</f>
        <v/>
      </c>
      <c r="D2" s="78" t="str">
        <f>IF(Scorecards!E32="Y",Scores!H3, "")</f>
        <v/>
      </c>
      <c r="E2" s="78" t="str">
        <f>IF(Scorecards!E46="Y",Scores!J3, "")</f>
        <v/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2.75" customHeight="1">
      <c r="A3" s="32" t="s">
        <v>21</v>
      </c>
      <c r="B3" s="33">
        <f>IF(Scorecards!E5="Y",Scores!D4, "")</f>
        <v>70</v>
      </c>
      <c r="C3" s="33">
        <f>IF(Scorecards!E19="Y",Scores!F4, "")</f>
        <v>78</v>
      </c>
      <c r="D3" s="33">
        <f>IF(Scorecards!E33="Y",Scores!H4, "")</f>
        <v>68</v>
      </c>
      <c r="E3" s="33">
        <f>IF(Scorecards!E47="Y",Scores!J4, "")</f>
        <v>74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2.75" customHeight="1">
      <c r="A4" s="28" t="s">
        <v>22</v>
      </c>
      <c r="B4" s="78">
        <f>IF(Scorecards!E6="Y",Scores!D5, "")</f>
        <v>69</v>
      </c>
      <c r="C4" s="78">
        <f>IF(Scorecards!E20="Y",Scores!F5, "")</f>
        <v>71</v>
      </c>
      <c r="D4" s="78">
        <f>IF(Scorecards!E34="Y",Scores!H5, "")</f>
        <v>74</v>
      </c>
      <c r="E4" s="78">
        <f>IF(Scorecards!E48="Y",Scores!J5, "")</f>
        <v>70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2.75" customHeight="1">
      <c r="A5" s="32" t="s">
        <v>23</v>
      </c>
      <c r="B5" s="33">
        <f>IF(Scorecards!E7="Y",Scores!D6, "")</f>
        <v>78</v>
      </c>
      <c r="C5" s="33">
        <f>IF(Scorecards!E21="Y",Scores!F6, "")</f>
        <v>69</v>
      </c>
      <c r="D5" s="33">
        <f>IF(Scorecards!E35="Y",Scores!H6, "")</f>
        <v>88</v>
      </c>
      <c r="E5" s="33">
        <f>IF(Scorecards!E49="Y",Scores!J6, "")</f>
        <v>76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2.75" customHeight="1">
      <c r="A6" s="28" t="s">
        <v>25</v>
      </c>
      <c r="B6" s="78">
        <f>IF(Scorecards!E8="Y",Scores!D7, "")</f>
        <v>65</v>
      </c>
      <c r="C6" s="78">
        <f>IF(Scorecards!E22="Y",Scores!F7, "")</f>
        <v>78</v>
      </c>
      <c r="D6" s="78">
        <f>IF(Scorecards!E36="Y",Scores!H7, "")</f>
        <v>76</v>
      </c>
      <c r="E6" s="78">
        <f>IF(Scorecards!E50="Y",Scores!J7, "")</f>
        <v>72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2.75" customHeight="1">
      <c r="A7" s="32" t="s">
        <v>24</v>
      </c>
      <c r="B7" s="33" t="str">
        <f>IF(Scorecards!E9="Y",Scores!D8, "")</f>
        <v/>
      </c>
      <c r="C7" s="33" t="str">
        <f>IF(Scorecards!E23="Y",Scores!F8, "")</f>
        <v/>
      </c>
      <c r="D7" s="33" t="str">
        <f>IF(Scorecards!E37="Y",Scores!H8, "")</f>
        <v/>
      </c>
      <c r="E7" s="33" t="str">
        <f>IF(Scorecards!E51="Y",Scores!J8, "")</f>
        <v/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2.75" customHeight="1">
      <c r="A8" s="84"/>
      <c r="B8" s="78" t="str">
        <f>IF(Scorecards!F10="Y",Scores!#REF!, "")</f>
        <v>#ERROR!</v>
      </c>
      <c r="C8" s="78" t="str">
        <f>IF(Scorecards!F24="Y",Scores!#REF!, "")</f>
        <v>#ERROR!</v>
      </c>
      <c r="D8" s="78" t="str">
        <f>IF(Scorecards!F38="Y",Scores!#REF!, "")</f>
        <v>#ERROR!</v>
      </c>
      <c r="E8" s="78" t="str">
        <f>IF(Scorecards!F52="Y",Scores!#REF!, "")</f>
        <v>#ERROR!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2.75" customHeight="1">
      <c r="A9" s="32"/>
      <c r="B9" s="33" t="str">
        <f>IF(Scorecards!F11="Y",Scores!#REF!, "")</f>
        <v>#ERROR!</v>
      </c>
      <c r="C9" s="33" t="str">
        <f>IF(Scorecards!F25="Y",Scores!#REF!, "")</f>
        <v>#ERROR!</v>
      </c>
      <c r="D9" s="33" t="str">
        <f>IF(Scorecards!F39="Y",Scores!#REF!, "")</f>
        <v>#ERROR!</v>
      </c>
      <c r="E9" s="33" t="str">
        <f>IF(Scorecards!F53="Y",Scores!#REF!, "")</f>
        <v>#ERROR!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2.75" customHeight="1">
      <c r="A10" s="85" t="s">
        <v>56</v>
      </c>
      <c r="B10" s="86">
        <f>COUNTIF(BettingScoreboard!$B$2:$B$9,MIN(BettingScoreboard!$B$2:$B$9))</f>
        <v>2</v>
      </c>
      <c r="C10" s="86">
        <f>COUNTIF(BettingScoreboard!$C$2:$C$9,MIN(BettingScoreboard!$C$2:$C$9))</f>
        <v>2</v>
      </c>
      <c r="D10" s="86">
        <f>COUNTIF(BettingScoreboard!$D$2:$D$9,MIN(BettingScoreboard!$D$2:$D$9))</f>
        <v>2</v>
      </c>
      <c r="E10" s="86">
        <f>COUNTIF(BettingScoreboard!$E$2:$E$9,MIN(BettingScoreboard!$E$2:$E$9))</f>
        <v>2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2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5.5" customHeight="1">
      <c r="A12" s="87" t="s">
        <v>48</v>
      </c>
      <c r="B12" s="48"/>
      <c r="C12" s="83"/>
      <c r="D12" s="87" t="s">
        <v>57</v>
      </c>
      <c r="E12" s="48"/>
      <c r="F12" s="83"/>
      <c r="G12" s="83"/>
      <c r="H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2.75" customHeight="1">
      <c r="A13" s="88" t="s">
        <v>12</v>
      </c>
      <c r="B13" s="89" t="s">
        <v>58</v>
      </c>
      <c r="C13" s="14"/>
      <c r="D13" s="63" t="s">
        <v>12</v>
      </c>
      <c r="E13" s="63" t="s">
        <v>58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2.75" customHeight="1">
      <c r="A14" s="28" t="s">
        <v>18</v>
      </c>
      <c r="B14" s="30">
        <f>IF(WeekendLongBets!B3="Y",MIN(Scores!D3:J3), "")</f>
        <v>75</v>
      </c>
      <c r="C14" s="14"/>
      <c r="D14" s="29" t="s">
        <v>18</v>
      </c>
      <c r="E14" s="78">
        <f>IF(WeekendLongBets!C3="Y",SUM(Scores!D3:J3),"")</f>
        <v>75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2.75" customHeight="1">
      <c r="A15" s="32" t="s">
        <v>21</v>
      </c>
      <c r="B15" s="34">
        <f>IF(WeekendLongBets!B4="Y",MIN(Scores!D4:J4), "")</f>
        <v>68</v>
      </c>
      <c r="C15" s="14"/>
      <c r="D15" s="33" t="s">
        <v>21</v>
      </c>
      <c r="E15" s="33">
        <f>IF(WeekendLongBets!C4="Y",SUM(Scores!D4:J4),"")</f>
        <v>564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2.75" customHeight="1">
      <c r="A16" s="28" t="s">
        <v>22</v>
      </c>
      <c r="B16" s="30">
        <f>IF(WeekendLongBets!B5="Y",MIN(Scores!D5:J5), "")</f>
        <v>69</v>
      </c>
      <c r="C16" s="14"/>
      <c r="D16" s="29" t="s">
        <v>22</v>
      </c>
      <c r="E16" s="78">
        <f>IF(WeekendLongBets!C5="Y",SUM(Scores!D5:J5),"")</f>
        <v>544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2.75" customHeight="1">
      <c r="A17" s="32" t="s">
        <v>23</v>
      </c>
      <c r="B17" s="34">
        <f>IF(WeekendLongBets!B6="Y",MIN(Scores!D6:J6), "")</f>
        <v>69</v>
      </c>
      <c r="C17" s="14"/>
      <c r="D17" s="33" t="s">
        <v>23</v>
      </c>
      <c r="E17" s="33">
        <f>IF(WeekendLongBets!C6="Y",SUM(Scores!D6:J6),"")</f>
        <v>598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2.75" customHeight="1">
      <c r="A18" s="28" t="s">
        <v>25</v>
      </c>
      <c r="B18" s="30">
        <f>IF(WeekendLongBets!B7="Y",MIN(Scores!D7:J7), "")</f>
        <v>65</v>
      </c>
      <c r="C18" s="14"/>
      <c r="D18" s="29" t="s">
        <v>25</v>
      </c>
      <c r="E18" s="78">
        <f>IF(WeekendLongBets!C7="Y",SUM(Scores!D7:J7),"")</f>
        <v>541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2.75" customHeight="1">
      <c r="A19" s="32" t="s">
        <v>24</v>
      </c>
      <c r="B19" s="34">
        <f>IF(WeekendLongBets!B8="Y",MIN(Scores!D8:J8), "")</f>
        <v>0</v>
      </c>
      <c r="C19" s="14"/>
      <c r="D19" s="33" t="s">
        <v>24</v>
      </c>
      <c r="E19" s="33">
        <f>IF(WeekendLongBets!C8="Y",SUM(Scores!D8:J8),"")</f>
        <v>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2.75" customHeight="1">
      <c r="A20" s="84"/>
      <c r="B20" s="30" t="str">
        <f>IF(WeekendLongBets!B9="Y",MIN(Scores!#REF!), "")</f>
        <v>#ERROR!</v>
      </c>
      <c r="C20" s="14"/>
      <c r="D20" s="78"/>
      <c r="E20" s="78" t="str">
        <f>IF(WeekendLongBets!C9="Y",SUM(Scores!#REF!),"")</f>
        <v>#ERROR!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2.75" customHeight="1">
      <c r="A21" s="32"/>
      <c r="B21" s="34" t="str">
        <f>IF(WeekendLongBets!B10="Y",MIN(Scores!#REF!), "")</f>
        <v>#ERROR!</v>
      </c>
      <c r="C21" s="14"/>
      <c r="D21" s="33"/>
      <c r="E21" s="33" t="str">
        <f>IF(WeekendLongBets!C10="Y",SUM(Scores!#REF!),"")</f>
        <v>#ERROR!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2.75" customHeight="1">
      <c r="A22" s="85" t="s">
        <v>56</v>
      </c>
      <c r="B22" s="90">
        <f>COUNTIF(BettingScoreboard!$B$14:$B$21,MIN(BettingScoreboard!$B$14:$B$21))</f>
        <v>2</v>
      </c>
      <c r="C22" s="14"/>
      <c r="D22" s="63" t="s">
        <v>56</v>
      </c>
      <c r="E22" s="63">
        <f>COUNTIF(BettingScoreboard!$E$14:$E$21,MIN(BettingScoreboard!$E$14:$E$21))</f>
        <v>2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2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25.5" customHeight="1">
      <c r="A24" s="81" t="s">
        <v>12</v>
      </c>
      <c r="B24" s="82" t="s">
        <v>59</v>
      </c>
      <c r="C24" s="82" t="s">
        <v>60</v>
      </c>
      <c r="D24" s="82" t="s">
        <v>15</v>
      </c>
      <c r="E24" s="91" t="s">
        <v>61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2.75" customHeight="1">
      <c r="A25" s="84" t="str">
        <f>Scorecards!A32</f>
        <v>AJ</v>
      </c>
      <c r="B25" s="78">
        <f>SUM(COUNTIF(Scorecards!$G$12:$X$12,BettingScoreboard!$A25),COUNTIF(Scorecards!$G$26:$X$26,BettingScoreboard!$A25),COUNTIF(Scorecards!$G$40:$X$40,BettingScoreboard!$A25),COUNTIF(Scorecards!$G$54:$X$54,BettingScoreboard!$A25))</f>
        <v>1</v>
      </c>
      <c r="C25" s="92">
        <f>SUM(COUNTIF(Scorecards!$G$12:$X$12,BettingScoreboard!$A25)*Scorecards!$AB$12,COUNTIF(Scorecards!$G$26:$X$26, BettingScoreboard!$A25)*Scorecards!$AB$26,COUNTIF(Scorecards!$G$40:$X$40,BettingScoreboard!$A25)*Scorecards!$AB$40,COUNTIF(Scorecards!$G$54:$X$54, BettingScoreboard!$A25)*Scorecards!$AB$54)</f>
        <v>2.777777778</v>
      </c>
      <c r="D25" s="78">
        <f>SUM(COUNTIF(Scorecards!$G$13:$X$13,BettingScoreboard!$A25),COUNTIF(Scorecards!$G$27:$X$27,BettingScoreboard!$A25),COUNTIF(Scorecards!$G$41:$X$41,BettingScoreboard!$A25),COUNTIF(Scorecards!$G$55:$X$55,BettingScoreboard!$A25))</f>
        <v>0</v>
      </c>
      <c r="E25" s="93">
        <f>SUM(COUNTIF(Scorecards!$G$13:$X$13,BettingScoreboard!$A25)*Scorecards!$AB$13,COUNTIF(Scorecards!$G$27:$X$27, BettingScoreboard!$A25)*Scorecards!$AB$27,COUNTIF(Scorecards!$G$41:$X$41,BettingScoreboard!$A25)*Scorecards!$AB$41,COUNTIF(Scorecards!$G$55:$X$55, BettingScoreboard!$A25)*Scorecards!$AB$55)</f>
        <v>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2.75" customHeight="1">
      <c r="A26" s="32" t="str">
        <f>Scorecards!A33</f>
        <v>BB</v>
      </c>
      <c r="B26" s="33">
        <f>SUM(COUNTIF(Scorecards!$G$12:$X$12,BettingScoreboard!$A26),COUNTIF(Scorecards!$G$26:$X$26,BettingScoreboard!$A26),COUNTIF(Scorecards!$G$40:$X$40,BettingScoreboard!$A26),COUNTIF(Scorecards!$G$54:$X$54,BettingScoreboard!$A26))</f>
        <v>5</v>
      </c>
      <c r="C26" s="94">
        <f>SUM(COUNTIF(Scorecards!$G$12:$X$12,BettingScoreboard!$A26)*Scorecards!$AB$12,COUNTIF(Scorecards!$G$26:$X$26, BettingScoreboard!$A26)*Scorecards!$AB$26,COUNTIF(Scorecards!$G$40:$X$40,BettingScoreboard!$A26)*Scorecards!$AB$40,COUNTIF(Scorecards!$G$54:$X$54, BettingScoreboard!$A26)*Scorecards!$AB$54)</f>
        <v>13.19444444</v>
      </c>
      <c r="D26" s="33">
        <f>SUM(COUNTIF(Scorecards!$G$13:$X$13,BettingScoreboard!$A26),COUNTIF(Scorecards!$G$27:$X$27,BettingScoreboard!$A26),COUNTIF(Scorecards!$G$41:$X$41,BettingScoreboard!$A26),COUNTIF(Scorecards!$G$55:$X$55,BettingScoreboard!$A26))</f>
        <v>0</v>
      </c>
      <c r="E26" s="95">
        <f>SUM(COUNTIF(Scorecards!$G$13:$X$13,BettingScoreboard!$A26)*Scorecards!$AB$13,COUNTIF(Scorecards!$G$27:$X$27, BettingScoreboard!$A26)*Scorecards!$AB$27,COUNTIF(Scorecards!$G$41:$X$41,BettingScoreboard!$A26)*Scorecards!$AB$41,COUNTIF(Scorecards!$G$55:$X$55, BettingScoreboard!$A26)*Scorecards!$AB$55)</f>
        <v>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customHeight="1">
      <c r="A27" s="84" t="str">
        <f>Scorecards!A34</f>
        <v>BK</v>
      </c>
      <c r="B27" s="78">
        <f>SUM(COUNTIF(Scorecards!$G$12:$X$12,BettingScoreboard!$A27),COUNTIF(Scorecards!$G$26:$X$26,BettingScoreboard!$A27),COUNTIF(Scorecards!$G$40:$X$40,BettingScoreboard!$A27),COUNTIF(Scorecards!$G$54:$X$54,BettingScoreboard!$A27))</f>
        <v>7</v>
      </c>
      <c r="C27" s="92">
        <f>SUM(COUNTIF(Scorecards!$G$12:$X$12,BettingScoreboard!$A27)*Scorecards!$AB$12,COUNTIF(Scorecards!$G$26:$X$26, BettingScoreboard!$A27)*Scorecards!$AB$26,COUNTIF(Scorecards!$G$40:$X$40,BettingScoreboard!$A27)*Scorecards!$AB$40,COUNTIF(Scorecards!$G$54:$X$54, BettingScoreboard!$A27)*Scorecards!$AB$54)</f>
        <v>17.5</v>
      </c>
      <c r="D27" s="78">
        <f>SUM(COUNTIF(Scorecards!$G$13:$X$13,BettingScoreboard!$A27),COUNTIF(Scorecards!$G$27:$X$27,BettingScoreboard!$A27),COUNTIF(Scorecards!$G$41:$X$41,BettingScoreboard!$A27),COUNTIF(Scorecards!$G$55:$X$55,BettingScoreboard!$A27))</f>
        <v>0</v>
      </c>
      <c r="E27" s="93">
        <f>SUM(COUNTIF(Scorecards!$G$13:$X$13,BettingScoreboard!$A27)*Scorecards!$AB$13,COUNTIF(Scorecards!$G$27:$X$27, BettingScoreboard!$A27)*Scorecards!$AB$27,COUNTIF(Scorecards!$G$41:$X$41,BettingScoreboard!$A27)*Scorecards!$AB$41,COUNTIF(Scorecards!$G$55:$X$55, BettingScoreboard!$A27)*Scorecards!$AB$55)</f>
        <v>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75" customHeight="1">
      <c r="A28" s="32" t="str">
        <f>Scorecards!A35</f>
        <v>EO</v>
      </c>
      <c r="B28" s="33">
        <f>SUM(COUNTIF(Scorecards!$G$12:$X$12,BettingScoreboard!$A28),COUNTIF(Scorecards!$G$26:$X$26,BettingScoreboard!$A28),COUNTIF(Scorecards!$G$40:$X$40,BettingScoreboard!$A28),COUNTIF(Scorecards!$G$54:$X$54,BettingScoreboard!$A28))</f>
        <v>7</v>
      </c>
      <c r="C28" s="94">
        <f>SUM(COUNTIF(Scorecards!$G$12:$X$12,BettingScoreboard!$A28)*Scorecards!$AB$12,COUNTIF(Scorecards!$G$26:$X$26, BettingScoreboard!$A28)*Scorecards!$AB$26,COUNTIF(Scorecards!$G$40:$X$40,BettingScoreboard!$A28)*Scorecards!$AB$40,COUNTIF(Scorecards!$G$54:$X$54, BettingScoreboard!$A28)*Scorecards!$AB$54)</f>
        <v>17.36111111</v>
      </c>
      <c r="D28" s="33">
        <f>SUM(COUNTIF(Scorecards!$G$13:$X$13,BettingScoreboard!$A28),COUNTIF(Scorecards!$G$27:$X$27,BettingScoreboard!$A28),COUNTIF(Scorecards!$G$41:$X$41,BettingScoreboard!$A28),COUNTIF(Scorecards!$G$55:$X$55,BettingScoreboard!$A28))</f>
        <v>0</v>
      </c>
      <c r="E28" s="95">
        <f>SUM(COUNTIF(Scorecards!$G$13:$X$13,BettingScoreboard!$A28)*Scorecards!$AB$13,COUNTIF(Scorecards!$G$27:$X$27, BettingScoreboard!$A28)*Scorecards!$AB$27,COUNTIF(Scorecards!$G$41:$X$41,BettingScoreboard!$A28)*Scorecards!$AB$41,COUNTIF(Scorecards!$G$55:$X$55, BettingScoreboard!$A28)*Scorecards!$AB$55)</f>
        <v>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2.75" customHeight="1">
      <c r="A29" s="84" t="str">
        <f>Scorecards!A36</f>
        <v>SR</v>
      </c>
      <c r="B29" s="78">
        <f>SUM(COUNTIF(Scorecards!$G$12:$X$12,BettingScoreboard!$A29),COUNTIF(Scorecards!$G$26:$X$26,BettingScoreboard!$A29),COUNTIF(Scorecards!$G$40:$X$40,BettingScoreboard!$A29),COUNTIF(Scorecards!$G$54:$X$54,BettingScoreboard!$A29))</f>
        <v>20</v>
      </c>
      <c r="C29" s="92">
        <f>SUM(COUNTIF(Scorecards!$G$12:$X$12,BettingScoreboard!$A29)*Scorecards!$AB$12,COUNTIF(Scorecards!$G$26:$X$26, BettingScoreboard!$A29)*Scorecards!$AB$26,COUNTIF(Scorecards!$G$40:$X$40,BettingScoreboard!$A29)*Scorecards!$AB$40,COUNTIF(Scorecards!$G$54:$X$54, BettingScoreboard!$A29)*Scorecards!$AB$54)</f>
        <v>49.16666667</v>
      </c>
      <c r="D29" s="78">
        <f>SUM(COUNTIF(Scorecards!$G$13:$X$13,BettingScoreboard!$A29),COUNTIF(Scorecards!$G$27:$X$27,BettingScoreboard!$A29),COUNTIF(Scorecards!$G$41:$X$41,BettingScoreboard!$A29),COUNTIF(Scorecards!$G$55:$X$55,BettingScoreboard!$A29))</f>
        <v>0</v>
      </c>
      <c r="E29" s="93">
        <f>SUM(COUNTIF(Scorecards!$G$13:$X$13,BettingScoreboard!$A29)*Scorecards!$AB$13,COUNTIF(Scorecards!$G$27:$X$27, BettingScoreboard!$A29)*Scorecards!$AB$27,COUNTIF(Scorecards!$G$41:$X$41,BettingScoreboard!$A29)*Scorecards!$AB$41,COUNTIF(Scorecards!$G$55:$X$55, BettingScoreboard!$A29)*Scorecards!$AB$55)</f>
        <v>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32" t="str">
        <f>Scorecards!A37</f>
        <v>MV</v>
      </c>
      <c r="B30" s="33">
        <f>SUM(COUNTIF(Scorecards!$G$12:$X$12,BettingScoreboard!$A30),COUNTIF(Scorecards!$G$26:$X$26,BettingScoreboard!$A30),COUNTIF(Scorecards!$G$40:$X$40,BettingScoreboard!$A30),COUNTIF(Scorecards!$G$54:$X$54,BettingScoreboard!$A30))</f>
        <v>0</v>
      </c>
      <c r="C30" s="94">
        <f>SUM(COUNTIF(Scorecards!$G$12:$X$12,BettingScoreboard!$A30)*Scorecards!$AB$12,COUNTIF(Scorecards!$G$26:$X$26, BettingScoreboard!$A30)*Scorecards!$AB$26,COUNTIF(Scorecards!$G$40:$X$40,BettingScoreboard!$A30)*Scorecards!$AB$40,COUNTIF(Scorecards!$G$54:$X$54, BettingScoreboard!$A30)*Scorecards!$AB$54)</f>
        <v>0</v>
      </c>
      <c r="D30" s="33">
        <f>SUM(COUNTIF(Scorecards!$G$13:$X$13,BettingScoreboard!$A30),COUNTIF(Scorecards!$G$27:$X$27,BettingScoreboard!$A30),COUNTIF(Scorecards!$G$41:$X$41,BettingScoreboard!$A30),COUNTIF(Scorecards!$G$55:$X$55,BettingScoreboard!$A30))</f>
        <v>0</v>
      </c>
      <c r="E30" s="95">
        <f>SUM(COUNTIF(Scorecards!$G$13:$X$13,BettingScoreboard!$A30)*Scorecards!$AB$13,COUNTIF(Scorecards!$G$27:$X$27, BettingScoreboard!$A30)*Scorecards!$AB$27,COUNTIF(Scorecards!$G$41:$X$41,BettingScoreboard!$A30)*Scorecards!$AB$41,COUNTIF(Scorecards!$G$55:$X$55, BettingScoreboard!$A30)*Scorecards!$AB$55)</f>
        <v>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2.75" customHeight="1">
      <c r="A31" s="84"/>
      <c r="B31" s="78"/>
      <c r="C31" s="92"/>
      <c r="D31" s="78"/>
      <c r="E31" s="9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customHeight="1">
      <c r="A32" s="37"/>
      <c r="B32" s="38"/>
      <c r="C32" s="96"/>
      <c r="D32" s="38"/>
      <c r="E32" s="97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3">
    <mergeCell ref="A12:B12"/>
    <mergeCell ref="D12:E12"/>
    <mergeCell ref="H12:I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57"/>
    <col customWidth="1" min="2" max="12" width="11.43"/>
    <col customWidth="1" min="13" max="13" width="14.57"/>
    <col customWidth="1" min="14" max="14" width="12.0"/>
    <col customWidth="1" min="15" max="26" width="8.71"/>
  </cols>
  <sheetData>
    <row r="1" ht="25.5" customHeight="1">
      <c r="A1" s="98" t="s">
        <v>62</v>
      </c>
      <c r="B1" s="99" t="s">
        <v>63</v>
      </c>
      <c r="C1" s="99" t="s">
        <v>59</v>
      </c>
      <c r="D1" s="99" t="s">
        <v>64</v>
      </c>
      <c r="E1" s="99" t="s">
        <v>15</v>
      </c>
      <c r="F1" s="99" t="s">
        <v>65</v>
      </c>
      <c r="G1" s="99" t="s">
        <v>66</v>
      </c>
      <c r="H1" s="99" t="s">
        <v>67</v>
      </c>
      <c r="I1" s="99" t="s">
        <v>48</v>
      </c>
      <c r="J1" s="99" t="s">
        <v>68</v>
      </c>
      <c r="K1" s="99" t="s">
        <v>57</v>
      </c>
      <c r="L1" s="100" t="s">
        <v>69</v>
      </c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ht="12.75" customHeight="1">
      <c r="A2" s="102" t="s">
        <v>31</v>
      </c>
      <c r="B2" s="103">
        <f>-1*SUM(IF(Scorecards!C4="Y",Scorecards!$C$2, 0),IF(Scorecards!C18="Y",Scorecards!$C$16,0),IF(Scorecards!C32="Y",Scorecards!$C$30,0),IF(Scorecards!C46="Y",Scorecards!$C$44,0))</f>
        <v>-20</v>
      </c>
      <c r="C2" s="103">
        <f>BettingScoreboard!C25</f>
        <v>2.777777778</v>
      </c>
      <c r="D2" s="103">
        <f>-1*SUM(IF(Scorecards!D4="Y",Scorecards!$D$2, 0),IF(Scorecards!D18="Y",Scorecards!$D$16,0),IF(Scorecards!D32="Y",Scorecards!$D$30,0),IF(Scorecards!D46="Y",Scorecards!$D$44,0))</f>
        <v>0</v>
      </c>
      <c r="E2" s="103">
        <f>BettingScoreboard!E25</f>
        <v>0</v>
      </c>
      <c r="F2" s="103">
        <f>-1*SUM(IF(Scorecards!E4="Y",Scorecards!$E$2, 0),IF(Scorecards!E18="Y",Scorecards!$E$16,0),IF(Scorecards!E32="Y",Scorecards!$E$30,0),IF(Scorecards!E46="Y",Scorecards!$E$44,0))</f>
        <v>0</v>
      </c>
      <c r="G2" s="103" t="str">
        <f>SUM(IF(BettingScoreboard!$B2=MIN(BettingScoreboard!$B$2:$B$9),Scorecards!$E$12/BettingScoreboard!$B$10),IF(BettingScoreboard!$C2=MIN(BettingScoreboard!$C$2:$C$9),Scorecards!$E$26/BettingScoreboard!$C$10), IF(BettingScoreboard!$D2=MIN(BettingScoreboard!$D$2:$D$9),Scorecards!$E$40/BettingScoreboard!$D$10),IF(BettingScoreboard!$E2=MIN(BettingScoreboard!$E$2:$E$9),Scorecards!$E$54/BettingScoreboard!$E$10))</f>
        <v>#ERROR!</v>
      </c>
      <c r="H2" s="103">
        <f>-1*IF(WeekendLongBets!B3="Y",WeekendLongBets!$B$1,0)</f>
        <v>-10</v>
      </c>
      <c r="I2" s="103" t="str">
        <f>IF(BettingScoreboard!B14=MIN(BettingScoreboard!$B$14:$B$21),WeekendLongBets!$B$11/BettingScoreboard!$B$22, 0)</f>
        <v>#ERROR!</v>
      </c>
      <c r="J2" s="103">
        <f>-1*IF(WeekendLongBets!C3="Y",WeekendLongBets!$C$1,0)</f>
        <v>0</v>
      </c>
      <c r="K2" s="103" t="str">
        <f>IF(BettingScoreboard!E14=MIN(BettingScoreboard!$E$14:$E$21),WeekendLongBets!$C$11/BettingScoreboard!$E$22, 0)</f>
        <v>#ERROR!</v>
      </c>
      <c r="L2" s="104" t="str">
        <f t="shared" ref="L2:L7" si="1">SUM(B2:K2)</f>
        <v>#ERROR!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ht="12.75" customHeight="1">
      <c r="A3" s="33" t="s">
        <v>32</v>
      </c>
      <c r="B3" s="94">
        <f>-1*SUM(IF(Scorecards!C5="Y",Scorecards!$C$2, 0),IF(Scorecards!C19="Y",Scorecards!$C$16,0),IF(Scorecards!C33="Y",Scorecards!$C$30,0),IF(Scorecards!C47="Y",Scorecards!$C$44,0))</f>
        <v>-20</v>
      </c>
      <c r="C3" s="94">
        <f>BettingScoreboard!C26</f>
        <v>13.19444444</v>
      </c>
      <c r="D3" s="94">
        <f>-1*SUM(IF(Scorecards!D5="Y",Scorecards!$D$2, 0),IF(Scorecards!D19="Y",Scorecards!$D$16,0),IF(Scorecards!D33="Y",Scorecards!$D$30,0),IF(Scorecards!D47="Y",Scorecards!$D$44,0))</f>
        <v>0</v>
      </c>
      <c r="E3" s="94">
        <f>BettingScoreboard!E26</f>
        <v>0</v>
      </c>
      <c r="F3" s="94">
        <f>-1*SUM(IF(Scorecards!E5="Y",Scorecards!$E$2, 0),IF(Scorecards!E19="Y",Scorecards!$E$16,0),IF(Scorecards!E33="Y",Scorecards!$E$30,0),IF(Scorecards!E47="Y",Scorecards!$E$44,0))</f>
        <v>0</v>
      </c>
      <c r="G3" s="94" t="str">
        <f>SUM(IF(BettingScoreboard!$B3=MIN(BettingScoreboard!$B$2:$B$9),Scorecards!$E$12/BettingScoreboard!$B$10),IF(BettingScoreboard!$C3=MIN(BettingScoreboard!$C$2:$C$9),Scorecards!$E$26/BettingScoreboard!$C$10), IF(BettingScoreboard!$D3=MIN(BettingScoreboard!$D$2:$D$9),Scorecards!$E$40/BettingScoreboard!$D$10),IF(BettingScoreboard!$E3=MIN(BettingScoreboard!$E$2:$E$9),Scorecards!$E$54/BettingScoreboard!$E$10))</f>
        <v>#ERROR!</v>
      </c>
      <c r="H3" s="94">
        <f>-1*IF(WeekendLongBets!B4="Y",WeekendLongBets!$B$1,0)</f>
        <v>-10</v>
      </c>
      <c r="I3" s="94" t="str">
        <f>IF(BettingScoreboard!B15=MIN(BettingScoreboard!$B$14:$B$21),WeekendLongBets!$B$11/BettingScoreboard!$B$22, 0)</f>
        <v>#ERROR!</v>
      </c>
      <c r="J3" s="94">
        <f>-1*IF(WeekendLongBets!C4="Y",WeekendLongBets!$C$1,0)</f>
        <v>0</v>
      </c>
      <c r="K3" s="94" t="str">
        <f>IF(BettingScoreboard!E15=MIN(BettingScoreboard!$E$14:$E$21),WeekendLongBets!$C$11/BettingScoreboard!$E$22, 0)</f>
        <v>#ERROR!</v>
      </c>
      <c r="L3" s="95" t="str">
        <f t="shared" si="1"/>
        <v>#ERROR!</v>
      </c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ht="12.75" customHeight="1">
      <c r="A4" s="102" t="s">
        <v>70</v>
      </c>
      <c r="B4" s="103">
        <f>-1*SUM(IF(Scorecards!C6="Y",Scorecards!$C$2, 0),IF(Scorecards!C20="Y",Scorecards!$C$16,0),IF(Scorecards!C34="Y",Scorecards!$C$30,0),IF(Scorecards!C48="Y",Scorecards!$C$44,0))</f>
        <v>-20</v>
      </c>
      <c r="C4" s="103">
        <f>BettingScoreboard!C27</f>
        <v>17.5</v>
      </c>
      <c r="D4" s="103">
        <f>-1*SUM(IF(Scorecards!D6="Y",Scorecards!$D$2, 0),IF(Scorecards!D20="Y",Scorecards!$D$16,0),IF(Scorecards!D34="Y",Scorecards!$D$30,0),IF(Scorecards!D48="Y",Scorecards!$D$44,0))</f>
        <v>0</v>
      </c>
      <c r="E4" s="103">
        <f>BettingScoreboard!E27</f>
        <v>0</v>
      </c>
      <c r="F4" s="103">
        <f>-1*SUM(IF(Scorecards!E6="Y",Scorecards!$E$2, 0),IF(Scorecards!E20="Y",Scorecards!$E$16,0),IF(Scorecards!E34="Y",Scorecards!$E$30,0),IF(Scorecards!E48="Y",Scorecards!$E$44,0))</f>
        <v>0</v>
      </c>
      <c r="G4" s="103" t="str">
        <f>SUM(IF(BettingScoreboard!$B4=MIN(BettingScoreboard!$B$2:$B$9),Scorecards!$E$12/BettingScoreboard!$B$10),IF(BettingScoreboard!$C4=MIN(BettingScoreboard!$C$2:$C$9),Scorecards!$E$26/BettingScoreboard!$C$10), IF(BettingScoreboard!$D4=MIN(BettingScoreboard!$D$2:$D$9),Scorecards!$E$40/BettingScoreboard!$D$10),IF(BettingScoreboard!$E4=MIN(BettingScoreboard!$E$2:$E$9),Scorecards!$E$54/BettingScoreboard!$E$10))</f>
        <v>#ERROR!</v>
      </c>
      <c r="H4" s="103">
        <f>-1*IF(WeekendLongBets!B5="Y",WeekendLongBets!$B$1,0)</f>
        <v>-10</v>
      </c>
      <c r="I4" s="103" t="str">
        <f>IF(BettingScoreboard!B16=MIN(BettingScoreboard!$B$14:$B$21),WeekendLongBets!$B$11/BettingScoreboard!$B$22, 0)</f>
        <v>#ERROR!</v>
      </c>
      <c r="J4" s="103">
        <f>-1*IF(WeekendLongBets!C5="Y",WeekendLongBets!$C$1,0)</f>
        <v>0</v>
      </c>
      <c r="K4" s="103" t="str">
        <f>IF(BettingScoreboard!E16=MIN(BettingScoreboard!$E$14:$E$21),WeekendLongBets!$C$11/BettingScoreboard!$E$22, 0)</f>
        <v>#ERROR!</v>
      </c>
      <c r="L4" s="104" t="str">
        <f t="shared" si="1"/>
        <v>#ERROR!</v>
      </c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ht="12.75" customHeight="1">
      <c r="A5" s="33" t="s">
        <v>34</v>
      </c>
      <c r="B5" s="94">
        <f>-1*SUM(IF(Scorecards!C7="Y",Scorecards!$C$2, 0),IF(Scorecards!C21="Y",Scorecards!$C$16,0),IF(Scorecards!C35="Y",Scorecards!$C$30,0),IF(Scorecards!C49="Y",Scorecards!$C$44,0))</f>
        <v>-20</v>
      </c>
      <c r="C5" s="94">
        <f>BettingScoreboard!C28</f>
        <v>17.36111111</v>
      </c>
      <c r="D5" s="94">
        <f>-1*SUM(IF(Scorecards!D7="Y",Scorecards!$D$2, 0),IF(Scorecards!D21="Y",Scorecards!$D$16,0),IF(Scorecards!D35="Y",Scorecards!$D$30,0),IF(Scorecards!D49="Y",Scorecards!$D$44,0))</f>
        <v>0</v>
      </c>
      <c r="E5" s="94">
        <f>BettingScoreboard!E28</f>
        <v>0</v>
      </c>
      <c r="F5" s="94">
        <f>-1*SUM(IF(Scorecards!E7="Y",Scorecards!$E$2, 0),IF(Scorecards!E21="Y",Scorecards!$E$16,0),IF(Scorecards!E35="Y",Scorecards!$E$30,0),IF(Scorecards!E49="Y",Scorecards!$E$44,0))</f>
        <v>0</v>
      </c>
      <c r="G5" s="94" t="str">
        <f>SUM(IF(BettingScoreboard!$B5=MIN(BettingScoreboard!$B$2:$B$9),Scorecards!$E$12/BettingScoreboard!$B$10),IF(BettingScoreboard!$C5=MIN(BettingScoreboard!$C$2:$C$9),Scorecards!$E$26/BettingScoreboard!$C$10), IF(BettingScoreboard!$D5=MIN(BettingScoreboard!$D$2:$D$9),Scorecards!$E$40/BettingScoreboard!$D$10),IF(BettingScoreboard!$E5=MIN(BettingScoreboard!$E$2:$E$9),Scorecards!$E$54/BettingScoreboard!$E$10))</f>
        <v>#ERROR!</v>
      </c>
      <c r="H5" s="94">
        <f>-1*IF(WeekendLongBets!B6="Y",WeekendLongBets!$B$1,0)</f>
        <v>-10</v>
      </c>
      <c r="I5" s="94" t="str">
        <f>IF(BettingScoreboard!B17=MIN(BettingScoreboard!$B$14:$B$21),WeekendLongBets!$B$11/BettingScoreboard!$B$22, 0)</f>
        <v>#ERROR!</v>
      </c>
      <c r="J5" s="94">
        <f>-1*IF(WeekendLongBets!C6="Y",WeekendLongBets!$C$1,0)</f>
        <v>0</v>
      </c>
      <c r="K5" s="94" t="str">
        <f>IF(BettingScoreboard!E17=MIN(BettingScoreboard!$E$14:$E$21),WeekendLongBets!$C$11/BettingScoreboard!$E$22, 0)</f>
        <v>#ERROR!</v>
      </c>
      <c r="L5" s="95" t="str">
        <f t="shared" si="1"/>
        <v>#ERROR!</v>
      </c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ht="12.75" customHeight="1">
      <c r="A6" s="102" t="s">
        <v>36</v>
      </c>
      <c r="B6" s="103">
        <f>-1*SUM(IF(Scorecards!C8="Y",Scorecards!$C$2, 0),IF(Scorecards!C22="Y",Scorecards!$C$16,0),IF(Scorecards!C36="Y",Scorecards!$C$30,0),IF(Scorecards!C50="Y",Scorecards!$C$44,0))</f>
        <v>-20</v>
      </c>
      <c r="C6" s="103">
        <f>BettingScoreboard!C29</f>
        <v>49.16666667</v>
      </c>
      <c r="D6" s="103">
        <f>-1*SUM(IF(Scorecards!D8="Y",Scorecards!$D$2, 0),IF(Scorecards!D22="Y",Scorecards!$D$16,0),IF(Scorecards!D36="Y",Scorecards!$D$30,0),IF(Scorecards!D50="Y",Scorecards!$D$44,0))</f>
        <v>0</v>
      </c>
      <c r="E6" s="103">
        <f>BettingScoreboard!E29</f>
        <v>0</v>
      </c>
      <c r="F6" s="103">
        <f>-1*SUM(IF(Scorecards!E8="Y",Scorecards!$E$2, 0),IF(Scorecards!E22="Y",Scorecards!$E$16,0),IF(Scorecards!E36="Y",Scorecards!$E$30,0),IF(Scorecards!E50="Y",Scorecards!$E$44,0))</f>
        <v>0</v>
      </c>
      <c r="G6" s="103" t="str">
        <f>SUM(IF(BettingScoreboard!$B6=MIN(BettingScoreboard!$B$2:$B$9),Scorecards!$E$12/BettingScoreboard!$B$10),IF(BettingScoreboard!$C6=MIN(BettingScoreboard!$C$2:$C$9),Scorecards!$E$26/BettingScoreboard!$C$10), IF(BettingScoreboard!$D6=MIN(BettingScoreboard!$D$2:$D$9),Scorecards!$E$40/BettingScoreboard!$D$10),IF(BettingScoreboard!$E6=MIN(BettingScoreboard!$E$2:$E$9),Scorecards!$E$54/BettingScoreboard!$E$10))</f>
        <v>#ERROR!</v>
      </c>
      <c r="H6" s="103">
        <f>-1*IF(WeekendLongBets!B7="Y",WeekendLongBets!$B$1,0)</f>
        <v>-10</v>
      </c>
      <c r="I6" s="103" t="str">
        <f>IF(BettingScoreboard!B18=MIN(BettingScoreboard!$B$14:$B$21),WeekendLongBets!$B$11/BettingScoreboard!$B$22, 0)</f>
        <v>#ERROR!</v>
      </c>
      <c r="J6" s="103">
        <f>-1*IF(WeekendLongBets!C7="Y",WeekendLongBets!$C$1,0)</f>
        <v>0</v>
      </c>
      <c r="K6" s="103" t="str">
        <f>IF(BettingScoreboard!E18=MIN(BettingScoreboard!$E$14:$E$21),WeekendLongBets!$C$11/BettingScoreboard!$E$22, 0)</f>
        <v>#ERROR!</v>
      </c>
      <c r="L6" s="104" t="str">
        <f t="shared" si="1"/>
        <v>#ERROR!</v>
      </c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ht="12.75" customHeight="1">
      <c r="A7" s="33" t="s">
        <v>35</v>
      </c>
      <c r="B7" s="94">
        <f>-1*SUM(IF(Scorecards!C9="Y",Scorecards!$C$2, 0),IF(Scorecards!C23="Y",Scorecards!$C$16,0),IF(Scorecards!C37="Y",Scorecards!$C$30,0),IF(Scorecards!C51="Y",Scorecards!$C$44,0))</f>
        <v>0</v>
      </c>
      <c r="C7" s="94">
        <f>BettingScoreboard!C30</f>
        <v>0</v>
      </c>
      <c r="D7" s="94">
        <f>-1*SUM(IF(Scorecards!D9="Y",Scorecards!$D$2, 0),IF(Scorecards!D23="Y",Scorecards!$D$16,0),IF(Scorecards!D37="Y",Scorecards!$D$30,0),IF(Scorecards!D51="Y",Scorecards!$D$44,0))</f>
        <v>0</v>
      </c>
      <c r="E7" s="94">
        <f>BettingScoreboard!E30</f>
        <v>0</v>
      </c>
      <c r="F7" s="94">
        <f>-1*SUM(IF(Scorecards!E9="Y",Scorecards!$E$2, 0),IF(Scorecards!E23="Y",Scorecards!$E$16,0),IF(Scorecards!E37="Y",Scorecards!$E$30,0),IF(Scorecards!E51="Y",Scorecards!$E$44,0))</f>
        <v>0</v>
      </c>
      <c r="G7" s="94" t="str">
        <f>SUM(IF(BettingScoreboard!$B7=MIN(BettingScoreboard!$B$2:$B$9),Scorecards!$E$12/BettingScoreboard!$B$10),IF(BettingScoreboard!$C7=MIN(BettingScoreboard!$C$2:$C$9),Scorecards!$E$26/BettingScoreboard!$C$10), IF(BettingScoreboard!$D7=MIN(BettingScoreboard!$D$2:$D$9),Scorecards!$E$40/BettingScoreboard!$D$10),IF(BettingScoreboard!$E7=MIN(BettingScoreboard!$E$2:$E$9),Scorecards!$E$54/BettingScoreboard!$E$10))</f>
        <v>#ERROR!</v>
      </c>
      <c r="H7" s="94">
        <f>-1*IF(WeekendLongBets!B8="Y",WeekendLongBets!$B$1,0)</f>
        <v>-10</v>
      </c>
      <c r="I7" s="94" t="str">
        <f>IF(BettingScoreboard!B19=MIN(BettingScoreboard!$B$14:$B$21),WeekendLongBets!$B$11/BettingScoreboard!$B$22, 0)</f>
        <v>#ERROR!</v>
      </c>
      <c r="J7" s="94">
        <f>-1*IF(WeekendLongBets!C8="Y",WeekendLongBets!$C$1,0)</f>
        <v>0</v>
      </c>
      <c r="K7" s="94" t="str">
        <f>IF(BettingScoreboard!E19=MIN(BettingScoreboard!$E$14:$E$21),WeekendLongBets!$C$11/BettingScoreboard!$E$22, 0)</f>
        <v>#ERROR!</v>
      </c>
      <c r="L7" s="95" t="str">
        <f t="shared" si="1"/>
        <v>#ERROR!</v>
      </c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ht="12.75" customHeight="1">
      <c r="A8" s="105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4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ht="12.75" customHeight="1">
      <c r="A9" s="106"/>
      <c r="B9" s="96"/>
      <c r="C9" s="96"/>
      <c r="D9" s="96"/>
      <c r="E9" s="96"/>
      <c r="F9" s="96"/>
      <c r="G9" s="96"/>
      <c r="H9" s="96"/>
      <c r="I9" s="96"/>
      <c r="J9" s="96"/>
      <c r="K9" s="96"/>
      <c r="L9" s="97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ht="12.75" customHeight="1">
      <c r="A10" s="10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ht="12.75" customHeight="1">
      <c r="A11" s="101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ht="12.75" customHeight="1">
      <c r="A12" s="101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ht="12.75" customHeight="1">
      <c r="A13" s="107" t="s">
        <v>71</v>
      </c>
      <c r="B13" s="108">
        <v>40.0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ht="12.75" customHeight="1">
      <c r="A14" s="107" t="s">
        <v>72</v>
      </c>
      <c r="B14" s="108">
        <v>100.0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ht="12.75" customHeight="1">
      <c r="A15" s="107" t="s">
        <v>73</v>
      </c>
      <c r="B15" s="14">
        <f>B14/B13</f>
        <v>2.5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ht="12.75" customHeight="1">
      <c r="A16" s="107" t="s">
        <v>18</v>
      </c>
      <c r="B16" s="108">
        <v>1.0</v>
      </c>
      <c r="C16" s="14">
        <f t="shared" ref="C16:C20" si="2">B16*2.5</f>
        <v>2.5</v>
      </c>
      <c r="D16" s="14">
        <f t="shared" ref="D16:D19" si="3">20-C16</f>
        <v>17.5</v>
      </c>
      <c r="E16" s="14"/>
      <c r="F16" s="14"/>
      <c r="G16" s="14"/>
      <c r="H16" s="14"/>
      <c r="I16" s="14"/>
      <c r="J16" s="14"/>
      <c r="K16" s="14"/>
      <c r="L16" s="14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ht="12.75" customHeight="1">
      <c r="A17" s="107" t="s">
        <v>21</v>
      </c>
      <c r="B17" s="108">
        <v>5.0</v>
      </c>
      <c r="C17" s="14">
        <f t="shared" si="2"/>
        <v>12.5</v>
      </c>
      <c r="D17" s="14">
        <f t="shared" si="3"/>
        <v>7.5</v>
      </c>
      <c r="E17" s="14"/>
      <c r="F17" s="14"/>
      <c r="G17" s="14"/>
      <c r="H17" s="14"/>
      <c r="I17" s="14"/>
      <c r="J17" s="14"/>
      <c r="K17" s="14"/>
      <c r="L17" s="14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ht="12.75" customHeight="1">
      <c r="A18" s="107" t="s">
        <v>22</v>
      </c>
      <c r="B18" s="108">
        <v>7.0</v>
      </c>
      <c r="C18" s="14">
        <f t="shared" si="2"/>
        <v>17.5</v>
      </c>
      <c r="D18" s="14">
        <f t="shared" si="3"/>
        <v>2.5</v>
      </c>
      <c r="E18" s="14"/>
      <c r="F18" s="14"/>
      <c r="G18" s="14"/>
      <c r="H18" s="14"/>
      <c r="I18" s="14"/>
      <c r="J18" s="14"/>
      <c r="K18" s="14"/>
      <c r="L18" s="14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ht="12.75" customHeight="1">
      <c r="A19" s="107" t="s">
        <v>23</v>
      </c>
      <c r="B19" s="108">
        <v>7.0</v>
      </c>
      <c r="C19" s="14">
        <f t="shared" si="2"/>
        <v>17.5</v>
      </c>
      <c r="D19" s="14">
        <f t="shared" si="3"/>
        <v>2.5</v>
      </c>
      <c r="E19" s="14"/>
      <c r="F19" s="14"/>
      <c r="G19" s="14"/>
      <c r="H19" s="14"/>
      <c r="I19" s="14"/>
      <c r="J19" s="14"/>
      <c r="K19" s="14"/>
      <c r="L19" s="14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12.75" customHeight="1">
      <c r="A20" s="107" t="s">
        <v>24</v>
      </c>
      <c r="B20" s="108">
        <v>20.0</v>
      </c>
      <c r="C20" s="14">
        <f t="shared" si="2"/>
        <v>50</v>
      </c>
      <c r="D20" s="14"/>
      <c r="E20" s="14"/>
      <c r="F20" s="14"/>
      <c r="G20" s="14"/>
      <c r="H20" s="14"/>
      <c r="I20" s="14"/>
      <c r="J20" s="14"/>
      <c r="K20" s="14"/>
      <c r="L20" s="14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12.75" customHeight="1">
      <c r="A21" s="10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2.75" customHeight="1">
      <c r="A22" s="10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2.75" customHeight="1">
      <c r="A23" s="101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2.75" customHeight="1">
      <c r="A24" s="101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12.75" customHeight="1">
      <c r="A25" s="101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2.75" customHeight="1">
      <c r="A26" s="10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2.75" customHeight="1">
      <c r="A27" s="10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2.75" customHeight="1">
      <c r="A28" s="10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2.75" customHeight="1">
      <c r="A29" s="10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2.75" customHeight="1">
      <c r="A30" s="10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12.75" customHeight="1">
      <c r="A31" s="10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12.75" customHeight="1">
      <c r="A32" s="10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12.75" customHeight="1">
      <c r="A33" s="10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2.75" customHeight="1">
      <c r="A34" s="10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12.75" customHeight="1">
      <c r="A35" s="10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12.75" customHeight="1">
      <c r="A36" s="10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12.75" customHeight="1">
      <c r="A37" s="10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2.75" customHeight="1">
      <c r="A38" s="10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2.75" customHeight="1">
      <c r="A39" s="10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2.75" customHeight="1">
      <c r="A40" s="10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2.75" customHeight="1">
      <c r="A41" s="10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2.75" customHeight="1">
      <c r="A42" s="10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2.75" customHeight="1">
      <c r="A43" s="10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2.75" customHeight="1">
      <c r="A44" s="10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2.75" customHeight="1">
      <c r="A45" s="10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2.75" customHeight="1">
      <c r="A46" s="10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2.75" customHeight="1">
      <c r="A47" s="10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2.75" customHeight="1">
      <c r="A48" s="10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2.75" customHeight="1">
      <c r="A49" s="10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2.75" customHeight="1">
      <c r="A50" s="10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2.75" customHeight="1">
      <c r="A51" s="10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2.75" customHeight="1">
      <c r="A52" s="10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2.75" customHeight="1">
      <c r="A53" s="101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2.75" customHeight="1">
      <c r="A54" s="101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2.75" customHeight="1">
      <c r="A55" s="101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2.75" customHeight="1">
      <c r="A56" s="101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2.75" customHeight="1">
      <c r="A57" s="101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2.75" customHeight="1">
      <c r="A58" s="101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2.75" customHeight="1">
      <c r="A59" s="101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2.75" customHeight="1">
      <c r="A60" s="101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2.75" customHeight="1">
      <c r="A61" s="101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12.75" customHeight="1">
      <c r="A62" s="101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12.75" customHeight="1">
      <c r="A63" s="101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2.75" customHeight="1">
      <c r="A64" s="101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2.75" customHeight="1">
      <c r="A65" s="101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2.75" customHeight="1">
      <c r="A66" s="101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2.75" customHeight="1">
      <c r="A67" s="101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2.75" customHeight="1">
      <c r="A68" s="101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2.75" customHeight="1">
      <c r="A69" s="101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2.75" customHeight="1">
      <c r="A70" s="101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2.75" customHeight="1">
      <c r="A71" s="101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2.75" customHeight="1">
      <c r="A72" s="101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2.75" customHeight="1">
      <c r="A73" s="101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2.75" customHeight="1">
      <c r="A74" s="101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2.75" customHeight="1">
      <c r="A75" s="101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2.75" customHeight="1">
      <c r="A76" s="101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2.75" customHeight="1">
      <c r="A77" s="101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2.75" customHeight="1">
      <c r="A78" s="101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2.75" customHeight="1">
      <c r="A79" s="101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2.75" customHeight="1">
      <c r="A80" s="101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2.75" customHeight="1">
      <c r="A81" s="101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2.75" customHeight="1">
      <c r="A82" s="101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2.75" customHeight="1">
      <c r="A83" s="101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2.75" customHeight="1">
      <c r="A84" s="101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2.75" customHeight="1">
      <c r="A85" s="101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2.75" customHeight="1">
      <c r="A86" s="101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2.75" customHeight="1">
      <c r="A87" s="101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2.75" customHeight="1">
      <c r="A88" s="101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2.75" customHeight="1">
      <c r="A89" s="101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2.75" customHeight="1">
      <c r="A90" s="101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2.75" customHeight="1">
      <c r="A91" s="101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2.75" customHeight="1">
      <c r="A92" s="101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2.75" customHeight="1">
      <c r="A93" s="101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2.75" customHeight="1">
      <c r="A94" s="101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2.75" customHeight="1">
      <c r="A95" s="101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2.75" customHeight="1">
      <c r="A96" s="101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2.75" customHeight="1">
      <c r="A97" s="101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2.75" customHeight="1">
      <c r="A98" s="101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2.75" customHeight="1">
      <c r="A99" s="101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2.75" customHeight="1">
      <c r="A100" s="101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2.75" customHeight="1">
      <c r="A101" s="101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2.75" customHeight="1">
      <c r="A102" s="101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2.75" customHeight="1">
      <c r="A103" s="101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2.75" customHeight="1">
      <c r="A104" s="101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2.75" customHeight="1">
      <c r="A105" s="101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2.75" customHeight="1">
      <c r="A106" s="101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2.75" customHeight="1">
      <c r="A107" s="101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2.75" customHeight="1">
      <c r="A108" s="101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2.75" customHeight="1">
      <c r="A109" s="101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2.75" customHeight="1">
      <c r="A110" s="101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2.75" customHeight="1">
      <c r="A111" s="101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2.75" customHeight="1">
      <c r="A112" s="101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2.75" customHeight="1">
      <c r="A113" s="101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2.75" customHeight="1">
      <c r="A114" s="101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2.75" customHeight="1">
      <c r="A115" s="101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2.75" customHeight="1">
      <c r="A116" s="101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2.75" customHeight="1">
      <c r="A117" s="101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2.75" customHeight="1">
      <c r="A118" s="101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2.75" customHeight="1">
      <c r="A119" s="101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2.75" customHeight="1">
      <c r="A120" s="101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2.75" customHeight="1">
      <c r="A121" s="101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2.75" customHeight="1">
      <c r="A122" s="101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2.75" customHeight="1">
      <c r="A123" s="101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2.75" customHeight="1">
      <c r="A124" s="101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2.75" customHeight="1">
      <c r="A125" s="101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2.75" customHeight="1">
      <c r="A126" s="101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2.75" customHeight="1">
      <c r="A127" s="101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2.75" customHeight="1">
      <c r="A128" s="101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2.75" customHeight="1">
      <c r="A129" s="101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2.75" customHeight="1">
      <c r="A130" s="101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2.75" customHeight="1">
      <c r="A131" s="101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2.75" customHeight="1">
      <c r="A132" s="101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2.75" customHeight="1">
      <c r="A133" s="101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2.75" customHeight="1">
      <c r="A134" s="101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2.75" customHeight="1">
      <c r="A135" s="101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2.75" customHeight="1">
      <c r="A136" s="101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2.75" customHeight="1">
      <c r="A137" s="10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2.75" customHeight="1">
      <c r="A138" s="101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2.75" customHeight="1">
      <c r="A139" s="101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2.75" customHeight="1">
      <c r="A140" s="101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2.75" customHeight="1">
      <c r="A141" s="101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2.75" customHeight="1">
      <c r="A142" s="101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2.75" customHeight="1">
      <c r="A143" s="101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2.75" customHeight="1">
      <c r="A144" s="101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2.75" customHeight="1">
      <c r="A145" s="101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2.75" customHeight="1">
      <c r="A146" s="101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2.75" customHeight="1">
      <c r="A147" s="101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2.75" customHeight="1">
      <c r="A148" s="101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2.75" customHeight="1">
      <c r="A149" s="10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2.75" customHeight="1">
      <c r="A150" s="101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2.75" customHeight="1">
      <c r="A151" s="10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2.75" customHeight="1">
      <c r="A152" s="101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2.75" customHeight="1">
      <c r="A153" s="101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2.75" customHeight="1">
      <c r="A154" s="101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2.75" customHeight="1">
      <c r="A155" s="101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2.75" customHeight="1">
      <c r="A156" s="101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2.75" customHeight="1">
      <c r="A157" s="101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2.75" customHeight="1">
      <c r="A158" s="101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2.75" customHeight="1">
      <c r="A159" s="101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2.75" customHeight="1">
      <c r="A160" s="101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2.75" customHeight="1">
      <c r="A161" s="101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2.75" customHeight="1">
      <c r="A162" s="101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2.75" customHeight="1">
      <c r="A163" s="101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2.75" customHeight="1">
      <c r="A164" s="101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2.75" customHeight="1">
      <c r="A165" s="101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2.75" customHeight="1">
      <c r="A166" s="101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2.75" customHeight="1">
      <c r="A167" s="101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2.75" customHeight="1">
      <c r="A168" s="101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2.75" customHeight="1">
      <c r="A169" s="101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2.75" customHeight="1">
      <c r="A170" s="101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2.75" customHeight="1">
      <c r="A171" s="101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2.75" customHeight="1">
      <c r="A172" s="101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2.75" customHeight="1">
      <c r="A173" s="101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2.75" customHeight="1">
      <c r="A174" s="101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2.75" customHeight="1">
      <c r="A175" s="101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2.75" customHeight="1">
      <c r="A176" s="101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2.75" customHeight="1">
      <c r="A177" s="101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2.75" customHeight="1">
      <c r="A178" s="101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2.75" customHeight="1">
      <c r="A179" s="101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2.75" customHeight="1">
      <c r="A180" s="101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2.75" customHeight="1">
      <c r="A181" s="101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2.75" customHeight="1">
      <c r="A182" s="101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2.75" customHeight="1">
      <c r="A183" s="101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2.75" customHeight="1">
      <c r="A184" s="101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2.75" customHeight="1">
      <c r="A185" s="101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2.75" customHeight="1">
      <c r="A186" s="101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2.75" customHeight="1">
      <c r="A187" s="101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2.75" customHeight="1">
      <c r="A188" s="101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2.75" customHeight="1">
      <c r="A189" s="101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2.75" customHeight="1">
      <c r="A190" s="101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2.75" customHeight="1">
      <c r="A191" s="101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2.75" customHeight="1">
      <c r="A192" s="101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2.75" customHeight="1">
      <c r="A193" s="101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2.75" customHeight="1">
      <c r="A194" s="101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2.75" customHeight="1">
      <c r="A195" s="101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2.75" customHeight="1">
      <c r="A196" s="101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2.75" customHeight="1">
      <c r="A197" s="101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2.75" customHeight="1">
      <c r="A198" s="101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2.75" customHeight="1">
      <c r="A199" s="101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2.75" customHeight="1">
      <c r="A200" s="10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2.75" customHeight="1">
      <c r="A201" s="101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2.75" customHeight="1">
      <c r="A202" s="101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2.75" customHeight="1">
      <c r="A203" s="101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2.75" customHeight="1">
      <c r="A204" s="101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2.75" customHeight="1">
      <c r="A205" s="101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2.75" customHeight="1">
      <c r="A206" s="101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2.75" customHeight="1">
      <c r="A207" s="101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2.75" customHeight="1">
      <c r="A208" s="101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2.75" customHeight="1">
      <c r="A209" s="101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2.75" customHeight="1">
      <c r="A210" s="101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2.75" customHeight="1">
      <c r="A211" s="101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2.75" customHeight="1">
      <c r="A212" s="101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2.75" customHeight="1">
      <c r="A213" s="101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2.75" customHeight="1">
      <c r="A214" s="101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2.75" customHeight="1">
      <c r="A215" s="101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2.75" customHeight="1">
      <c r="A216" s="101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2.75" customHeight="1">
      <c r="A217" s="101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2.75" customHeight="1">
      <c r="A218" s="101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2.75" customHeight="1">
      <c r="A219" s="101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2.75" customHeight="1">
      <c r="A220" s="101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2.75" customHeight="1">
      <c r="A221" s="101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ht="12.75" customHeight="1">
      <c r="A222" s="101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ht="12.75" customHeight="1">
      <c r="A223" s="101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ht="12.75" customHeight="1">
      <c r="A224" s="101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ht="12.75" customHeight="1">
      <c r="A225" s="101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ht="12.75" customHeight="1">
      <c r="A226" s="101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ht="12.75" customHeight="1">
      <c r="A227" s="101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ht="12.75" customHeight="1">
      <c r="A228" s="101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ht="12.75" customHeight="1">
      <c r="A229" s="101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ht="12.75" customHeight="1">
      <c r="A230" s="101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ht="12.75" customHeight="1">
      <c r="A231" s="101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ht="12.75" customHeight="1">
      <c r="A232" s="101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ht="12.75" customHeight="1">
      <c r="A233" s="101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ht="12.75" customHeight="1">
      <c r="A234" s="101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ht="12.75" customHeight="1">
      <c r="A235" s="101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ht="12.75" customHeight="1">
      <c r="A236" s="101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ht="12.75" customHeight="1">
      <c r="A237" s="101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ht="12.75" customHeight="1">
      <c r="A238" s="101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ht="12.75" customHeight="1">
      <c r="A239" s="101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ht="12.75" customHeight="1">
      <c r="A240" s="101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ht="12.75" customHeight="1">
      <c r="A241" s="101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ht="12.75" customHeight="1">
      <c r="A242" s="101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ht="12.75" customHeight="1">
      <c r="A243" s="101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ht="12.75" customHeight="1">
      <c r="A244" s="101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ht="12.75" customHeight="1">
      <c r="A245" s="101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ht="12.75" customHeight="1">
      <c r="A246" s="101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ht="12.75" customHeight="1">
      <c r="A247" s="101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ht="12.75" customHeight="1">
      <c r="A248" s="101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ht="12.75" customHeight="1">
      <c r="A249" s="101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ht="12.75" customHeight="1">
      <c r="A250" s="101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ht="12.75" customHeight="1">
      <c r="A251" s="101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ht="12.75" customHeight="1">
      <c r="A252" s="101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ht="12.75" customHeight="1">
      <c r="A253" s="101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ht="12.75" customHeight="1">
      <c r="A254" s="101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ht="12.75" customHeight="1">
      <c r="A255" s="101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ht="12.75" customHeight="1">
      <c r="A256" s="101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ht="12.75" customHeight="1">
      <c r="A257" s="101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ht="12.75" customHeight="1">
      <c r="A258" s="101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ht="12.75" customHeight="1">
      <c r="A259" s="101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ht="12.75" customHeight="1">
      <c r="A260" s="101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ht="12.75" customHeight="1">
      <c r="A261" s="101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ht="12.75" customHeight="1">
      <c r="A262" s="101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ht="12.75" customHeight="1">
      <c r="A263" s="101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ht="12.75" customHeight="1">
      <c r="A264" s="101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ht="12.75" customHeight="1">
      <c r="A265" s="101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ht="12.75" customHeight="1">
      <c r="A266" s="101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ht="12.75" customHeight="1">
      <c r="A267" s="101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ht="12.75" customHeight="1">
      <c r="A268" s="101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ht="12.75" customHeight="1">
      <c r="A269" s="101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ht="12.75" customHeight="1">
      <c r="A270" s="101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ht="12.75" customHeight="1">
      <c r="A271" s="101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ht="12.75" customHeight="1">
      <c r="A272" s="101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ht="12.75" customHeight="1">
      <c r="A273" s="101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ht="12.75" customHeight="1">
      <c r="A274" s="101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ht="12.75" customHeight="1">
      <c r="A275" s="101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ht="12.75" customHeight="1">
      <c r="A276" s="101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ht="12.75" customHeight="1">
      <c r="A277" s="101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ht="12.75" customHeight="1">
      <c r="A278" s="101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ht="12.75" customHeight="1">
      <c r="A279" s="101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ht="12.75" customHeight="1">
      <c r="A280" s="101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ht="12.75" customHeight="1">
      <c r="A281" s="101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ht="12.75" customHeight="1">
      <c r="A282" s="101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ht="12.75" customHeight="1">
      <c r="A283" s="101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ht="12.75" customHeight="1">
      <c r="A284" s="101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ht="12.75" customHeight="1">
      <c r="A285" s="101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ht="12.75" customHeight="1">
      <c r="A286" s="101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ht="12.75" customHeight="1">
      <c r="A287" s="101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ht="12.75" customHeight="1">
      <c r="A288" s="101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ht="12.75" customHeight="1">
      <c r="A289" s="101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ht="12.75" customHeight="1">
      <c r="A290" s="101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ht="12.75" customHeight="1">
      <c r="A291" s="101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ht="12.75" customHeight="1">
      <c r="A292" s="101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ht="12.75" customHeight="1">
      <c r="A293" s="101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ht="12.75" customHeight="1">
      <c r="A294" s="101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ht="12.75" customHeight="1">
      <c r="A295" s="101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ht="12.75" customHeight="1">
      <c r="A296" s="101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ht="12.75" customHeight="1">
      <c r="A297" s="101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ht="12.75" customHeight="1">
      <c r="A298" s="101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ht="12.75" customHeight="1">
      <c r="A299" s="101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ht="12.75" customHeight="1">
      <c r="A300" s="101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ht="12.75" customHeight="1">
      <c r="A301" s="101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ht="12.75" customHeight="1">
      <c r="A302" s="101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ht="12.75" customHeight="1">
      <c r="A303" s="101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ht="12.75" customHeight="1">
      <c r="A304" s="101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ht="12.75" customHeight="1">
      <c r="A305" s="101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ht="12.75" customHeight="1">
      <c r="A306" s="101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ht="12.75" customHeight="1">
      <c r="A307" s="101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ht="12.75" customHeight="1">
      <c r="A308" s="101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ht="12.75" customHeight="1">
      <c r="A309" s="101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ht="12.75" customHeight="1">
      <c r="A310" s="101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ht="12.75" customHeight="1">
      <c r="A311" s="101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ht="12.75" customHeight="1">
      <c r="A312" s="101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ht="12.75" customHeight="1">
      <c r="A313" s="101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ht="12.75" customHeight="1">
      <c r="A314" s="101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ht="12.75" customHeight="1">
      <c r="A315" s="101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ht="12.75" customHeight="1">
      <c r="A316" s="101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ht="12.75" customHeight="1">
      <c r="A317" s="101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ht="12.75" customHeight="1">
      <c r="A318" s="101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ht="12.75" customHeight="1">
      <c r="A319" s="101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ht="12.75" customHeight="1">
      <c r="A320" s="101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ht="12.75" customHeight="1">
      <c r="A321" s="101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ht="12.75" customHeight="1">
      <c r="A322" s="101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ht="12.75" customHeight="1">
      <c r="A323" s="101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ht="12.75" customHeight="1">
      <c r="A324" s="101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ht="12.75" customHeight="1">
      <c r="A325" s="101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ht="12.75" customHeight="1">
      <c r="A326" s="101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ht="12.75" customHeight="1">
      <c r="A327" s="101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ht="12.75" customHeight="1">
      <c r="A328" s="101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ht="12.75" customHeight="1">
      <c r="A329" s="101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ht="12.75" customHeight="1">
      <c r="A330" s="10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ht="12.75" customHeight="1">
      <c r="A331" s="10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ht="12.75" customHeight="1">
      <c r="A332" s="10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ht="12.75" customHeight="1">
      <c r="A333" s="101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ht="12.75" customHeight="1">
      <c r="A334" s="101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ht="12.75" customHeight="1">
      <c r="A335" s="10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ht="12.75" customHeight="1">
      <c r="A336" s="10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ht="12.75" customHeight="1">
      <c r="A337" s="10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ht="12.75" customHeight="1">
      <c r="A338" s="10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ht="12.75" customHeight="1">
      <c r="A339" s="101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ht="12.75" customHeight="1">
      <c r="A340" s="10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ht="12.75" customHeight="1">
      <c r="A341" s="101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ht="12.75" customHeight="1">
      <c r="A342" s="10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ht="12.75" customHeight="1">
      <c r="A343" s="101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ht="12.75" customHeight="1">
      <c r="A344" s="101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ht="12.75" customHeight="1">
      <c r="A345" s="101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ht="12.75" customHeight="1">
      <c r="A346" s="101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ht="12.75" customHeight="1">
      <c r="A347" s="10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ht="12.75" customHeight="1">
      <c r="A348" s="101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ht="12.75" customHeight="1">
      <c r="A349" s="101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ht="12.75" customHeight="1">
      <c r="A350" s="10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ht="12.75" customHeight="1">
      <c r="A351" s="101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ht="12.75" customHeight="1">
      <c r="A352" s="101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ht="12.75" customHeight="1">
      <c r="A353" s="101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ht="12.75" customHeight="1">
      <c r="A354" s="101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ht="12.75" customHeight="1">
      <c r="A355" s="101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ht="12.75" customHeight="1">
      <c r="A356" s="101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ht="12.75" customHeight="1">
      <c r="A357" s="101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ht="12.75" customHeight="1">
      <c r="A358" s="101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ht="12.75" customHeight="1">
      <c r="A359" s="101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ht="12.75" customHeight="1">
      <c r="A360" s="101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ht="12.75" customHeight="1">
      <c r="A361" s="101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ht="12.75" customHeight="1">
      <c r="A362" s="101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ht="12.75" customHeight="1">
      <c r="A363" s="101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ht="12.75" customHeight="1">
      <c r="A364" s="101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ht="12.75" customHeight="1">
      <c r="A365" s="101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ht="12.75" customHeight="1">
      <c r="A366" s="101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ht="12.75" customHeight="1">
      <c r="A367" s="101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ht="12.75" customHeight="1">
      <c r="A368" s="101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ht="12.75" customHeight="1">
      <c r="A369" s="101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ht="12.75" customHeight="1">
      <c r="A370" s="101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ht="12.75" customHeight="1">
      <c r="A371" s="101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ht="12.75" customHeight="1">
      <c r="A372" s="101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ht="12.75" customHeight="1">
      <c r="A373" s="101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ht="12.75" customHeight="1">
      <c r="A374" s="101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ht="12.75" customHeight="1">
      <c r="A375" s="101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ht="12.75" customHeight="1">
      <c r="A376" s="101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ht="12.75" customHeight="1">
      <c r="A377" s="101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ht="12.75" customHeight="1">
      <c r="A378" s="101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ht="12.75" customHeight="1">
      <c r="A379" s="101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ht="12.75" customHeight="1">
      <c r="A380" s="101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ht="12.75" customHeight="1">
      <c r="A381" s="101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ht="12.75" customHeight="1">
      <c r="A382" s="101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ht="12.75" customHeight="1">
      <c r="A383" s="101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ht="12.75" customHeight="1">
      <c r="A384" s="101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ht="12.75" customHeight="1">
      <c r="A385" s="101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ht="12.75" customHeight="1">
      <c r="A386" s="101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ht="12.75" customHeight="1">
      <c r="A387" s="101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ht="12.75" customHeight="1">
      <c r="A388" s="101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ht="12.75" customHeight="1">
      <c r="A389" s="101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ht="12.75" customHeight="1">
      <c r="A390" s="101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ht="12.75" customHeight="1">
      <c r="A391" s="101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ht="12.75" customHeight="1">
      <c r="A392" s="101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ht="12.75" customHeight="1">
      <c r="A393" s="101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ht="12.75" customHeight="1">
      <c r="A394" s="101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ht="12.75" customHeight="1">
      <c r="A395" s="101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ht="12.75" customHeight="1">
      <c r="A396" s="101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ht="12.75" customHeight="1">
      <c r="A397" s="101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ht="12.75" customHeight="1">
      <c r="A398" s="101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ht="12.75" customHeight="1">
      <c r="A399" s="101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ht="12.75" customHeight="1">
      <c r="A400" s="101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ht="12.75" customHeight="1">
      <c r="A401" s="101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ht="12.75" customHeight="1">
      <c r="A402" s="101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ht="12.75" customHeight="1">
      <c r="A403" s="101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ht="12.75" customHeight="1">
      <c r="A404" s="101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ht="12.75" customHeight="1">
      <c r="A405" s="101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ht="12.75" customHeight="1">
      <c r="A406" s="101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ht="12.75" customHeight="1">
      <c r="A407" s="101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ht="12.75" customHeight="1">
      <c r="A408" s="101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ht="12.75" customHeight="1">
      <c r="A409" s="101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ht="12.75" customHeight="1">
      <c r="A410" s="101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ht="12.75" customHeight="1">
      <c r="A411" s="101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ht="12.75" customHeight="1">
      <c r="A412" s="101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ht="12.75" customHeight="1">
      <c r="A413" s="101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ht="12.75" customHeight="1">
      <c r="A414" s="101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ht="12.75" customHeight="1">
      <c r="A415" s="101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ht="12.75" customHeight="1">
      <c r="A416" s="101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ht="12.75" customHeight="1">
      <c r="A417" s="101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ht="12.75" customHeight="1">
      <c r="A418" s="101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ht="12.75" customHeight="1">
      <c r="A419" s="101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ht="12.75" customHeight="1">
      <c r="A420" s="101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ht="12.75" customHeight="1">
      <c r="A421" s="101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ht="12.75" customHeight="1">
      <c r="A422" s="101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ht="12.75" customHeight="1">
      <c r="A423" s="101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ht="12.75" customHeight="1">
      <c r="A424" s="101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ht="12.75" customHeight="1">
      <c r="A425" s="101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ht="12.75" customHeight="1">
      <c r="A426" s="101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ht="12.75" customHeight="1">
      <c r="A427" s="101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ht="12.75" customHeight="1">
      <c r="A428" s="101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ht="12.75" customHeight="1">
      <c r="A429" s="101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ht="12.75" customHeight="1">
      <c r="A430" s="101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ht="12.75" customHeight="1">
      <c r="A431" s="101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ht="12.75" customHeight="1">
      <c r="A432" s="101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ht="12.75" customHeight="1">
      <c r="A433" s="101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ht="12.75" customHeight="1">
      <c r="A434" s="101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ht="12.75" customHeight="1">
      <c r="A435" s="101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ht="12.75" customHeight="1">
      <c r="A436" s="101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ht="12.75" customHeight="1">
      <c r="A437" s="101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ht="12.75" customHeight="1">
      <c r="A438" s="101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ht="12.75" customHeight="1">
      <c r="A439" s="101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ht="12.75" customHeight="1">
      <c r="A440" s="101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ht="12.75" customHeight="1">
      <c r="A441" s="101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ht="12.75" customHeight="1">
      <c r="A442" s="101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ht="12.75" customHeight="1">
      <c r="A443" s="101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ht="12.75" customHeight="1">
      <c r="A444" s="101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ht="12.75" customHeight="1">
      <c r="A445" s="101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ht="12.75" customHeight="1">
      <c r="A446" s="101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ht="12.75" customHeight="1">
      <c r="A447" s="101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ht="12.75" customHeight="1">
      <c r="A448" s="101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ht="12.75" customHeight="1">
      <c r="A449" s="101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ht="12.75" customHeight="1">
      <c r="A450" s="101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ht="12.75" customHeight="1">
      <c r="A451" s="101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ht="12.75" customHeight="1">
      <c r="A452" s="101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ht="12.75" customHeight="1">
      <c r="A453" s="101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ht="12.75" customHeight="1">
      <c r="A454" s="101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ht="12.75" customHeight="1">
      <c r="A455" s="101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ht="12.75" customHeight="1">
      <c r="A456" s="101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ht="12.75" customHeight="1">
      <c r="A457" s="101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ht="12.75" customHeight="1">
      <c r="A458" s="101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ht="12.75" customHeight="1">
      <c r="A459" s="101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ht="12.75" customHeight="1">
      <c r="A460" s="101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ht="12.75" customHeight="1">
      <c r="A461" s="101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ht="12.75" customHeight="1">
      <c r="A462" s="101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ht="12.75" customHeight="1">
      <c r="A463" s="101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ht="12.75" customHeight="1">
      <c r="A464" s="101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ht="12.75" customHeight="1">
      <c r="A465" s="101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ht="12.75" customHeight="1">
      <c r="A466" s="101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ht="12.75" customHeight="1">
      <c r="A467" s="101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ht="12.75" customHeight="1">
      <c r="A468" s="101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ht="12.75" customHeight="1">
      <c r="A469" s="101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ht="12.75" customHeight="1">
      <c r="A470" s="101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ht="12.75" customHeight="1">
      <c r="A471" s="101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ht="12.75" customHeight="1">
      <c r="A472" s="101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ht="12.75" customHeight="1">
      <c r="A473" s="101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ht="12.75" customHeight="1">
      <c r="A474" s="101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ht="12.75" customHeight="1">
      <c r="A475" s="101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ht="12.75" customHeight="1">
      <c r="A476" s="101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ht="12.75" customHeight="1">
      <c r="A477" s="101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ht="12.75" customHeight="1">
      <c r="A478" s="101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ht="12.75" customHeight="1">
      <c r="A479" s="101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ht="12.75" customHeight="1">
      <c r="A480" s="101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ht="12.75" customHeight="1">
      <c r="A481" s="101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ht="12.75" customHeight="1">
      <c r="A482" s="101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ht="12.75" customHeight="1">
      <c r="A483" s="101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ht="12.75" customHeight="1">
      <c r="A484" s="101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ht="12.75" customHeight="1">
      <c r="A485" s="101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ht="12.75" customHeight="1">
      <c r="A486" s="101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ht="12.75" customHeight="1">
      <c r="A487" s="101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ht="12.75" customHeight="1">
      <c r="A488" s="101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ht="12.75" customHeight="1">
      <c r="A489" s="101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ht="12.75" customHeight="1">
      <c r="A490" s="101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ht="12.75" customHeight="1">
      <c r="A491" s="101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ht="12.75" customHeight="1">
      <c r="A492" s="101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ht="12.75" customHeight="1">
      <c r="A493" s="101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ht="12.75" customHeight="1">
      <c r="A494" s="101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ht="12.75" customHeight="1">
      <c r="A495" s="101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ht="12.75" customHeight="1">
      <c r="A496" s="101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ht="12.75" customHeight="1">
      <c r="A497" s="101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ht="12.75" customHeight="1">
      <c r="A498" s="101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ht="12.75" customHeight="1">
      <c r="A499" s="101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ht="12.75" customHeight="1">
      <c r="A500" s="101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ht="12.75" customHeight="1">
      <c r="A501" s="101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ht="12.75" customHeight="1">
      <c r="A502" s="101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ht="12.75" customHeight="1">
      <c r="A503" s="101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ht="12.75" customHeight="1">
      <c r="A504" s="101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ht="12.75" customHeight="1">
      <c r="A505" s="101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ht="12.75" customHeight="1">
      <c r="A506" s="101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ht="12.75" customHeight="1">
      <c r="A507" s="101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ht="12.75" customHeight="1">
      <c r="A508" s="101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ht="12.75" customHeight="1">
      <c r="A509" s="101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ht="12.75" customHeight="1">
      <c r="A510" s="101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ht="12.75" customHeight="1">
      <c r="A511" s="101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ht="12.75" customHeight="1">
      <c r="A512" s="101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ht="12.75" customHeight="1">
      <c r="A513" s="101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ht="12.75" customHeight="1">
      <c r="A514" s="101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ht="12.75" customHeight="1">
      <c r="A515" s="101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ht="12.75" customHeight="1">
      <c r="A516" s="101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ht="12.75" customHeight="1">
      <c r="A517" s="101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ht="12.75" customHeight="1">
      <c r="A518" s="101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ht="12.75" customHeight="1">
      <c r="A519" s="101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ht="12.75" customHeight="1">
      <c r="A520" s="101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ht="12.75" customHeight="1">
      <c r="A521" s="101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ht="12.75" customHeight="1">
      <c r="A522" s="101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ht="12.75" customHeight="1">
      <c r="A523" s="101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ht="12.75" customHeight="1">
      <c r="A524" s="101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ht="12.75" customHeight="1">
      <c r="A525" s="101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ht="12.75" customHeight="1">
      <c r="A526" s="101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ht="12.75" customHeight="1">
      <c r="A527" s="101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ht="12.75" customHeight="1">
      <c r="A528" s="101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ht="12.75" customHeight="1">
      <c r="A529" s="101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ht="12.75" customHeight="1">
      <c r="A530" s="101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ht="12.75" customHeight="1">
      <c r="A531" s="101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ht="12.75" customHeight="1">
      <c r="A532" s="101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ht="12.75" customHeight="1">
      <c r="A533" s="101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ht="12.75" customHeight="1">
      <c r="A534" s="101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ht="12.75" customHeight="1">
      <c r="A535" s="101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ht="12.75" customHeight="1">
      <c r="A536" s="101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ht="12.75" customHeight="1">
      <c r="A537" s="101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ht="12.75" customHeight="1">
      <c r="A538" s="101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ht="12.75" customHeight="1">
      <c r="A539" s="101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ht="12.75" customHeight="1">
      <c r="A540" s="101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ht="12.75" customHeight="1">
      <c r="A541" s="101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ht="12.75" customHeight="1">
      <c r="A542" s="101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ht="12.75" customHeight="1">
      <c r="A543" s="101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ht="12.75" customHeight="1">
      <c r="A544" s="101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ht="12.75" customHeight="1">
      <c r="A545" s="101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ht="12.75" customHeight="1">
      <c r="A546" s="101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ht="12.75" customHeight="1">
      <c r="A547" s="101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ht="12.75" customHeight="1">
      <c r="A548" s="101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ht="12.75" customHeight="1">
      <c r="A549" s="101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ht="12.75" customHeight="1">
      <c r="A550" s="101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ht="12.75" customHeight="1">
      <c r="A551" s="101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ht="12.75" customHeight="1">
      <c r="A552" s="101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ht="12.75" customHeight="1">
      <c r="A553" s="101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ht="12.75" customHeight="1">
      <c r="A554" s="101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ht="12.75" customHeight="1">
      <c r="A555" s="101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ht="12.75" customHeight="1">
      <c r="A556" s="101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ht="12.75" customHeight="1">
      <c r="A557" s="101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ht="12.75" customHeight="1">
      <c r="A558" s="101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ht="12.75" customHeight="1">
      <c r="A559" s="101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ht="12.75" customHeight="1">
      <c r="A560" s="101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ht="12.75" customHeight="1">
      <c r="A561" s="101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ht="12.75" customHeight="1">
      <c r="A562" s="101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ht="12.75" customHeight="1">
      <c r="A563" s="101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ht="12.75" customHeight="1">
      <c r="A564" s="101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ht="12.75" customHeight="1">
      <c r="A565" s="101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ht="12.75" customHeight="1">
      <c r="A566" s="101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ht="12.75" customHeight="1">
      <c r="A567" s="101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ht="12.75" customHeight="1">
      <c r="A568" s="101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ht="12.75" customHeight="1">
      <c r="A569" s="101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ht="12.75" customHeight="1">
      <c r="A570" s="101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ht="12.75" customHeight="1">
      <c r="A571" s="101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ht="12.75" customHeight="1">
      <c r="A572" s="101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ht="12.75" customHeight="1">
      <c r="A573" s="101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ht="12.75" customHeight="1">
      <c r="A574" s="101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ht="12.75" customHeight="1">
      <c r="A575" s="101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ht="12.75" customHeight="1">
      <c r="A576" s="101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ht="12.75" customHeight="1">
      <c r="A577" s="101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ht="12.75" customHeight="1">
      <c r="A578" s="101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ht="12.75" customHeight="1">
      <c r="A579" s="101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ht="12.75" customHeight="1">
      <c r="A580" s="101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ht="12.75" customHeight="1">
      <c r="A581" s="101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ht="12.75" customHeight="1">
      <c r="A582" s="101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ht="12.75" customHeight="1">
      <c r="A583" s="101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ht="12.75" customHeight="1">
      <c r="A584" s="101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ht="12.75" customHeight="1">
      <c r="A585" s="101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ht="12.75" customHeight="1">
      <c r="A586" s="101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ht="12.75" customHeight="1">
      <c r="A587" s="101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ht="12.75" customHeight="1">
      <c r="A588" s="101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ht="12.75" customHeight="1">
      <c r="A589" s="101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ht="12.75" customHeight="1">
      <c r="A590" s="101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ht="12.75" customHeight="1">
      <c r="A591" s="101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ht="12.75" customHeight="1">
      <c r="A592" s="101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ht="12.75" customHeight="1">
      <c r="A593" s="101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ht="12.75" customHeight="1">
      <c r="A594" s="101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ht="12.75" customHeight="1">
      <c r="A595" s="101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ht="12.75" customHeight="1">
      <c r="A596" s="101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ht="12.75" customHeight="1">
      <c r="A597" s="101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ht="12.75" customHeight="1">
      <c r="A598" s="101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ht="12.75" customHeight="1">
      <c r="A599" s="101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ht="12.75" customHeight="1">
      <c r="A600" s="101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ht="12.75" customHeight="1">
      <c r="A601" s="101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ht="12.75" customHeight="1">
      <c r="A602" s="101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ht="12.75" customHeight="1">
      <c r="A603" s="101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ht="12.75" customHeight="1">
      <c r="A604" s="101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ht="12.75" customHeight="1">
      <c r="A605" s="101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ht="12.75" customHeight="1">
      <c r="A606" s="101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ht="12.75" customHeight="1">
      <c r="A607" s="101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ht="12.75" customHeight="1">
      <c r="A608" s="101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ht="12.75" customHeight="1">
      <c r="A609" s="101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ht="12.75" customHeight="1">
      <c r="A610" s="101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ht="12.75" customHeight="1">
      <c r="A611" s="101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ht="12.75" customHeight="1">
      <c r="A612" s="101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ht="12.75" customHeight="1">
      <c r="A613" s="101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ht="12.75" customHeight="1">
      <c r="A614" s="101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ht="12.75" customHeight="1">
      <c r="A615" s="101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ht="12.75" customHeight="1">
      <c r="A616" s="101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ht="12.75" customHeight="1">
      <c r="A617" s="101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ht="12.75" customHeight="1">
      <c r="A618" s="101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ht="12.75" customHeight="1">
      <c r="A619" s="101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ht="12.75" customHeight="1">
      <c r="A620" s="101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ht="12.75" customHeight="1">
      <c r="A621" s="101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ht="12.75" customHeight="1">
      <c r="A622" s="101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ht="12.75" customHeight="1">
      <c r="A623" s="101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ht="12.75" customHeight="1">
      <c r="A624" s="101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ht="12.75" customHeight="1">
      <c r="A625" s="101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ht="12.75" customHeight="1">
      <c r="A626" s="101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ht="12.75" customHeight="1">
      <c r="A627" s="101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ht="12.75" customHeight="1">
      <c r="A628" s="101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ht="12.75" customHeight="1">
      <c r="A629" s="101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ht="12.75" customHeight="1">
      <c r="A630" s="101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ht="12.75" customHeight="1">
      <c r="A631" s="101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ht="12.75" customHeight="1">
      <c r="A632" s="101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ht="12.75" customHeight="1">
      <c r="A633" s="101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ht="12.75" customHeight="1">
      <c r="A634" s="101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ht="12.75" customHeight="1">
      <c r="A635" s="101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ht="12.75" customHeight="1">
      <c r="A636" s="101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ht="12.75" customHeight="1">
      <c r="A637" s="101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ht="12.75" customHeight="1">
      <c r="A638" s="101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ht="12.75" customHeight="1">
      <c r="A639" s="101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ht="12.75" customHeight="1">
      <c r="A640" s="101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ht="12.75" customHeight="1">
      <c r="A641" s="101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ht="12.75" customHeight="1">
      <c r="A642" s="101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ht="12.75" customHeight="1">
      <c r="A643" s="101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ht="12.75" customHeight="1">
      <c r="A644" s="101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ht="12.75" customHeight="1">
      <c r="A645" s="101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ht="12.75" customHeight="1">
      <c r="A646" s="101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ht="12.75" customHeight="1">
      <c r="A647" s="101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ht="12.75" customHeight="1">
      <c r="A648" s="101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ht="12.75" customHeight="1">
      <c r="A649" s="101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ht="12.75" customHeight="1">
      <c r="A650" s="101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ht="12.75" customHeight="1">
      <c r="A651" s="101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ht="12.75" customHeight="1">
      <c r="A652" s="101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ht="12.75" customHeight="1">
      <c r="A653" s="101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ht="12.75" customHeight="1">
      <c r="A654" s="101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ht="12.75" customHeight="1">
      <c r="A655" s="101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ht="12.75" customHeight="1">
      <c r="A656" s="101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ht="12.75" customHeight="1">
      <c r="A657" s="101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ht="12.75" customHeight="1">
      <c r="A658" s="101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ht="12.75" customHeight="1">
      <c r="A659" s="101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ht="12.75" customHeight="1">
      <c r="A660" s="101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ht="12.75" customHeight="1">
      <c r="A661" s="101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ht="12.75" customHeight="1">
      <c r="A662" s="101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ht="12.75" customHeight="1">
      <c r="A663" s="101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ht="12.75" customHeight="1">
      <c r="A664" s="101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ht="12.75" customHeight="1">
      <c r="A665" s="101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ht="12.75" customHeight="1">
      <c r="A666" s="101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ht="12.75" customHeight="1">
      <c r="A667" s="101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ht="12.75" customHeight="1">
      <c r="A668" s="101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ht="12.75" customHeight="1">
      <c r="A669" s="101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ht="12.75" customHeight="1">
      <c r="A670" s="101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ht="12.75" customHeight="1">
      <c r="A671" s="101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ht="12.75" customHeight="1">
      <c r="A672" s="101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ht="12.75" customHeight="1">
      <c r="A673" s="101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ht="12.75" customHeight="1">
      <c r="A674" s="101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ht="12.75" customHeight="1">
      <c r="A675" s="101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ht="12.75" customHeight="1">
      <c r="A676" s="101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ht="12.75" customHeight="1">
      <c r="A677" s="101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ht="12.75" customHeight="1">
      <c r="A678" s="101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ht="12.75" customHeight="1">
      <c r="A679" s="101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ht="12.75" customHeight="1">
      <c r="A680" s="101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ht="12.75" customHeight="1">
      <c r="A681" s="101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ht="12.75" customHeight="1">
      <c r="A682" s="101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ht="12.75" customHeight="1">
      <c r="A683" s="101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ht="12.75" customHeight="1">
      <c r="A684" s="101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ht="12.75" customHeight="1">
      <c r="A685" s="101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ht="12.75" customHeight="1">
      <c r="A686" s="101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ht="12.75" customHeight="1">
      <c r="A687" s="101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ht="12.75" customHeight="1">
      <c r="A688" s="101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ht="12.75" customHeight="1">
      <c r="A689" s="101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ht="12.75" customHeight="1">
      <c r="A690" s="101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ht="12.75" customHeight="1">
      <c r="A691" s="101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ht="12.75" customHeight="1">
      <c r="A692" s="101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ht="12.75" customHeight="1">
      <c r="A693" s="101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ht="12.75" customHeight="1">
      <c r="A694" s="101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ht="12.75" customHeight="1">
      <c r="A695" s="101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ht="12.75" customHeight="1">
      <c r="A696" s="101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ht="12.75" customHeight="1">
      <c r="A697" s="101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ht="12.75" customHeight="1">
      <c r="A698" s="101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ht="12.75" customHeight="1">
      <c r="A699" s="101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ht="12.75" customHeight="1">
      <c r="A700" s="101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ht="12.75" customHeight="1">
      <c r="A701" s="101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ht="12.75" customHeight="1">
      <c r="A702" s="101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ht="12.75" customHeight="1">
      <c r="A703" s="101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ht="12.75" customHeight="1">
      <c r="A704" s="101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ht="12.75" customHeight="1">
      <c r="A705" s="101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ht="12.75" customHeight="1">
      <c r="A706" s="101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ht="12.75" customHeight="1">
      <c r="A707" s="101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ht="12.75" customHeight="1">
      <c r="A708" s="101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ht="12.75" customHeight="1">
      <c r="A709" s="101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ht="12.75" customHeight="1">
      <c r="A710" s="101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ht="12.75" customHeight="1">
      <c r="A711" s="101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ht="12.75" customHeight="1">
      <c r="A712" s="101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ht="12.75" customHeight="1">
      <c r="A713" s="101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ht="12.75" customHeight="1">
      <c r="A714" s="101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ht="12.75" customHeight="1">
      <c r="A715" s="101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ht="12.75" customHeight="1">
      <c r="A716" s="101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ht="12.75" customHeight="1">
      <c r="A717" s="101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ht="12.75" customHeight="1">
      <c r="A718" s="101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ht="12.75" customHeight="1">
      <c r="A719" s="101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ht="12.75" customHeight="1">
      <c r="A720" s="101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ht="12.75" customHeight="1">
      <c r="A721" s="101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ht="12.75" customHeight="1">
      <c r="A722" s="101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ht="12.75" customHeight="1">
      <c r="A723" s="101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ht="12.75" customHeight="1">
      <c r="A724" s="101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ht="12.75" customHeight="1">
      <c r="A725" s="101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ht="12.75" customHeight="1">
      <c r="A726" s="101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ht="12.75" customHeight="1">
      <c r="A727" s="101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ht="12.75" customHeight="1">
      <c r="A728" s="101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ht="12.75" customHeight="1">
      <c r="A729" s="101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ht="12.75" customHeight="1">
      <c r="A730" s="101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ht="12.75" customHeight="1">
      <c r="A731" s="101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ht="12.75" customHeight="1">
      <c r="A732" s="101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ht="12.75" customHeight="1">
      <c r="A733" s="101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ht="12.75" customHeight="1">
      <c r="A734" s="101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ht="12.75" customHeight="1">
      <c r="A735" s="101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ht="12.75" customHeight="1">
      <c r="A736" s="101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ht="12.75" customHeight="1">
      <c r="A737" s="101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ht="12.75" customHeight="1">
      <c r="A738" s="101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ht="12.75" customHeight="1">
      <c r="A739" s="101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ht="12.75" customHeight="1">
      <c r="A740" s="101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ht="12.75" customHeight="1">
      <c r="A741" s="101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ht="12.75" customHeight="1">
      <c r="A742" s="101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ht="12.75" customHeight="1">
      <c r="A743" s="101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ht="12.75" customHeight="1">
      <c r="A744" s="101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ht="12.75" customHeight="1">
      <c r="A745" s="101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ht="12.75" customHeight="1">
      <c r="A746" s="101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ht="12.75" customHeight="1">
      <c r="A747" s="101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ht="12.75" customHeight="1">
      <c r="A748" s="101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ht="12.75" customHeight="1">
      <c r="A749" s="101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ht="12.75" customHeight="1">
      <c r="A750" s="101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ht="12.75" customHeight="1">
      <c r="A751" s="101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ht="12.75" customHeight="1">
      <c r="A752" s="101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ht="12.75" customHeight="1">
      <c r="A753" s="101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ht="12.75" customHeight="1">
      <c r="A754" s="101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ht="12.75" customHeight="1">
      <c r="A755" s="101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ht="12.75" customHeight="1">
      <c r="A756" s="101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ht="12.75" customHeight="1">
      <c r="A757" s="101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ht="12.75" customHeight="1">
      <c r="A758" s="101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ht="12.75" customHeight="1">
      <c r="A759" s="101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ht="12.75" customHeight="1">
      <c r="A760" s="101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ht="12.75" customHeight="1">
      <c r="A761" s="101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ht="12.75" customHeight="1">
      <c r="A762" s="101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ht="12.75" customHeight="1">
      <c r="A763" s="101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ht="12.75" customHeight="1">
      <c r="A764" s="101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ht="12.75" customHeight="1">
      <c r="A765" s="101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ht="12.75" customHeight="1">
      <c r="A766" s="101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ht="12.75" customHeight="1">
      <c r="A767" s="101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ht="12.75" customHeight="1">
      <c r="A768" s="101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ht="12.75" customHeight="1">
      <c r="A769" s="101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ht="12.75" customHeight="1">
      <c r="A770" s="101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ht="12.75" customHeight="1">
      <c r="A771" s="101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ht="12.75" customHeight="1">
      <c r="A772" s="101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ht="12.75" customHeight="1">
      <c r="A773" s="101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ht="12.75" customHeight="1">
      <c r="A774" s="101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ht="12.75" customHeight="1">
      <c r="A775" s="101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ht="12.75" customHeight="1">
      <c r="A776" s="101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ht="12.75" customHeight="1">
      <c r="A777" s="101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ht="12.75" customHeight="1">
      <c r="A778" s="101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ht="12.75" customHeight="1">
      <c r="A779" s="101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ht="12.75" customHeight="1">
      <c r="A780" s="101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ht="12.75" customHeight="1">
      <c r="A781" s="101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ht="12.75" customHeight="1">
      <c r="A782" s="101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ht="12.75" customHeight="1">
      <c r="A783" s="101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ht="12.75" customHeight="1">
      <c r="A784" s="101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ht="12.75" customHeight="1">
      <c r="A785" s="101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ht="12.75" customHeight="1">
      <c r="A786" s="101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ht="12.75" customHeight="1">
      <c r="A787" s="101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ht="12.75" customHeight="1">
      <c r="A788" s="101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ht="12.75" customHeight="1">
      <c r="A789" s="101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ht="12.75" customHeight="1">
      <c r="A790" s="101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ht="12.75" customHeight="1">
      <c r="A791" s="101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ht="12.75" customHeight="1">
      <c r="A792" s="101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ht="12.75" customHeight="1">
      <c r="A793" s="101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ht="12.75" customHeight="1">
      <c r="A794" s="101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ht="12.75" customHeight="1">
      <c r="A795" s="101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ht="12.75" customHeight="1">
      <c r="A796" s="101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ht="12.75" customHeight="1">
      <c r="A797" s="101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ht="12.75" customHeight="1">
      <c r="A798" s="101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ht="12.75" customHeight="1">
      <c r="A799" s="101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ht="12.75" customHeight="1">
      <c r="A800" s="101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ht="12.75" customHeight="1">
      <c r="A801" s="101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ht="12.75" customHeight="1">
      <c r="A802" s="101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ht="12.75" customHeight="1">
      <c r="A803" s="101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ht="12.75" customHeight="1">
      <c r="A804" s="101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ht="12.75" customHeight="1">
      <c r="A805" s="101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ht="12.75" customHeight="1">
      <c r="A806" s="101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ht="12.75" customHeight="1">
      <c r="A807" s="101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ht="12.75" customHeight="1">
      <c r="A808" s="101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ht="12.75" customHeight="1">
      <c r="A809" s="101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ht="12.75" customHeight="1">
      <c r="A810" s="101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ht="12.75" customHeight="1">
      <c r="A811" s="101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ht="12.75" customHeight="1">
      <c r="A812" s="101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ht="12.75" customHeight="1">
      <c r="A813" s="101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ht="12.75" customHeight="1">
      <c r="A814" s="101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ht="12.75" customHeight="1">
      <c r="A815" s="101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ht="12.75" customHeight="1">
      <c r="A816" s="101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ht="12.75" customHeight="1">
      <c r="A817" s="101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ht="12.75" customHeight="1">
      <c r="A818" s="101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ht="12.75" customHeight="1">
      <c r="A819" s="101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ht="12.75" customHeight="1">
      <c r="A820" s="101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ht="12.75" customHeight="1">
      <c r="A821" s="101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ht="12.75" customHeight="1">
      <c r="A822" s="101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ht="12.75" customHeight="1">
      <c r="A823" s="101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ht="12.75" customHeight="1">
      <c r="A824" s="101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ht="12.75" customHeight="1">
      <c r="A825" s="101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ht="12.75" customHeight="1">
      <c r="A826" s="101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ht="12.75" customHeight="1">
      <c r="A827" s="101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ht="12.75" customHeight="1">
      <c r="A828" s="101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ht="12.75" customHeight="1">
      <c r="A829" s="101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ht="12.75" customHeight="1">
      <c r="A830" s="101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ht="12.75" customHeight="1">
      <c r="A831" s="101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ht="12.75" customHeight="1">
      <c r="A832" s="101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ht="12.75" customHeight="1">
      <c r="A833" s="101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ht="12.75" customHeight="1">
      <c r="A834" s="101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ht="12.75" customHeight="1">
      <c r="A835" s="101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ht="12.75" customHeight="1">
      <c r="A836" s="101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ht="12.75" customHeight="1">
      <c r="A837" s="101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ht="12.75" customHeight="1">
      <c r="A838" s="101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ht="12.75" customHeight="1">
      <c r="A839" s="101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ht="12.75" customHeight="1">
      <c r="A840" s="101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ht="12.75" customHeight="1">
      <c r="A841" s="101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ht="12.75" customHeight="1">
      <c r="A842" s="101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ht="12.75" customHeight="1">
      <c r="A843" s="101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ht="12.75" customHeight="1">
      <c r="A844" s="101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ht="12.75" customHeight="1">
      <c r="A845" s="101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ht="12.75" customHeight="1">
      <c r="A846" s="101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ht="12.75" customHeight="1">
      <c r="A847" s="101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ht="12.75" customHeight="1">
      <c r="A848" s="101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ht="12.75" customHeight="1">
      <c r="A849" s="101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ht="12.75" customHeight="1">
      <c r="A850" s="101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ht="12.75" customHeight="1">
      <c r="A851" s="101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ht="12.75" customHeight="1">
      <c r="A852" s="101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ht="12.75" customHeight="1">
      <c r="A853" s="101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ht="12.75" customHeight="1">
      <c r="A854" s="101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ht="12.75" customHeight="1">
      <c r="A855" s="101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ht="12.75" customHeight="1">
      <c r="A856" s="101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ht="12.75" customHeight="1">
      <c r="A857" s="101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ht="12.75" customHeight="1">
      <c r="A858" s="101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ht="12.75" customHeight="1">
      <c r="A859" s="101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ht="12.75" customHeight="1">
      <c r="A860" s="101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ht="12.75" customHeight="1">
      <c r="A861" s="101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ht="12.75" customHeight="1">
      <c r="A862" s="101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ht="12.75" customHeight="1">
      <c r="A863" s="101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ht="12.75" customHeight="1">
      <c r="A864" s="101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ht="12.75" customHeight="1">
      <c r="A865" s="101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ht="12.75" customHeight="1">
      <c r="A866" s="101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ht="12.75" customHeight="1">
      <c r="A867" s="101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ht="12.75" customHeight="1">
      <c r="A868" s="101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ht="12.75" customHeight="1">
      <c r="A869" s="101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ht="12.75" customHeight="1">
      <c r="A870" s="101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ht="12.75" customHeight="1">
      <c r="A871" s="101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ht="12.75" customHeight="1">
      <c r="A872" s="101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ht="12.75" customHeight="1">
      <c r="A873" s="101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ht="12.75" customHeight="1">
      <c r="A874" s="101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ht="12.75" customHeight="1">
      <c r="A875" s="101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ht="12.75" customHeight="1">
      <c r="A876" s="101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ht="12.75" customHeight="1">
      <c r="A877" s="101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ht="12.75" customHeight="1">
      <c r="A878" s="101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ht="12.75" customHeight="1">
      <c r="A879" s="101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ht="12.75" customHeight="1">
      <c r="A880" s="101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ht="12.75" customHeight="1">
      <c r="A881" s="101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ht="12.75" customHeight="1">
      <c r="A882" s="101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ht="12.75" customHeight="1">
      <c r="A883" s="101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ht="12.75" customHeight="1">
      <c r="A884" s="101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ht="12.75" customHeight="1">
      <c r="A885" s="101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ht="12.75" customHeight="1">
      <c r="A886" s="101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ht="12.75" customHeight="1">
      <c r="A887" s="101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ht="12.75" customHeight="1">
      <c r="A888" s="101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ht="12.75" customHeight="1">
      <c r="A889" s="101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ht="12.75" customHeight="1">
      <c r="A890" s="101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ht="12.75" customHeight="1">
      <c r="A891" s="101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ht="12.75" customHeight="1">
      <c r="A892" s="101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ht="12.75" customHeight="1">
      <c r="A893" s="101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ht="12.75" customHeight="1">
      <c r="A894" s="101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ht="12.75" customHeight="1">
      <c r="A895" s="101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ht="12.75" customHeight="1">
      <c r="A896" s="101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ht="12.75" customHeight="1">
      <c r="A897" s="101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ht="12.75" customHeight="1">
      <c r="A898" s="101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ht="12.75" customHeight="1">
      <c r="A899" s="101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ht="12.75" customHeight="1">
      <c r="A900" s="101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ht="12.75" customHeight="1">
      <c r="A901" s="101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ht="12.75" customHeight="1">
      <c r="A902" s="101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ht="12.75" customHeight="1">
      <c r="A903" s="101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ht="12.75" customHeight="1">
      <c r="A904" s="101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ht="12.75" customHeight="1">
      <c r="A905" s="101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ht="12.75" customHeight="1">
      <c r="A906" s="101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ht="12.75" customHeight="1">
      <c r="A907" s="101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ht="12.75" customHeight="1">
      <c r="A908" s="101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ht="12.75" customHeight="1">
      <c r="A909" s="101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ht="12.75" customHeight="1">
      <c r="A910" s="101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ht="12.75" customHeight="1">
      <c r="A911" s="101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ht="12.75" customHeight="1">
      <c r="A912" s="101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ht="12.75" customHeight="1">
      <c r="A913" s="101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ht="12.75" customHeight="1">
      <c r="A914" s="101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ht="12.75" customHeight="1">
      <c r="A915" s="101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ht="12.75" customHeight="1">
      <c r="A916" s="101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ht="12.75" customHeight="1">
      <c r="A917" s="101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ht="12.75" customHeight="1">
      <c r="A918" s="101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ht="12.75" customHeight="1">
      <c r="A919" s="101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ht="12.75" customHeight="1">
      <c r="A920" s="101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ht="12.75" customHeight="1">
      <c r="A921" s="101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ht="12.75" customHeight="1">
      <c r="A922" s="101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ht="12.75" customHeight="1">
      <c r="A923" s="101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ht="12.75" customHeight="1">
      <c r="A924" s="101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ht="12.75" customHeight="1">
      <c r="A925" s="101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ht="12.75" customHeight="1">
      <c r="A926" s="101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ht="12.75" customHeight="1">
      <c r="A927" s="101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ht="12.75" customHeight="1">
      <c r="A928" s="101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ht="12.75" customHeight="1">
      <c r="A929" s="101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ht="12.75" customHeight="1">
      <c r="A930" s="101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ht="12.75" customHeight="1">
      <c r="A931" s="101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ht="12.75" customHeight="1">
      <c r="A932" s="101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ht="12.75" customHeight="1">
      <c r="A933" s="101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ht="12.75" customHeight="1">
      <c r="A934" s="101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ht="12.75" customHeight="1">
      <c r="A935" s="101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ht="12.75" customHeight="1">
      <c r="A936" s="101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ht="12.75" customHeight="1">
      <c r="A937" s="101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ht="12.75" customHeight="1">
      <c r="A938" s="101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ht="12.75" customHeight="1">
      <c r="A939" s="101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ht="12.75" customHeight="1">
      <c r="A940" s="101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ht="12.75" customHeight="1">
      <c r="A941" s="101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ht="12.75" customHeight="1">
      <c r="A942" s="101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ht="12.75" customHeight="1">
      <c r="A943" s="101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ht="12.75" customHeight="1">
      <c r="A944" s="101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ht="12.75" customHeight="1">
      <c r="A945" s="101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ht="12.75" customHeight="1">
      <c r="A946" s="101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ht="12.75" customHeight="1">
      <c r="A947" s="101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ht="12.75" customHeight="1">
      <c r="A948" s="101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ht="12.75" customHeight="1">
      <c r="A949" s="101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ht="12.75" customHeight="1">
      <c r="A950" s="101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ht="12.75" customHeight="1">
      <c r="A951" s="101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ht="12.75" customHeight="1">
      <c r="A952" s="101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ht="12.75" customHeight="1">
      <c r="A953" s="101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ht="12.75" customHeight="1">
      <c r="A954" s="101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ht="12.75" customHeight="1">
      <c r="A955" s="101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ht="12.75" customHeight="1">
      <c r="A956" s="101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ht="12.75" customHeight="1">
      <c r="A957" s="101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ht="12.75" customHeight="1">
      <c r="A958" s="101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ht="12.75" customHeight="1">
      <c r="A959" s="101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ht="12.75" customHeight="1">
      <c r="A960" s="101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ht="12.75" customHeight="1">
      <c r="A961" s="101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ht="12.75" customHeight="1">
      <c r="A962" s="101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ht="12.75" customHeight="1">
      <c r="A963" s="101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ht="12.75" customHeight="1">
      <c r="A964" s="101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ht="12.75" customHeight="1">
      <c r="A965" s="101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ht="12.75" customHeight="1">
      <c r="A966" s="101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ht="12.75" customHeight="1">
      <c r="A967" s="101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ht="12.75" customHeight="1">
      <c r="A968" s="101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ht="12.75" customHeight="1">
      <c r="A969" s="101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ht="12.75" customHeight="1">
      <c r="A970" s="101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ht="12.75" customHeight="1">
      <c r="A971" s="101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ht="12.75" customHeight="1">
      <c r="A972" s="101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ht="12.75" customHeight="1">
      <c r="A973" s="101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ht="12.75" customHeight="1">
      <c r="A974" s="101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ht="12.75" customHeight="1">
      <c r="A975" s="101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ht="12.75" customHeight="1">
      <c r="A976" s="101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ht="12.75" customHeight="1">
      <c r="A977" s="101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ht="12.75" customHeight="1">
      <c r="A978" s="101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ht="12.75" customHeight="1">
      <c r="A979" s="101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ht="12.75" customHeight="1">
      <c r="A980" s="101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ht="12.75" customHeight="1">
      <c r="A981" s="101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ht="12.75" customHeight="1">
      <c r="A982" s="101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ht="12.75" customHeight="1">
      <c r="A983" s="101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ht="12.75" customHeight="1">
      <c r="A984" s="101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ht="12.75" customHeight="1">
      <c r="A985" s="101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ht="12.75" customHeight="1">
      <c r="A986" s="101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ht="12.75" customHeight="1">
      <c r="A987" s="101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ht="12.75" customHeight="1">
      <c r="A988" s="101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ht="12.75" customHeight="1">
      <c r="A989" s="101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ht="12.75" customHeight="1">
      <c r="A990" s="101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ht="12.75" customHeight="1">
      <c r="A991" s="101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 ht="12.75" customHeight="1">
      <c r="A992" s="101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 ht="12.75" customHeight="1">
      <c r="A993" s="101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 ht="12.75" customHeight="1">
      <c r="A994" s="101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 ht="12.75" customHeight="1">
      <c r="A995" s="101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 ht="12.75" customHeight="1">
      <c r="A996" s="101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 ht="12.75" customHeight="1">
      <c r="A997" s="101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 ht="12.75" customHeight="1">
      <c r="A998" s="101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 ht="12.75" customHeight="1">
      <c r="A999" s="101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 ht="12.75" customHeight="1">
      <c r="A1000" s="101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</sheetData>
  <drawing r:id="rId1"/>
</worksheet>
</file>