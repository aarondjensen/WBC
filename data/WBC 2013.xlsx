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BettingScoreboard" sheetId="3" r:id="rId6"/>
    <sheet state="visible" name="Stock Market" sheetId="4" r:id="rId7"/>
    <sheet state="visible" name="Score Calcuations" sheetId="5" r:id="rId8"/>
    <sheet state="visible" name="Betting SETUP" sheetId="6" r:id="rId9"/>
    <sheet state="visible" name="SETUP" sheetId="7" r:id="rId10"/>
    <sheet state="visible" name="Stock Market Print Sheet" sheetId="8" r:id="rId11"/>
  </sheets>
  <definedNames/>
  <calcPr/>
</workbook>
</file>

<file path=xl/sharedStrings.xml><?xml version="1.0" encoding="utf-8"?>
<sst xmlns="http://schemas.openxmlformats.org/spreadsheetml/2006/main" count="541" uniqueCount="88">
  <si>
    <t>2013 WANNABE CUP</t>
  </si>
  <si>
    <t>TO PAR</t>
  </si>
  <si>
    <t>POS</t>
  </si>
  <si>
    <t>PLAYER</t>
  </si>
  <si>
    <t>SCORE</t>
  </si>
  <si>
    <t>Hole</t>
  </si>
  <si>
    <t>OUT</t>
  </si>
  <si>
    <t>IN</t>
  </si>
  <si>
    <t>TOTAL</t>
  </si>
  <si>
    <t>NET</t>
  </si>
  <si>
    <t>Handi</t>
  </si>
  <si>
    <t>Par</t>
  </si>
  <si>
    <t>SKIN</t>
  </si>
  <si>
    <t>CTP</t>
  </si>
  <si>
    <t>Player</t>
  </si>
  <si>
    <t>Low Net Per Round</t>
  </si>
  <si>
    <t>Skins</t>
  </si>
  <si>
    <t>Skin $</t>
  </si>
  <si>
    <t>CTP $</t>
  </si>
  <si>
    <t># of Winners</t>
  </si>
  <si>
    <t>Total</t>
  </si>
  <si>
    <t>Payout</t>
  </si>
  <si>
    <t>Each Skin</t>
  </si>
  <si>
    <t>Each CTP</t>
  </si>
  <si>
    <t>Shares</t>
  </si>
  <si>
    <t>Bob B</t>
  </si>
  <si>
    <t>Brian K</t>
  </si>
  <si>
    <t>Eric O</t>
  </si>
  <si>
    <t>Matt V</t>
  </si>
  <si>
    <t>Scott R</t>
  </si>
  <si>
    <t>N/A</t>
  </si>
  <si>
    <t>FINAL</t>
  </si>
  <si>
    <t>PAYOUT</t>
  </si>
  <si>
    <t>WBC Winner</t>
  </si>
  <si>
    <t>initial</t>
  </si>
  <si>
    <t>rebuy</t>
  </si>
  <si>
    <t xml:space="preserve"> </t>
  </si>
  <si>
    <t>Aaron J</t>
  </si>
  <si>
    <t>RANK</t>
  </si>
  <si>
    <t>w/o TIES</t>
  </si>
  <si>
    <t>w/ TIES</t>
  </si>
  <si>
    <t>GROSS</t>
  </si>
  <si>
    <t>Per Player</t>
  </si>
  <si>
    <t>Total Pot</t>
  </si>
  <si>
    <t>Per</t>
  </si>
  <si>
    <t>Paid</t>
  </si>
  <si>
    <t>Low Score - Net - Per Round</t>
  </si>
  <si>
    <t>Skins - Gross - Cumulative</t>
  </si>
  <si>
    <t>1-PUTT</t>
  </si>
  <si>
    <t>3-PUTT</t>
  </si>
  <si>
    <t>Y</t>
  </si>
  <si>
    <t>BLACK FOREST</t>
  </si>
  <si>
    <t>LOCHENHEATH</t>
  </si>
  <si>
    <t>THE LEGEND</t>
  </si>
  <si>
    <t>FOREST DUNES</t>
  </si>
  <si>
    <t>Index</t>
  </si>
  <si>
    <t>Aaron J - initial $20</t>
  </si>
  <si>
    <t>Andy V - initial $20</t>
  </si>
  <si>
    <t>Bob B - initial $20</t>
  </si>
  <si>
    <t>Brian K - initial $20</t>
  </si>
  <si>
    <t>Dave K - initial $20</t>
  </si>
  <si>
    <t>Eric O - initial $20</t>
  </si>
  <si>
    <t>Andy V</t>
  </si>
  <si>
    <t>Dave K</t>
  </si>
  <si>
    <t>Jeff B</t>
  </si>
  <si>
    <t>Joe S</t>
  </si>
  <si>
    <t>John C</t>
  </si>
  <si>
    <t>Russ W</t>
  </si>
  <si>
    <t xml:space="preserve">20 TOTAL </t>
  </si>
  <si>
    <t>Jeff B - initial $20</t>
  </si>
  <si>
    <t>Joe S - initial $20</t>
  </si>
  <si>
    <t>John C - initial $20</t>
  </si>
  <si>
    <t>Matt V - initial $20</t>
  </si>
  <si>
    <t>Russ W - initial $20</t>
  </si>
  <si>
    <t>Scott R - initial $20</t>
  </si>
  <si>
    <t>Aaron J - rebuy</t>
  </si>
  <si>
    <t>Andy V - rebuy</t>
  </si>
  <si>
    <t>Bob B - rebuy</t>
  </si>
  <si>
    <t>Brian K - rebuy</t>
  </si>
  <si>
    <t>Dave K - rebuy</t>
  </si>
  <si>
    <t>Eric O - rebuy</t>
  </si>
  <si>
    <t>10 TOTAL</t>
  </si>
  <si>
    <t>Jeff B - rebuy</t>
  </si>
  <si>
    <t>Joe S - rebuy</t>
  </si>
  <si>
    <t>John C - rebuy</t>
  </si>
  <si>
    <t>Matt V - rebuy</t>
  </si>
  <si>
    <t>Russ W - rebuy</t>
  </si>
  <si>
    <t>Scott R - rebuy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</si>
</sst>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+0;-0;0"/>
    <numFmt numFmtId="165" formatCode="0.0"/>
    <numFmt numFmtId="166" formatCode="&quot;$&quot;#,##0_);[Red]\(&quot;$&quot;#,##0\)"/>
    <numFmt numFmtId="167" formatCode="&quot;$&quot;#,##0"/>
    <numFmt numFmtId="168" formatCode="&quot;$&quot;#,##0.00"/>
    <numFmt numFmtId="169" formatCode="&quot;$&quot;#,##0.00_);[Red]\(&quot;$&quot;#,##0.00\)"/>
  </numFmts>
  <fonts count="18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b/>
      <sz val="16.0"/>
      <color rgb="FF000000"/>
      <name val="Calibri"/>
    </font>
    <font>
      <sz val="11.0"/>
    </font>
    <font>
      <sz val="16.0"/>
      <color rgb="FF000000"/>
      <name val="Calibri"/>
    </font>
    <font>
      <sz val="16.0"/>
    </font>
  </fonts>
  <fills count="1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BDBDBD"/>
        <bgColor rgb="FFBDBD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0"/>
    </xf>
    <xf borderId="3" fillId="4" fontId="3" numFmtId="0" xfId="0" applyAlignment="1" applyBorder="1" applyFill="1" applyFont="1">
      <alignment horizontal="center" shrinkToFit="0" vertical="center" wrapText="0"/>
    </xf>
    <xf borderId="3" fillId="5" fontId="3" numFmtId="0" xfId="0" applyAlignment="1" applyBorder="1" applyFill="1" applyFon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wrapText="0"/>
    </xf>
    <xf borderId="0" fillId="0" fontId="6" numFmtId="1" xfId="0" applyAlignment="1" applyFont="1" applyNumberFormat="1">
      <alignment horizontal="center" shrinkToFit="0" wrapText="0"/>
    </xf>
    <xf borderId="4" fillId="6" fontId="7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4" fillId="7" fontId="6" numFmtId="0" xfId="0" applyAlignment="1" applyBorder="1" applyFill="1" applyFont="1">
      <alignment horizontal="center" shrinkToFit="0" wrapText="0"/>
    </xf>
    <xf borderId="6" fillId="7" fontId="6" numFmtId="0" xfId="0" applyAlignment="1" applyBorder="1" applyFont="1">
      <alignment horizontal="center" shrinkToFit="0" wrapText="0"/>
    </xf>
    <xf borderId="7" fillId="6" fontId="7" numFmtId="165" xfId="0" applyAlignment="1" applyBorder="1" applyFont="1" applyNumberFormat="1">
      <alignment horizontal="center" shrinkToFit="0" wrapText="0"/>
    </xf>
    <xf borderId="8" fillId="6" fontId="7" numFmtId="1" xfId="0" applyAlignment="1" applyBorder="1" applyFont="1" applyNumberFormat="1">
      <alignment horizontal="center" shrinkToFit="0" wrapText="0"/>
    </xf>
    <xf borderId="8" fillId="6" fontId="7" numFmtId="0" xfId="0" applyAlignment="1" applyBorder="1" applyFont="1">
      <alignment horizontal="center" shrinkToFit="0" wrapText="0"/>
    </xf>
    <xf borderId="8" fillId="7" fontId="6" numFmtId="0" xfId="0" applyAlignment="1" applyBorder="1" applyFont="1">
      <alignment horizontal="center" shrinkToFit="0" wrapText="0"/>
    </xf>
    <xf borderId="9" fillId="7" fontId="6" numFmtId="0" xfId="0" applyAlignment="1" applyBorder="1" applyFont="1">
      <alignment horizontal="center" shrinkToFit="0" wrapText="0"/>
    </xf>
    <xf borderId="8" fillId="7" fontId="6" numFmtId="1" xfId="0" applyAlignment="1" applyBorder="1" applyFont="1" applyNumberFormat="1">
      <alignment horizontal="center" shrinkToFit="0" wrapText="0"/>
    </xf>
    <xf borderId="3" fillId="5" fontId="8" numFmtId="0" xfId="0" applyAlignment="1" applyBorder="1" applyFont="1">
      <alignment horizontal="left" shrinkToFit="0" wrapText="0"/>
    </xf>
    <xf borderId="3" fillId="5" fontId="8" numFmtId="1" xfId="0" applyAlignment="1" applyBorder="1" applyFont="1" applyNumberFormat="1">
      <alignment horizontal="left" shrinkToFit="0" wrapText="0"/>
    </xf>
    <xf borderId="6" fillId="5" fontId="6" numFmtId="0" xfId="0" applyAlignment="1" applyBorder="1" applyFont="1">
      <alignment horizontal="center" readingOrder="0" vertical="bottom"/>
    </xf>
    <xf borderId="6" fillId="5" fontId="6" numFmtId="0" xfId="0" applyAlignment="1" applyBorder="1" applyFont="1">
      <alignment horizontal="center" vertical="bottom"/>
    </xf>
    <xf borderId="6" fillId="5" fontId="6" numFmtId="1" xfId="0" applyAlignment="1" applyBorder="1" applyFont="1" applyNumberFormat="1">
      <alignment horizontal="center" vertical="bottom"/>
    </xf>
    <xf borderId="10" fillId="5" fontId="6" numFmtId="0" xfId="0" applyAlignment="1" applyBorder="1" applyFont="1">
      <alignment horizontal="center" readingOrder="0" shrinkToFit="0" wrapText="0"/>
    </xf>
    <xf borderId="10" fillId="5" fontId="6" numFmtId="1" xfId="0" applyAlignment="1" applyBorder="1" applyFont="1" applyNumberFormat="1">
      <alignment horizontal="center" readingOrder="0" shrinkToFit="0" wrapText="0"/>
    </xf>
    <xf borderId="3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shrinkToFit="0" wrapText="0"/>
    </xf>
    <xf borderId="3" fillId="5" fontId="6" numFmtId="1" xfId="0" applyAlignment="1" applyBorder="1" applyFont="1" applyNumberFormat="1">
      <alignment horizontal="center" shrinkToFit="0" wrapText="0"/>
    </xf>
    <xf borderId="11" fillId="6" fontId="7" numFmtId="0" xfId="0" applyAlignment="1" applyBorder="1" applyFont="1">
      <alignment horizontal="center" shrinkToFit="0" wrapText="0"/>
    </xf>
    <xf borderId="11" fillId="5" fontId="6" numFmtId="0" xfId="0" applyAlignment="1" applyBorder="1" applyFont="1">
      <alignment horizontal="center" shrinkToFit="0" wrapText="0"/>
    </xf>
    <xf borderId="3" fillId="6" fontId="7" numFmtId="0" xfId="0" applyAlignment="1" applyBorder="1" applyFont="1">
      <alignment horizontal="center" shrinkToFit="0" wrapText="0"/>
    </xf>
    <xf borderId="3" fillId="7" fontId="6" numFmtId="0" xfId="0" applyAlignment="1" applyBorder="1" applyFont="1">
      <alignment horizontal="center" shrinkToFit="0" wrapText="0"/>
    </xf>
    <xf borderId="3" fillId="7" fontId="6" numFmtId="1" xfId="0" applyAlignment="1" applyBorder="1" applyFont="1" applyNumberFormat="1">
      <alignment horizontal="center" shrinkToFit="0" wrapText="0"/>
    </xf>
    <xf borderId="3" fillId="7" fontId="6" numFmtId="0" xfId="0" applyAlignment="1" applyBorder="1" applyFont="1">
      <alignment horizontal="center" readingOrder="0" shrinkToFit="0" wrapText="0"/>
    </xf>
    <xf borderId="12" fillId="7" fontId="6" numFmtId="0" xfId="0" applyAlignment="1" applyBorder="1" applyFont="1">
      <alignment horizontal="center" shrinkToFit="0" wrapText="0"/>
    </xf>
    <xf borderId="6" fillId="8" fontId="9" numFmtId="165" xfId="0" applyAlignment="1" applyBorder="1" applyFill="1" applyFont="1" applyNumberFormat="1">
      <alignment horizontal="center" readingOrder="0" shrinkToFit="0" wrapText="0"/>
    </xf>
    <xf borderId="3" fillId="8" fontId="9" numFmtId="1" xfId="0" applyAlignment="1" applyBorder="1" applyFont="1" applyNumberFormat="1">
      <alignment horizontal="center" readingOrder="0" shrinkToFit="0" wrapText="0"/>
    </xf>
    <xf borderId="3" fillId="7" fontId="6" numFmtId="0" xfId="0" applyAlignment="1" applyBorder="1" applyFont="1">
      <alignment horizontal="center" readingOrder="0" shrinkToFit="0" wrapText="0"/>
    </xf>
    <xf borderId="0" fillId="0" fontId="2" numFmtId="1" xfId="0" applyFont="1" applyNumberFormat="1"/>
    <xf borderId="7" fillId="6" fontId="7" numFmtId="0" xfId="0" applyAlignment="1" applyBorder="1" applyFont="1">
      <alignment horizontal="center" shrinkToFit="0" wrapText="0"/>
    </xf>
    <xf borderId="13" fillId="5" fontId="8" numFmtId="0" xfId="0" applyAlignment="1" applyBorder="1" applyFont="1">
      <alignment horizontal="center" readingOrder="0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11" fillId="6" fontId="8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0" fillId="5" fontId="6" numFmtId="0" xfId="0" applyAlignment="1" applyBorder="1" applyFon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4" fillId="5" fontId="6" numFmtId="49" xfId="0" applyAlignment="1" applyBorder="1" applyFont="1" applyNumberFormat="1">
      <alignment horizontal="center" shrinkToFit="0" vertical="center" wrapText="0"/>
    </xf>
    <xf borderId="15" fillId="6" fontId="6" numFmtId="0" xfId="0" applyAlignment="1" applyBorder="1" applyFont="1">
      <alignment horizontal="center" readingOrder="0" shrinkToFit="0" vertical="center" wrapText="0"/>
    </xf>
    <xf borderId="6" fillId="5" fontId="6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4" fillId="5" fontId="6" numFmtId="166" xfId="0" applyAlignment="1" applyBorder="1" applyFont="1" applyNumberFormat="1">
      <alignment horizontal="center" shrinkToFit="0" vertical="center" wrapText="0"/>
    </xf>
    <xf borderId="15" fillId="6" fontId="6" numFmtId="166" xfId="0" applyAlignment="1" applyBorder="1" applyFont="1" applyNumberFormat="1">
      <alignment horizontal="center" shrinkToFit="0" vertical="center" wrapText="0"/>
    </xf>
    <xf borderId="3" fillId="5" fontId="6" numFmtId="166" xfId="0" applyAlignment="1" applyBorder="1" applyFont="1" applyNumberFormat="1">
      <alignment horizontal="center" shrinkToFit="0" vertical="center" wrapText="0"/>
    </xf>
    <xf borderId="13" fillId="9" fontId="8" numFmtId="0" xfId="0" applyAlignment="1" applyBorder="1" applyFill="1" applyFont="1">
      <alignment horizontal="center" readingOrder="0" shrinkToFit="0" vertical="center" wrapText="1"/>
    </xf>
    <xf borderId="15" fillId="6" fontId="6" numFmtId="0" xfId="0" applyAlignment="1" applyBorder="1" applyFont="1">
      <alignment horizontal="center" shrinkToFit="0" vertical="center" wrapText="0"/>
    </xf>
    <xf borderId="13" fillId="9" fontId="8" numFmtId="167" xfId="0" applyAlignment="1" applyBorder="1" applyFont="1" applyNumberFormat="1">
      <alignment horizontal="center" readingOrder="0" shrinkToFit="0" vertical="center" wrapText="1"/>
    </xf>
    <xf borderId="12" fillId="6" fontId="6" numFmtId="167" xfId="0" applyAlignment="1" applyBorder="1" applyFont="1" applyNumberFormat="1">
      <alignment horizontal="center" shrinkToFit="0" vertical="center" wrapText="0"/>
    </xf>
    <xf borderId="3" fillId="10" fontId="10" numFmtId="167" xfId="0" applyAlignment="1" applyBorder="1" applyFill="1" applyFont="1" applyNumberFormat="1">
      <alignment horizontal="center" readingOrder="0" vertical="center"/>
    </xf>
    <xf borderId="5" fillId="7" fontId="10" numFmtId="0" xfId="0" applyAlignment="1" applyBorder="1" applyFont="1">
      <alignment horizontal="center" readingOrder="0" vertical="center"/>
    </xf>
    <xf borderId="6" fillId="7" fontId="10" numFmtId="167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7" fontId="10" numFmtId="0" xfId="0" applyAlignment="1" applyBorder="1" applyFont="1">
      <alignment horizontal="center" readingOrder="0" vertical="center"/>
    </xf>
    <xf borderId="3" fillId="11" fontId="1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" fillId="5" fontId="8" numFmtId="0" xfId="0" applyAlignment="1" applyBorder="1" applyFont="1">
      <alignment horizontal="center" readingOrder="0" shrinkToFit="0" vertical="center" wrapText="0"/>
    </xf>
    <xf borderId="3" fillId="5" fontId="12" numFmtId="0" xfId="0" applyAlignment="1" applyBorder="1" applyFon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4" fillId="5" fontId="6" numFmtId="167" xfId="0" applyAlignment="1" applyBorder="1" applyFont="1" applyNumberFormat="1">
      <alignment horizontal="center" vertical="center"/>
    </xf>
    <xf borderId="16" fillId="5" fontId="6" numFmtId="0" xfId="0" applyAlignment="1" applyBorder="1" applyFont="1">
      <alignment horizontal="center" readingOrder="0" vertical="center"/>
    </xf>
    <xf borderId="0" fillId="5" fontId="6" numFmtId="167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0" fontId="2" numFmtId="168" xfId="0" applyFont="1" applyNumberFormat="1"/>
    <xf borderId="3" fillId="10" fontId="10" numFmtId="0" xfId="0" applyAlignment="1" applyBorder="1" applyFont="1">
      <alignment horizontal="center" readingOrder="0" vertical="center"/>
    </xf>
    <xf borderId="0" fillId="7" fontId="10" numFmtId="0" xfId="0" applyAlignment="1" applyFont="1">
      <alignment horizontal="center" readingOrder="0" vertical="center"/>
    </xf>
    <xf borderId="13" fillId="0" fontId="10" numFmtId="0" xfId="0" applyAlignment="1" applyBorder="1" applyFont="1">
      <alignment horizontal="center" readingOrder="0" vertical="center"/>
    </xf>
    <xf borderId="3" fillId="7" fontId="10" numFmtId="168" xfId="0" applyAlignment="1" applyBorder="1" applyFont="1" applyNumberFormat="1">
      <alignment horizontal="center" readingOrder="0" vertical="center"/>
    </xf>
    <xf borderId="0" fillId="7" fontId="10" numFmtId="168" xfId="0" applyAlignment="1" applyFont="1" applyNumberFormat="1">
      <alignment horizontal="center" readingOrder="0" vertical="center"/>
    </xf>
    <xf borderId="12" fillId="5" fontId="8" numFmtId="0" xfId="0" applyAlignment="1" applyBorder="1" applyFont="1">
      <alignment horizontal="center" readingOrder="0" shrinkToFit="0" vertical="center" wrapText="0"/>
    </xf>
    <xf borderId="3" fillId="5" fontId="12" numFmtId="167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center" vertical="center"/>
    </xf>
    <xf borderId="0" fillId="5" fontId="6" numFmtId="0" xfId="0" applyAlignment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3" fillId="9" fontId="8" numFmtId="49" xfId="0" applyAlignment="1" applyBorder="1" applyFont="1" applyNumberFormat="1">
      <alignment horizontal="center" readingOrder="0" shrinkToFit="0" vertical="center" wrapText="0"/>
    </xf>
    <xf borderId="4" fillId="9" fontId="8" numFmtId="49" xfId="0" applyAlignment="1" applyBorder="1" applyFont="1" applyNumberFormat="1">
      <alignment horizontal="center" shrinkToFit="0" vertical="center" wrapText="0"/>
    </xf>
    <xf borderId="6" fillId="9" fontId="2" numFmtId="0" xfId="0" applyBorder="1" applyFont="1"/>
    <xf borderId="5" fillId="9" fontId="2" numFmtId="0" xfId="0" applyBorder="1" applyFont="1"/>
    <xf borderId="14" fillId="5" fontId="8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readingOrder="0" shrinkToFit="0" vertical="center" wrapText="0"/>
    </xf>
    <xf borderId="3" fillId="12" fontId="8" numFmtId="49" xfId="0" applyAlignment="1" applyBorder="1" applyFill="1" applyFont="1" applyNumberFormat="1">
      <alignment horizontal="center" shrinkToFit="0" vertical="center" wrapText="0"/>
    </xf>
    <xf borderId="3" fillId="12" fontId="6" numFmtId="49" xfId="0" applyAlignment="1" applyBorder="1" applyFont="1" applyNumberFormat="1">
      <alignment horizontal="center" vertical="center"/>
    </xf>
    <xf borderId="3" fillId="12" fontId="6" numFmtId="49" xfId="0" applyAlignment="1" applyBorder="1" applyFont="1" applyNumberFormat="1">
      <alignment horizontal="center" shrinkToFit="0" vertical="center" wrapText="0"/>
    </xf>
    <xf borderId="3" fillId="12" fontId="8" numFmtId="164" xfId="0" applyAlignment="1" applyBorder="1" applyFont="1" applyNumberFormat="1">
      <alignment horizontal="center" shrinkToFit="0" vertical="center" wrapText="0"/>
    </xf>
    <xf borderId="3" fillId="5" fontId="6" numFmtId="49" xfId="0" applyAlignment="1" applyBorder="1" applyFont="1" applyNumberFormat="1">
      <alignment horizontal="center" vertical="center"/>
    </xf>
    <xf borderId="3" fillId="5" fontId="8" numFmtId="164" xfId="0" applyAlignment="1" applyBorder="1" applyFont="1" applyNumberFormat="1">
      <alignment horizontal="center" shrinkToFit="0" vertical="center" wrapText="0"/>
    </xf>
    <xf borderId="12" fillId="4" fontId="8" numFmtId="169" xfId="0" applyAlignment="1" applyBorder="1" applyFont="1" applyNumberFormat="1">
      <alignment horizontal="center" readingOrder="0" vertical="center"/>
    </xf>
    <xf borderId="13" fillId="4" fontId="11" numFmtId="168" xfId="0" applyAlignment="1" applyBorder="1" applyFont="1" applyNumberFormat="1">
      <alignment horizontal="center" vertical="center"/>
    </xf>
    <xf borderId="13" fillId="4" fontId="8" numFmtId="168" xfId="0" applyAlignment="1" applyBorder="1" applyFont="1" applyNumberFormat="1">
      <alignment horizontal="center" readingOrder="0" vertical="center"/>
    </xf>
    <xf borderId="13" fillId="5" fontId="8" numFmtId="0" xfId="0" applyAlignment="1" applyBorder="1" applyFont="1">
      <alignment horizontal="center"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13" fillId="5" fontId="9" numFmtId="0" xfId="0" applyAlignment="1" applyBorder="1" applyFont="1">
      <alignment readingOrder="0" vertical="center"/>
    </xf>
    <xf borderId="13" fillId="5" fontId="6" numFmtId="0" xfId="0" applyAlignment="1" applyBorder="1" applyFont="1">
      <alignment horizontal="center" vertical="center"/>
    </xf>
    <xf borderId="13" fillId="5" fontId="6" numFmtId="0" xfId="0" applyAlignment="1" applyBorder="1" applyFont="1">
      <alignment horizontal="center" readingOrder="0" vertical="center"/>
    </xf>
    <xf borderId="3" fillId="5" fontId="9" numFmtId="0" xfId="0" applyAlignment="1" applyBorder="1" applyFont="1">
      <alignment readingOrder="0" vertical="center"/>
    </xf>
    <xf borderId="3" fillId="5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/>
    </xf>
    <xf borderId="6" fillId="7" fontId="8" numFmtId="0" xfId="0" applyAlignment="1" applyBorder="1" applyFont="1">
      <alignment horizontal="center" readingOrder="0"/>
    </xf>
    <xf borderId="12" fillId="13" fontId="8" numFmtId="165" xfId="0" applyAlignment="1" applyBorder="1" applyFill="1" applyFont="1" applyNumberFormat="1">
      <alignment horizontal="center" readingOrder="0"/>
    </xf>
    <xf borderId="13" fillId="13" fontId="8" numFmtId="165" xfId="0" applyAlignment="1" applyBorder="1" applyFont="1" applyNumberFormat="1">
      <alignment horizontal="center" readingOrder="0"/>
    </xf>
    <xf borderId="12" fillId="13" fontId="8" numFmtId="0" xfId="0" applyAlignment="1" applyBorder="1" applyFont="1">
      <alignment horizontal="center" readingOrder="0"/>
    </xf>
    <xf borderId="13" fillId="13" fontId="8" numFmtId="0" xfId="0" applyAlignment="1" applyBorder="1" applyFont="1">
      <alignment horizontal="center" readingOrder="0"/>
    </xf>
    <xf borderId="3" fillId="5" fontId="6" numFmtId="0" xfId="0" applyAlignment="1" applyBorder="1" applyFont="1">
      <alignment horizontal="center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3" fillId="5" fontId="6" numFmtId="1" xfId="0" applyAlignment="1" applyBorder="1" applyFont="1" applyNumberFormat="1">
      <alignment horizontal="center" readingOrder="0" shrinkToFit="0" vertical="center" wrapText="0"/>
    </xf>
    <xf borderId="0" fillId="0" fontId="13" numFmtId="0" xfId="0" applyFont="1"/>
    <xf borderId="17" fillId="5" fontId="14" numFmtId="0" xfId="0" applyAlignment="1" applyBorder="1" applyFont="1">
      <alignment horizontal="left" readingOrder="0" shrinkToFit="0" vertical="center" wrapText="0"/>
    </xf>
    <xf borderId="17" fillId="0" fontId="2" numFmtId="0" xfId="0" applyBorder="1" applyFont="1"/>
    <xf borderId="17" fillId="0" fontId="15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3" fillId="14" fontId="16" numFmtId="167" xfId="0" applyAlignment="1" applyBorder="1" applyFill="1" applyFont="1" applyNumberFormat="1">
      <alignment horizontal="center" readingOrder="0" shrinkToFit="0" vertical="center" wrapText="0"/>
    </xf>
    <xf borderId="3" fillId="14" fontId="16" numFmtId="0" xfId="0" applyAlignment="1" applyBorder="1" applyFont="1">
      <alignment horizontal="center" readingOrder="0" shrinkToFit="0" vertical="center" wrapText="0"/>
    </xf>
    <xf borderId="3" fillId="14" fontId="17" numFmtId="0" xfId="0" applyBorder="1" applyFont="1"/>
    <xf borderId="0" fillId="0" fontId="17" numFmtId="0" xfId="0" applyFont="1"/>
    <xf borderId="3" fillId="5" fontId="16" numFmtId="167" xfId="0" applyAlignment="1" applyBorder="1" applyFont="1" applyNumberFormat="1">
      <alignment horizontal="center" readingOrder="0" shrinkToFit="0" vertical="center" wrapText="0"/>
    </xf>
    <xf borderId="3" fillId="5" fontId="16" numFmtId="0" xfId="0" applyAlignment="1" applyBorder="1" applyFont="1">
      <alignment horizontal="center" readingOrder="0" shrinkToFit="0" vertical="center" wrapText="0"/>
    </xf>
    <xf borderId="3" fillId="0" fontId="17" numFmtId="0" xfId="0" applyBorder="1" applyFont="1"/>
    <xf borderId="3" fillId="7" fontId="14" numFmtId="167" xfId="0" applyAlignment="1" applyBorder="1" applyFont="1" applyNumberFormat="1">
      <alignment horizontal="center" readingOrder="0" shrinkToFit="0" vertical="center" wrapText="1"/>
    </xf>
    <xf borderId="3" fillId="7" fontId="14" numFmtId="0" xfId="0" applyAlignment="1" applyBorder="1" applyFont="1">
      <alignment horizontal="center" readingOrder="0" shrinkToFit="0" vertical="center" wrapText="1"/>
    </xf>
    <xf borderId="3" fillId="7" fontId="2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1">
    <tableStyle count="3" pivot="0" name="Scorecards-style">
      <tableStyleElement dxfId="1" type="headerRow"/>
      <tableStyleElement dxfId="2" type="firstRowStripe"/>
      <tableStyleElement dxfId="3" type="secondRowStripe"/>
    </tableStyle>
    <tableStyle count="3" pivot="0" name="Scorecards-style 2">
      <tableStyleElement dxfId="1" type="headerRow"/>
      <tableStyleElement dxfId="2" type="firstRowStripe"/>
      <tableStyleElement dxfId="3" type="secondRowStripe"/>
    </tableStyle>
    <tableStyle count="3" pivot="0" name="Scorecards-style 3">
      <tableStyleElement dxfId="1" type="headerRow"/>
      <tableStyleElement dxfId="2" type="firstRowStripe"/>
      <tableStyleElement dxfId="3" type="secondRowStripe"/>
    </tableStyle>
    <tableStyle count="3" pivot="0" name="Scorecards-style 4">
      <tableStyleElement dxfId="1" type="headerRow"/>
      <tableStyleElement dxfId="2" type="firstRowStripe"/>
      <tableStyleElement dxfId="3" type="secondRowStripe"/>
    </tableStyle>
    <tableStyle count="3" pivot="0" name="BettingScoreboard-style">
      <tableStyleElement dxfId="1" type="headerRow"/>
      <tableStyleElement dxfId="2" type="firstRowStripe"/>
      <tableStyleElement dxfId="3" type="secondRowStripe"/>
    </tableStyle>
    <tableStyle count="2" pivot="0" name="Stock Market-style">
      <tableStyleElement dxfId="2" type="firstRowStripe"/>
      <tableStyleElement dxfId="3" type="secondRowStripe"/>
    </tableStyle>
    <tableStyle count="2" pivot="0" name="Stock Market-style 2">
      <tableStyleElement dxfId="2" type="firstRowStripe"/>
      <tableStyleElement dxfId="3" type="secondRowStripe"/>
    </tableStyle>
    <tableStyle count="2" pivot="0" name="Stock Market-style 3">
      <tableStyleElement dxfId="2" type="firstRowStripe"/>
      <tableStyleElement dxfId="3" type="secondRowStripe"/>
    </tableStyle>
    <tableStyle count="2" pivot="0" name="Stock Market-style 4">
      <tableStyleElement dxfId="2" type="firstRowStripe"/>
      <tableStyleElement dxfId="3" type="secondRowStripe"/>
    </tableStyle>
    <tableStyle count="3" pivot="0" name="Betting SETUP-style">
      <tableStyleElement dxfId="1" type="headerRow"/>
      <tableStyleElement dxfId="2" type="firstRowStripe"/>
      <tableStyleElement dxfId="3" type="secondRowStripe"/>
    </tableStyle>
    <tableStyle count="3" pivot="0" name="SETU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Y15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1:Y33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9:Y51" displayName="Table_3" name="Table_3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7:Y69" displayName="Table_4" name="Table_4" id="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M13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ettingScore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:N14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" showColumnStripes="0" showFirstColumn="1" showLastColumn="1" showRowStripes="1"/>
</table>
</file>

<file path=xl/tables/table7.xml><?xml version="1.0" encoding="utf-8"?>
<table xmlns="http://schemas.openxmlformats.org/spreadsheetml/2006/main" headerRowCount="0" ref="P3:S1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Stock Market-style 2" showColumnStripes="0" showFirstColumn="1" showLastColumn="1" showRowStripes="1"/>
</table>
</file>

<file path=xl/tables/table8.xml><?xml version="1.0" encoding="utf-8"?>
<table xmlns="http://schemas.openxmlformats.org/spreadsheetml/2006/main" headerRowCount="0" ref="A19:N30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 3" showColumnStripes="0" showFirstColumn="1" showLastColumn="1" showRowStripes="1"/>
</table>
</file>

<file path=xl/tables/table9.xml><?xml version="1.0" encoding="utf-8"?>
<table xmlns="http://schemas.openxmlformats.org/spreadsheetml/2006/main" headerRowCount="0" ref="P19:S30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tock Market-style 4" showColumnStripes="0" showFirstColumn="1" showLastColumn="1" showRowStripes="1"/>
</table>
</file>

<file path=xl/tables/table10.xml><?xml version="1.0" encoding="utf-8"?>
<table xmlns="http://schemas.openxmlformats.org/spreadsheetml/2006/main" ref="A4:G16" displayName="Table_10" name="Table_10" id="10">
  <tableColumns count="7">
    <tableColumn name="Player" id="1"/>
    <tableColumn name="Paid" id="2"/>
    <tableColumn name="Low Score - Net - Per Round" id="3"/>
    <tableColumn name="Skins - Gross - Cumulative" id="4"/>
    <tableColumn name="CTP" id="5"/>
    <tableColumn name="1-PUTT" id="6"/>
    <tableColumn name="3-PUTT" id="7"/>
  </tableColumns>
  <tableStyleInfo name="Betting SETUP-style" showColumnStripes="0" showFirstColumn="1" showLastColumn="1" showRowStripes="1"/>
</table>
</file>

<file path=xl/tables/table11.xml><?xml version="1.0" encoding="utf-8"?>
<table xmlns="http://schemas.openxmlformats.org/spreadsheetml/2006/main" headerRowCount="0" ref="A4:F16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0"/>
    <col customWidth="1" min="3" max="3" width="17.29"/>
    <col customWidth="1" min="4" max="4" width="13.0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</row>
    <row r="2" ht="30.0" customHeight="1">
      <c r="A2" s="3" t="s">
        <v>1</v>
      </c>
      <c r="B2" s="3" t="s">
        <v>2</v>
      </c>
      <c r="C2" s="4" t="s">
        <v>3</v>
      </c>
      <c r="D2" s="4" t="s">
        <v>4</v>
      </c>
      <c r="E2" s="5" t="str">
        <f>SETUP!C1</f>
        <v>BLACK FOREST</v>
      </c>
      <c r="F2" s="5" t="str">
        <f>SETUP!D1</f>
        <v>LOCHENHEATH</v>
      </c>
      <c r="G2" s="5" t="str">
        <f>SETUP!E1</f>
        <v>THE LEGEND</v>
      </c>
      <c r="H2" s="5" t="str">
        <f>SETUP!F1</f>
        <v>FOREST DUNES</v>
      </c>
    </row>
    <row r="3" ht="26.25" customHeight="1">
      <c r="A3" s="6" t="str">
        <f t="array" ref="A3">index('Score Calcuations'!$N$3:$N$14,match(C3,'Score Calcuations'!$A$3:$A$14))</f>
        <v>N/A</v>
      </c>
      <c r="B3" s="7" t="str">
        <f>IFERROR(__xludf.DUMMYFUNCTION("query(index('Score Calcuations'!A3:N14&amp;""""),""select Col3,Col1,Col14,Col5,Col7,Col9,Col11 ORDER BY Col13"",0)"),"")</f>
        <v/>
      </c>
      <c r="C3" s="7" t="str">
        <f>IFERROR(__xludf.DUMMYFUNCTION("""COMPUTED_VALUE"""),"N/A")</f>
        <v>N/A</v>
      </c>
      <c r="D3" s="8" t="str">
        <f>IFERROR(__xludf.DUMMYFUNCTION("""COMPUTED_VALUE"""),"N/A")</f>
        <v>N/A</v>
      </c>
      <c r="E3" s="9"/>
      <c r="F3" s="9"/>
      <c r="G3" s="9"/>
      <c r="H3" s="9"/>
    </row>
    <row r="4" ht="26.25" customHeight="1">
      <c r="A4" s="6" t="str">
        <f t="array" ref="A4">index('Score Calcuations'!$N$3:$N$14,match(C4,'Score Calcuations'!$A$3:$A$14))</f>
        <v>N/A</v>
      </c>
      <c r="B4" s="7"/>
      <c r="C4" s="7" t="str">
        <f>IFERROR(__xludf.DUMMYFUNCTION("""COMPUTED_VALUE"""),"N/A")</f>
        <v>N/A</v>
      </c>
      <c r="D4" s="8" t="str">
        <f>IFERROR(__xludf.DUMMYFUNCTION("""COMPUTED_VALUE"""),"N/A")</f>
        <v>N/A</v>
      </c>
      <c r="E4" s="9"/>
      <c r="F4" s="9"/>
      <c r="G4" s="9"/>
      <c r="H4" s="9"/>
    </row>
    <row r="5" ht="26.25" customHeight="1">
      <c r="A5" s="6" t="str">
        <f t="array" ref="A5">index('Score Calcuations'!$N$3:$N$14,match(C5,'Score Calcuations'!$A$3:$A$14))</f>
        <v>N/A</v>
      </c>
      <c r="B5" s="7"/>
      <c r="C5" s="7" t="str">
        <f>IFERROR(__xludf.DUMMYFUNCTION("""COMPUTED_VALUE"""),"N/A")</f>
        <v>N/A</v>
      </c>
      <c r="D5" s="8" t="str">
        <f>IFERROR(__xludf.DUMMYFUNCTION("""COMPUTED_VALUE"""),"N/A")</f>
        <v>N/A</v>
      </c>
      <c r="E5" s="9"/>
      <c r="F5" s="9"/>
      <c r="G5" s="9"/>
      <c r="H5" s="9"/>
    </row>
    <row r="6" ht="26.25" customHeight="1">
      <c r="A6" s="6" t="str">
        <f t="array" ref="A6">index('Score Calcuations'!$N$3:$N$14,match(C6,'Score Calcuations'!$A$3:$A$14))</f>
        <v>N/A</v>
      </c>
      <c r="B6" s="7"/>
      <c r="C6" s="7" t="str">
        <f>IFERROR(__xludf.DUMMYFUNCTION("""COMPUTED_VALUE"""),"N/A")</f>
        <v>N/A</v>
      </c>
      <c r="D6" s="8" t="str">
        <f>IFERROR(__xludf.DUMMYFUNCTION("""COMPUTED_VALUE"""),"N/A")</f>
        <v>N/A</v>
      </c>
      <c r="E6" s="9"/>
      <c r="F6" s="9"/>
      <c r="G6" s="9"/>
      <c r="H6" s="9"/>
    </row>
    <row r="7" ht="26.25" customHeight="1">
      <c r="A7" s="6" t="str">
        <f t="array" ref="A7">index('Score Calcuations'!$N$3:$N$14,match(C7,'Score Calcuations'!$A$3:$A$14))</f>
        <v>N/A</v>
      </c>
      <c r="B7" s="7"/>
      <c r="C7" s="7" t="str">
        <f>IFERROR(__xludf.DUMMYFUNCTION("""COMPUTED_VALUE"""),"N/A")</f>
        <v>N/A</v>
      </c>
      <c r="D7" s="8" t="str">
        <f>IFERROR(__xludf.DUMMYFUNCTION("""COMPUTED_VALUE"""),"N/A")</f>
        <v>N/A</v>
      </c>
      <c r="E7" s="9"/>
      <c r="F7" s="9"/>
      <c r="G7" s="9"/>
      <c r="H7" s="9"/>
    </row>
    <row r="8" ht="26.25" customHeight="1">
      <c r="A8" s="6" t="str">
        <f t="array" ref="A8">index('Score Calcuations'!$N$3:$N$14,match(C8,'Score Calcuations'!$A$3:$A$14))</f>
        <v>N/A</v>
      </c>
      <c r="B8" s="7"/>
      <c r="C8" s="7" t="str">
        <f>IFERROR(__xludf.DUMMYFUNCTION("""COMPUTED_VALUE"""),"N/A")</f>
        <v>N/A</v>
      </c>
      <c r="D8" s="8" t="str">
        <f>IFERROR(__xludf.DUMMYFUNCTION("""COMPUTED_VALUE"""),"N/A")</f>
        <v>N/A</v>
      </c>
      <c r="E8" s="9"/>
      <c r="F8" s="9"/>
      <c r="G8" s="9"/>
      <c r="H8" s="9"/>
    </row>
    <row r="9" ht="26.25" customHeight="1">
      <c r="A9" s="6" t="str">
        <f t="array" ref="A9">index('Score Calcuations'!$N$3:$N$14,match(C9,'Score Calcuations'!$A$3:$A$14))</f>
        <v>N/A</v>
      </c>
      <c r="B9" s="7" t="str">
        <f>IFERROR(__xludf.DUMMYFUNCTION("""COMPUTED_VALUE"""),"1")</f>
        <v>1</v>
      </c>
      <c r="C9" s="7" t="str">
        <f>IFERROR(__xludf.DUMMYFUNCTION("""COMPUTED_VALUE"""),"Scott R")</f>
        <v>Scott R</v>
      </c>
      <c r="D9" s="8" t="str">
        <f>IFERROR(__xludf.DUMMYFUNCTION("""COMPUTED_VALUE"""),"28")</f>
        <v>28</v>
      </c>
      <c r="E9" s="9" t="str">
        <f>IFERROR(__xludf.DUMMYFUNCTION("""COMPUTED_VALUE"""),"82")</f>
        <v>82</v>
      </c>
      <c r="F9" s="9" t="str">
        <f>IFERROR(__xludf.DUMMYFUNCTION("""COMPUTED_VALUE"""),"79")</f>
        <v>79</v>
      </c>
      <c r="G9" s="9" t="str">
        <f>IFERROR(__xludf.DUMMYFUNCTION("""COMPUTED_VALUE"""),"76")</f>
        <v>76</v>
      </c>
      <c r="H9" s="9" t="str">
        <f>IFERROR(__xludf.DUMMYFUNCTION("""COMPUTED_VALUE"""),"80")</f>
        <v>80</v>
      </c>
    </row>
    <row r="10" ht="26.25" customHeight="1">
      <c r="A10" s="6">
        <f t="array" ref="A10">index('Score Calcuations'!$N$3:$N$14,match(C10,'Score Calcuations'!$A$3:$A$14))</f>
        <v>33</v>
      </c>
      <c r="B10" s="7" t="str">
        <f>IFERROR(__xludf.DUMMYFUNCTION("""COMPUTED_VALUE"""),"2")</f>
        <v>2</v>
      </c>
      <c r="C10" s="7" t="str">
        <f>IFERROR(__xludf.DUMMYFUNCTION("""COMPUTED_VALUE"""),"Aaron J")</f>
        <v>Aaron J</v>
      </c>
      <c r="D10" s="8" t="str">
        <f>IFERROR(__xludf.DUMMYFUNCTION("""COMPUTED_VALUE"""),"33")</f>
        <v>33</v>
      </c>
      <c r="E10" s="9" t="str">
        <f>IFERROR(__xludf.DUMMYFUNCTION("""COMPUTED_VALUE"""),"82")</f>
        <v>82</v>
      </c>
      <c r="F10" s="9" t="str">
        <f>IFERROR(__xludf.DUMMYFUNCTION("""COMPUTED_VALUE"""),"83")</f>
        <v>83</v>
      </c>
      <c r="G10" s="9" t="str">
        <f>IFERROR(__xludf.DUMMYFUNCTION("""COMPUTED_VALUE"""),"76")</f>
        <v>76</v>
      </c>
      <c r="H10" s="9" t="str">
        <f>IFERROR(__xludf.DUMMYFUNCTION("""COMPUTED_VALUE"""),"81")</f>
        <v>81</v>
      </c>
    </row>
    <row r="11" ht="26.25" customHeight="1">
      <c r="A11" s="6">
        <f t="array" ref="A11">index('Score Calcuations'!$N$3:$N$14,match(C11,'Score Calcuations'!$A$3:$A$14))</f>
        <v>35</v>
      </c>
      <c r="B11" s="7" t="str">
        <f>IFERROR(__xludf.DUMMYFUNCTION("""COMPUTED_VALUE"""),"3")</f>
        <v>3</v>
      </c>
      <c r="C11" s="7" t="str">
        <f>IFERROR(__xludf.DUMMYFUNCTION("""COMPUTED_VALUE"""),"Eric O")</f>
        <v>Eric O</v>
      </c>
      <c r="D11" s="8" t="str">
        <f>IFERROR(__xludf.DUMMYFUNCTION("""COMPUTED_VALUE"""),"35")</f>
        <v>35</v>
      </c>
      <c r="E11" s="9" t="str">
        <f>IFERROR(__xludf.DUMMYFUNCTION("""COMPUTED_VALUE"""),"91")</f>
        <v>91</v>
      </c>
      <c r="F11" s="9" t="str">
        <f>IFERROR(__xludf.DUMMYFUNCTION("""COMPUTED_VALUE"""),"84")</f>
        <v>84</v>
      </c>
      <c r="G11" s="9" t="str">
        <f>IFERROR(__xludf.DUMMYFUNCTION("""COMPUTED_VALUE"""),"73")</f>
        <v>73</v>
      </c>
      <c r="H11" s="9" t="str">
        <f>IFERROR(__xludf.DUMMYFUNCTION("""COMPUTED_VALUE"""),"76")</f>
        <v>76</v>
      </c>
    </row>
    <row r="12" ht="26.25" customHeight="1">
      <c r="A12" s="6">
        <f t="array" ref="A12">index('Score Calcuations'!$N$3:$N$14,match(C12,'Score Calcuations'!$A$3:$A$14))</f>
        <v>37</v>
      </c>
      <c r="B12" s="7" t="str">
        <f>IFERROR(__xludf.DUMMYFUNCTION("""COMPUTED_VALUE"""),"4")</f>
        <v>4</v>
      </c>
      <c r="C12" s="7" t="str">
        <f>IFERROR(__xludf.DUMMYFUNCTION("""COMPUTED_VALUE"""),"Brian K")</f>
        <v>Brian K</v>
      </c>
      <c r="D12" s="8" t="str">
        <f>IFERROR(__xludf.DUMMYFUNCTION("""COMPUTED_VALUE"""),"37")</f>
        <v>37</v>
      </c>
      <c r="E12" s="9" t="str">
        <f>IFERROR(__xludf.DUMMYFUNCTION("""COMPUTED_VALUE"""),"84")</f>
        <v>84</v>
      </c>
      <c r="F12" s="9" t="str">
        <f>IFERROR(__xludf.DUMMYFUNCTION("""COMPUTED_VALUE"""),"84")</f>
        <v>84</v>
      </c>
      <c r="G12" s="9" t="str">
        <f>IFERROR(__xludf.DUMMYFUNCTION("""COMPUTED_VALUE"""),"77")</f>
        <v>77</v>
      </c>
      <c r="H12" s="9" t="str">
        <f>IFERROR(__xludf.DUMMYFUNCTION("""COMPUTED_VALUE"""),"81")</f>
        <v>81</v>
      </c>
    </row>
    <row r="13" ht="26.25" customHeight="1">
      <c r="A13" s="6">
        <f t="array" ref="A13">index('Score Calcuations'!$N$3:$N$14,match(C13,'Score Calcuations'!$A$3:$A$14))</f>
        <v>39</v>
      </c>
      <c r="B13" s="7" t="str">
        <f>IFERROR(__xludf.DUMMYFUNCTION("""COMPUTED_VALUE"""),"5")</f>
        <v>5</v>
      </c>
      <c r="C13" s="7" t="str">
        <f>IFERROR(__xludf.DUMMYFUNCTION("""COMPUTED_VALUE"""),"Bob B")</f>
        <v>Bob B</v>
      </c>
      <c r="D13" s="8" t="str">
        <f>IFERROR(__xludf.DUMMYFUNCTION("""COMPUTED_VALUE"""),"39")</f>
        <v>39</v>
      </c>
      <c r="E13" s="9" t="str">
        <f>IFERROR(__xludf.DUMMYFUNCTION("""COMPUTED_VALUE"""),"88")</f>
        <v>88</v>
      </c>
      <c r="F13" s="9" t="str">
        <f>IFERROR(__xludf.DUMMYFUNCTION("""COMPUTED_VALUE"""),"79")</f>
        <v>79</v>
      </c>
      <c r="G13" s="9" t="str">
        <f>IFERROR(__xludf.DUMMYFUNCTION("""COMPUTED_VALUE"""),"83")</f>
        <v>83</v>
      </c>
      <c r="H13" s="9" t="str">
        <f>IFERROR(__xludf.DUMMYFUNCTION("""COMPUTED_VALUE"""),"78")</f>
        <v>78</v>
      </c>
    </row>
    <row r="14" ht="26.25" customHeight="1">
      <c r="A14" s="6">
        <f t="array" ref="A14">index('Score Calcuations'!$N$3:$N$14,match(C14,'Score Calcuations'!$A$3:$A$14))</f>
        <v>40</v>
      </c>
      <c r="B14" s="7" t="str">
        <f>IFERROR(__xludf.DUMMYFUNCTION("""COMPUTED_VALUE"""),"6")</f>
        <v>6</v>
      </c>
      <c r="C14" s="7" t="str">
        <f>IFERROR(__xludf.DUMMYFUNCTION("""COMPUTED_VALUE"""),"Matt V")</f>
        <v>Matt V</v>
      </c>
      <c r="D14" s="8" t="str">
        <f>IFERROR(__xludf.DUMMYFUNCTION("""COMPUTED_VALUE"""),"40")</f>
        <v>40</v>
      </c>
      <c r="E14" s="9" t="str">
        <f>IFERROR(__xludf.DUMMYFUNCTION("""COMPUTED_VALUE"""),"87")</f>
        <v>87</v>
      </c>
      <c r="F14" s="9" t="str">
        <f>IFERROR(__xludf.DUMMYFUNCTION("""COMPUTED_VALUE"""),"81")</f>
        <v>81</v>
      </c>
      <c r="G14" s="9" t="str">
        <f>IFERROR(__xludf.DUMMYFUNCTION("""COMPUTED_VALUE"""),"81")</f>
        <v>81</v>
      </c>
      <c r="H14" s="9" t="str">
        <f>IFERROR(__xludf.DUMMYFUNCTION("""COMPUTED_VALUE"""),"80")</f>
        <v>80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25" width="7.29"/>
  </cols>
  <sheetData>
    <row r="1" ht="12.75" customHeight="1">
      <c r="A1" s="10"/>
      <c r="B1" s="11"/>
      <c r="C1" s="12" t="str">
        <f>SETUP!C1</f>
        <v>BLACK FOREST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/>
      <c r="X1" s="16">
        <f>SETUP!C2</f>
        <v>72.8</v>
      </c>
      <c r="Y1" s="17">
        <f>SETUP!C3</f>
        <v>143</v>
      </c>
    </row>
    <row r="2" ht="12.75" customHeight="1">
      <c r="A2" s="10"/>
      <c r="B2" s="11"/>
      <c r="C2" s="18" t="s">
        <v>5</v>
      </c>
      <c r="D2" s="19">
        <v>1.0</v>
      </c>
      <c r="E2" s="19">
        <v>2.0</v>
      </c>
      <c r="F2" s="19">
        <v>3.0</v>
      </c>
      <c r="G2" s="19">
        <v>4.0</v>
      </c>
      <c r="H2" s="19">
        <v>5.0</v>
      </c>
      <c r="I2" s="19">
        <v>6.0</v>
      </c>
      <c r="J2" s="19">
        <v>7.0</v>
      </c>
      <c r="K2" s="19">
        <v>8.0</v>
      </c>
      <c r="L2" s="19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19">
        <v>16.0</v>
      </c>
      <c r="T2" s="19">
        <v>17.0</v>
      </c>
      <c r="U2" s="19">
        <v>18.0</v>
      </c>
      <c r="V2" s="20" t="s">
        <v>6</v>
      </c>
      <c r="W2" s="20" t="s">
        <v>7</v>
      </c>
      <c r="X2" s="19" t="s">
        <v>8</v>
      </c>
      <c r="Y2" s="21" t="s">
        <v>9</v>
      </c>
    </row>
    <row r="3" ht="12.75" customHeight="1">
      <c r="A3" s="22" t="str">
        <f>SETUP!A4</f>
        <v>Player</v>
      </c>
      <c r="B3" s="23" t="s">
        <v>10</v>
      </c>
      <c r="C3" s="18" t="s">
        <v>11</v>
      </c>
      <c r="D3" s="24">
        <v>5.0</v>
      </c>
      <c r="E3" s="24">
        <v>4.0</v>
      </c>
      <c r="F3" s="24">
        <v>4.0</v>
      </c>
      <c r="G3" s="24">
        <v>4.0</v>
      </c>
      <c r="H3" s="24">
        <v>3.0</v>
      </c>
      <c r="I3" s="24">
        <v>4.0</v>
      </c>
      <c r="J3" s="24">
        <v>5.0</v>
      </c>
      <c r="K3" s="24">
        <v>3.0</v>
      </c>
      <c r="L3" s="24">
        <v>4.0</v>
      </c>
      <c r="M3" s="24">
        <v>5.0</v>
      </c>
      <c r="N3" s="24">
        <v>4.0</v>
      </c>
      <c r="O3" s="24">
        <v>3.0</v>
      </c>
      <c r="P3" s="24">
        <v>4.0</v>
      </c>
      <c r="Q3" s="24">
        <v>4.0</v>
      </c>
      <c r="R3" s="24">
        <v>3.0</v>
      </c>
      <c r="S3" s="24">
        <v>5.0</v>
      </c>
      <c r="T3" s="24">
        <v>4.0</v>
      </c>
      <c r="U3" s="24">
        <v>5.0</v>
      </c>
      <c r="V3" s="25">
        <f t="shared" ref="V3:V15" si="1">SUM(D3:L3)</f>
        <v>36</v>
      </c>
      <c r="W3" s="25">
        <f t="shared" ref="W3:W15" si="2">SUM(M3:U3)</f>
        <v>37</v>
      </c>
      <c r="X3" s="25">
        <f>V3+W3</f>
        <v>73</v>
      </c>
      <c r="Y3" s="26"/>
    </row>
    <row r="4" ht="12.75" customHeight="1">
      <c r="A4" s="27" t="str">
        <f>SETUP!A5</f>
        <v>Aaron J</v>
      </c>
      <c r="B4" s="28">
        <f t="array" ref="B4">if(A4="","",index(SETUP!C:C,match(A4,SETUP!A:A,0)))</f>
        <v>13</v>
      </c>
      <c r="C4" s="18"/>
      <c r="D4" s="29">
        <v>5.0</v>
      </c>
      <c r="E4" s="29">
        <v>8.0</v>
      </c>
      <c r="F4" s="29">
        <v>6.0</v>
      </c>
      <c r="G4" s="29">
        <v>5.0</v>
      </c>
      <c r="H4" s="29">
        <v>4.0</v>
      </c>
      <c r="I4" s="29">
        <v>5.0</v>
      </c>
      <c r="J4" s="29">
        <v>4.0</v>
      </c>
      <c r="K4" s="29">
        <v>3.0</v>
      </c>
      <c r="L4" s="29">
        <v>5.0</v>
      </c>
      <c r="M4" s="29">
        <v>8.0</v>
      </c>
      <c r="N4" s="29">
        <v>7.0</v>
      </c>
      <c r="O4" s="29">
        <v>3.0</v>
      </c>
      <c r="P4" s="29">
        <v>4.0</v>
      </c>
      <c r="Q4" s="29">
        <v>7.0</v>
      </c>
      <c r="R4" s="29">
        <v>3.0</v>
      </c>
      <c r="S4" s="29">
        <v>7.0</v>
      </c>
      <c r="T4" s="29">
        <v>4.0</v>
      </c>
      <c r="U4" s="29">
        <v>7.0</v>
      </c>
      <c r="V4" s="30">
        <f t="shared" si="1"/>
        <v>45</v>
      </c>
      <c r="W4" s="30">
        <f t="shared" si="2"/>
        <v>50</v>
      </c>
      <c r="X4" s="30">
        <f t="shared" ref="X4:X15" si="3">IF(W4&gt;0,V4+W4,"")</f>
        <v>95</v>
      </c>
      <c r="Y4" s="31">
        <f t="shared" ref="Y4:Y15" si="4">IF(W4=0,"",X4-B4)</f>
        <v>82</v>
      </c>
    </row>
    <row r="5" ht="12.75" customHeight="1">
      <c r="A5" s="27" t="str">
        <f>SETUP!A6</f>
        <v>Bob B</v>
      </c>
      <c r="B5" s="28">
        <f t="array" ref="B5">if(A5="","",index(SETUP!C:C,match(A5,SETUP!A:A,0)))</f>
        <v>17</v>
      </c>
      <c r="C5" s="18"/>
      <c r="D5" s="29">
        <v>7.0</v>
      </c>
      <c r="E5" s="29">
        <v>8.0</v>
      </c>
      <c r="F5" s="29">
        <v>4.0</v>
      </c>
      <c r="G5" s="29">
        <v>6.0</v>
      </c>
      <c r="H5" s="29">
        <v>5.0</v>
      </c>
      <c r="I5" s="29">
        <v>6.0</v>
      </c>
      <c r="J5" s="29">
        <v>5.0</v>
      </c>
      <c r="K5" s="29">
        <v>3.0</v>
      </c>
      <c r="L5" s="29">
        <v>6.0</v>
      </c>
      <c r="M5" s="29">
        <v>5.0</v>
      </c>
      <c r="N5" s="29">
        <v>5.0</v>
      </c>
      <c r="O5" s="29">
        <v>6.0</v>
      </c>
      <c r="P5" s="29">
        <v>5.0</v>
      </c>
      <c r="Q5" s="29">
        <v>6.0</v>
      </c>
      <c r="R5" s="29">
        <v>6.0</v>
      </c>
      <c r="S5" s="29">
        <v>8.0</v>
      </c>
      <c r="T5" s="29">
        <v>7.0</v>
      </c>
      <c r="U5" s="29">
        <v>7.0</v>
      </c>
      <c r="V5" s="30">
        <f t="shared" si="1"/>
        <v>50</v>
      </c>
      <c r="W5" s="30">
        <f t="shared" si="2"/>
        <v>55</v>
      </c>
      <c r="X5" s="30">
        <f t="shared" si="3"/>
        <v>105</v>
      </c>
      <c r="Y5" s="31">
        <f t="shared" si="4"/>
        <v>88</v>
      </c>
    </row>
    <row r="6" ht="12.75" customHeight="1">
      <c r="A6" s="27" t="str">
        <f>SETUP!A7</f>
        <v>Brian K</v>
      </c>
      <c r="B6" s="28">
        <f t="array" ref="B6">if(A6="","",index(SETUP!C:C,match(A6,SETUP!A:A,0)))</f>
        <v>17</v>
      </c>
      <c r="C6" s="18"/>
      <c r="D6" s="29">
        <v>7.0</v>
      </c>
      <c r="E6" s="29">
        <v>6.0</v>
      </c>
      <c r="F6" s="29">
        <v>5.0</v>
      </c>
      <c r="G6" s="29">
        <v>6.0</v>
      </c>
      <c r="H6" s="29">
        <v>7.0</v>
      </c>
      <c r="I6" s="29">
        <v>7.0</v>
      </c>
      <c r="J6" s="29">
        <v>6.0</v>
      </c>
      <c r="K6" s="29">
        <v>4.0</v>
      </c>
      <c r="L6" s="29">
        <v>6.0</v>
      </c>
      <c r="M6" s="29">
        <v>6.0</v>
      </c>
      <c r="N6" s="29">
        <v>4.0</v>
      </c>
      <c r="O6" s="29">
        <v>5.0</v>
      </c>
      <c r="P6" s="29">
        <v>4.0</v>
      </c>
      <c r="Q6" s="29">
        <v>6.0</v>
      </c>
      <c r="R6" s="29">
        <v>3.0</v>
      </c>
      <c r="S6" s="29">
        <v>7.0</v>
      </c>
      <c r="T6" s="29">
        <v>5.0</v>
      </c>
      <c r="U6" s="29">
        <v>7.0</v>
      </c>
      <c r="V6" s="30">
        <f t="shared" si="1"/>
        <v>54</v>
      </c>
      <c r="W6" s="30">
        <f t="shared" si="2"/>
        <v>47</v>
      </c>
      <c r="X6" s="30">
        <f t="shared" si="3"/>
        <v>101</v>
      </c>
      <c r="Y6" s="31">
        <f t="shared" si="4"/>
        <v>84</v>
      </c>
    </row>
    <row r="7" ht="12.75" customHeight="1">
      <c r="A7" s="27" t="str">
        <f>SETUP!A8</f>
        <v>Eric O</v>
      </c>
      <c r="B7" s="28">
        <f t="array" ref="B7">if(A7="","",index(SETUP!C:C,match(A7,SETUP!A:A,0)))</f>
        <v>19</v>
      </c>
      <c r="C7" s="18"/>
      <c r="D7" s="29">
        <v>7.0</v>
      </c>
      <c r="E7" s="29">
        <v>6.0</v>
      </c>
      <c r="F7" s="29">
        <v>6.0</v>
      </c>
      <c r="G7" s="29">
        <v>7.0</v>
      </c>
      <c r="H7" s="29">
        <v>4.0</v>
      </c>
      <c r="I7" s="29">
        <v>7.0</v>
      </c>
      <c r="J7" s="29">
        <v>5.0</v>
      </c>
      <c r="K7" s="29">
        <v>5.0</v>
      </c>
      <c r="L7" s="29">
        <v>7.0</v>
      </c>
      <c r="M7" s="29">
        <v>7.0</v>
      </c>
      <c r="N7" s="29">
        <v>7.0</v>
      </c>
      <c r="O7" s="29">
        <v>4.0</v>
      </c>
      <c r="P7" s="29">
        <v>5.0</v>
      </c>
      <c r="Q7" s="29">
        <v>8.0</v>
      </c>
      <c r="R7" s="29">
        <v>6.0</v>
      </c>
      <c r="S7" s="29">
        <v>8.0</v>
      </c>
      <c r="T7" s="29">
        <v>6.0</v>
      </c>
      <c r="U7" s="29">
        <v>5.0</v>
      </c>
      <c r="V7" s="30">
        <f t="shared" si="1"/>
        <v>54</v>
      </c>
      <c r="W7" s="30">
        <f t="shared" si="2"/>
        <v>56</v>
      </c>
      <c r="X7" s="30">
        <f t="shared" si="3"/>
        <v>110</v>
      </c>
      <c r="Y7" s="31">
        <f t="shared" si="4"/>
        <v>91</v>
      </c>
    </row>
    <row r="8" ht="12.75" customHeight="1">
      <c r="A8" s="27" t="str">
        <f>SETUP!A9</f>
        <v>Matt V</v>
      </c>
      <c r="B8" s="28">
        <f t="array" ref="B8">if(A8="","",index(SETUP!C:C,match(A8,SETUP!A:A,0)))</f>
        <v>16</v>
      </c>
      <c r="C8" s="18"/>
      <c r="D8" s="29">
        <v>7.0</v>
      </c>
      <c r="E8" s="29">
        <v>7.0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4.0</v>
      </c>
      <c r="L8" s="29">
        <v>4.0</v>
      </c>
      <c r="M8" s="29">
        <v>8.0</v>
      </c>
      <c r="N8" s="29">
        <v>5.0</v>
      </c>
      <c r="O8" s="29">
        <v>4.0</v>
      </c>
      <c r="P8" s="29">
        <v>4.0</v>
      </c>
      <c r="Q8" s="29">
        <v>8.0</v>
      </c>
      <c r="R8" s="29">
        <v>4.0</v>
      </c>
      <c r="S8" s="29">
        <v>8.0</v>
      </c>
      <c r="T8" s="29">
        <v>7.0</v>
      </c>
      <c r="U8" s="29">
        <v>8.0</v>
      </c>
      <c r="V8" s="30">
        <f t="shared" si="1"/>
        <v>47</v>
      </c>
      <c r="W8" s="30">
        <f t="shared" si="2"/>
        <v>56</v>
      </c>
      <c r="X8" s="30">
        <f t="shared" si="3"/>
        <v>103</v>
      </c>
      <c r="Y8" s="31">
        <f t="shared" si="4"/>
        <v>87</v>
      </c>
    </row>
    <row r="9" ht="12.75" customHeight="1">
      <c r="A9" s="27" t="str">
        <f>SETUP!A10</f>
        <v>Scott R</v>
      </c>
      <c r="B9" s="28">
        <f t="array" ref="B9">if(A9="","",index(SETUP!C:C,match(A9,SETUP!A:A,0)))</f>
        <v>10</v>
      </c>
      <c r="C9" s="18"/>
      <c r="D9" s="29">
        <v>6.0</v>
      </c>
      <c r="E9" s="29">
        <v>6.0</v>
      </c>
      <c r="F9" s="29">
        <v>6.0</v>
      </c>
      <c r="G9" s="29">
        <v>4.0</v>
      </c>
      <c r="H9" s="29">
        <v>4.0</v>
      </c>
      <c r="I9" s="29">
        <v>4.0</v>
      </c>
      <c r="J9" s="29">
        <v>6.0</v>
      </c>
      <c r="K9" s="29">
        <v>3.0</v>
      </c>
      <c r="L9" s="29">
        <v>5.0</v>
      </c>
      <c r="M9" s="29">
        <v>8.0</v>
      </c>
      <c r="N9" s="29">
        <v>5.0</v>
      </c>
      <c r="O9" s="29">
        <v>4.0</v>
      </c>
      <c r="P9" s="29">
        <v>5.0</v>
      </c>
      <c r="Q9" s="29">
        <v>7.0</v>
      </c>
      <c r="R9" s="29">
        <v>3.0</v>
      </c>
      <c r="S9" s="29">
        <v>4.0</v>
      </c>
      <c r="T9" s="29">
        <v>5.0</v>
      </c>
      <c r="U9" s="29">
        <v>7.0</v>
      </c>
      <c r="V9" s="30">
        <f t="shared" si="1"/>
        <v>44</v>
      </c>
      <c r="W9" s="30">
        <f t="shared" si="2"/>
        <v>48</v>
      </c>
      <c r="X9" s="30">
        <f t="shared" si="3"/>
        <v>92</v>
      </c>
      <c r="Y9" s="31">
        <f t="shared" si="4"/>
        <v>82</v>
      </c>
    </row>
    <row r="10" ht="12.75" customHeight="1">
      <c r="A10" s="27" t="str">
        <f>SETUP!A11</f>
        <v>N/A</v>
      </c>
      <c r="B10" s="28" t="str">
        <f t="array" ref="B10">if(A10="","",index(SETUP!C:C,match(A10,SETUP!A:A,0)))</f>
        <v/>
      </c>
      <c r="C10" s="1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0">
        <f t="shared" si="1"/>
        <v>0</v>
      </c>
      <c r="W10" s="30">
        <f t="shared" si="2"/>
        <v>0</v>
      </c>
      <c r="X10" s="30" t="str">
        <f t="shared" si="3"/>
        <v/>
      </c>
      <c r="Y10" s="31" t="str">
        <f t="shared" si="4"/>
        <v/>
      </c>
    </row>
    <row r="11" ht="12.75" customHeight="1">
      <c r="A11" s="27" t="str">
        <f>SETUP!A12</f>
        <v>N/A</v>
      </c>
      <c r="B11" s="28" t="str">
        <f t="array" ref="B11">if(A11="","",index(SETUP!C:C,match(A11,SETUP!A:A,0)))</f>
        <v/>
      </c>
      <c r="C11" s="1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0">
        <f t="shared" si="1"/>
        <v>0</v>
      </c>
      <c r="W11" s="30">
        <f t="shared" si="2"/>
        <v>0</v>
      </c>
      <c r="X11" s="30" t="str">
        <f t="shared" si="3"/>
        <v/>
      </c>
      <c r="Y11" s="31" t="str">
        <f t="shared" si="4"/>
        <v/>
      </c>
    </row>
    <row r="12" ht="12.75" customHeight="1">
      <c r="A12" s="27" t="str">
        <f>SETUP!A13</f>
        <v>N/A</v>
      </c>
      <c r="B12" s="28" t="str">
        <f t="array" ref="B12">if(A12="","",index(SETUP!C:C,match(A12,SETUP!A:A,0)))</f>
        <v/>
      </c>
      <c r="C12" s="1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0">
        <f t="shared" si="1"/>
        <v>0</v>
      </c>
      <c r="W12" s="30">
        <f t="shared" si="2"/>
        <v>0</v>
      </c>
      <c r="X12" s="30" t="str">
        <f t="shared" si="3"/>
        <v/>
      </c>
      <c r="Y12" s="31" t="str">
        <f t="shared" si="4"/>
        <v/>
      </c>
    </row>
    <row r="13" ht="12.75" customHeight="1">
      <c r="A13" s="27" t="str">
        <f>SETUP!A14</f>
        <v>N/A</v>
      </c>
      <c r="B13" s="28" t="str">
        <f t="array" ref="B13">if(A13="","",index(SETUP!C:C,match(A13,SETUP!A:A,0)))</f>
        <v/>
      </c>
      <c r="C13" s="32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3">
        <f t="shared" si="1"/>
        <v>0</v>
      </c>
      <c r="W13" s="33">
        <f t="shared" si="2"/>
        <v>0</v>
      </c>
      <c r="X13" s="30" t="str">
        <f t="shared" si="3"/>
        <v/>
      </c>
      <c r="Y13" s="31" t="str">
        <f t="shared" si="4"/>
        <v/>
      </c>
    </row>
    <row r="14" ht="12.75" customHeight="1">
      <c r="A14" s="27" t="str">
        <f>SETUP!A15</f>
        <v>N/A</v>
      </c>
      <c r="B14" s="28" t="str">
        <f t="array" ref="B14">if(A14="","",index(SETUP!C:C,match(A14,SETUP!A:A,0)))</f>
        <v/>
      </c>
      <c r="C14" s="34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3">
        <f t="shared" si="1"/>
        <v>0</v>
      </c>
      <c r="W14" s="33">
        <f t="shared" si="2"/>
        <v>0</v>
      </c>
      <c r="X14" s="30" t="str">
        <f t="shared" si="3"/>
        <v/>
      </c>
      <c r="Y14" s="31" t="str">
        <f t="shared" si="4"/>
        <v/>
      </c>
    </row>
    <row r="15" ht="12.75" customHeight="1">
      <c r="A15" s="27" t="str">
        <f>SETUP!A16</f>
        <v>N/A</v>
      </c>
      <c r="B15" s="28" t="str">
        <f t="array" ref="B15">if(A15="","",index(SETUP!C:C,match(A15,SETUP!A:A,0)))</f>
        <v/>
      </c>
      <c r="C15" s="34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3">
        <f t="shared" si="1"/>
        <v>0</v>
      </c>
      <c r="W15" s="33">
        <f t="shared" si="2"/>
        <v>0</v>
      </c>
      <c r="X15" s="30" t="str">
        <f t="shared" si="3"/>
        <v/>
      </c>
      <c r="Y15" s="31" t="str">
        <f t="shared" si="4"/>
        <v/>
      </c>
    </row>
    <row r="16" ht="12.75" customHeight="1">
      <c r="A16" s="10"/>
      <c r="B16" s="11"/>
      <c r="C16" s="34" t="s">
        <v>12</v>
      </c>
      <c r="D16" s="35" t="str">
        <f t="array" ref="D16">IF(SUM(IF(IF('Betting SETUP'!$D$5:$D$16="Y", D4:D15, 10)=MIN(IF('Betting SETUP'!$D$5:$D$16="Y", D4:D15, 10)), 1, 0)) &gt; 1, "", INDEX('Betting SETUP'!$A$5:$A$16,MATCH(MIN(IF('Betting SETUP'!$D$5:$D$16="Y",D4:D15,10)),IF('Betting SETUP'!$D$5:$D$16="Y",D4:D15,10),0)))</f>
        <v>Aaron J</v>
      </c>
      <c r="E16" s="35" t="str">
        <f t="array" ref="E16">IF(SUM(IF(IF('Betting SETUP'!$D$5:$D$16="Y", E4:E15, 10)=MIN(IF('Betting SETUP'!$D$5:$D$16="Y", E4:E15, 10)), 1, 0)) &gt; 1, "", INDEX('Betting SETUP'!$A$5:$A$16,MATCH(MIN(IF('Betting SETUP'!$D$5:$D$16="Y",E4:E15,10)),IF('Betting SETUP'!$D$5:$D$16="Y",E4:E15,10),0)))</f>
        <v/>
      </c>
      <c r="F16" s="35" t="str">
        <f t="array" ref="F16">IF(SUM(IF(IF('Betting SETUP'!$D$5:$D$16="Y", F4:F15, 10)=MIN(IF('Betting SETUP'!$D$5:$D$16="Y", F4:F15, 10)), 1, 0)) &gt; 1, "", INDEX('Betting SETUP'!$A$5:$A$16,MATCH(MIN(IF('Betting SETUP'!$D$5:$D$16="Y",F4:F15,10)),IF('Betting SETUP'!$D$5:$D$16="Y",F4:F15,10),0)))</f>
        <v>Bob B</v>
      </c>
      <c r="G16" s="35" t="str">
        <f t="array" ref="G16">IF(SUM(IF(IF('Betting SETUP'!$D$5:$D$16="Y", G4:G15, 10)=MIN(IF('Betting SETUP'!$D$5:$D$16="Y", G4:G15, 10)), 1, 0)) &gt; 1, "", INDEX('Betting SETUP'!$A$5:$A$16,MATCH(MIN(IF('Betting SETUP'!$D$5:$D$16="Y",G4:G15,10)),IF('Betting SETUP'!$D$5:$D$16="Y",G4:G15,10),0)))</f>
        <v>Scott R</v>
      </c>
      <c r="H16" s="35" t="str">
        <f t="array" ref="H16">IF(SUM(IF(IF('Betting SETUP'!$D$5:$D$16="Y", H4:H15, 10)=MIN(IF('Betting SETUP'!$D$5:$D$16="Y", H4:H15, 10)), 1, 0)) &gt; 1, "", INDEX('Betting SETUP'!$A$5:$A$16,MATCH(MIN(IF('Betting SETUP'!$D$5:$D$16="Y",H4:H15,10)),IF('Betting SETUP'!$D$5:$D$16="Y",H4:H15,10),0)))</f>
        <v/>
      </c>
      <c r="I16" s="35" t="str">
        <f t="array" ref="I16">IF(SUM(IF(IF('Betting SETUP'!$D$5:$D$16="Y", I4:I15, 10)=MIN(IF('Betting SETUP'!$D$5:$D$16="Y", I4:I15, 10)), 1, 0)) &gt; 1, "", INDEX('Betting SETUP'!$A$5:$A$16,MATCH(MIN(IF('Betting SETUP'!$D$5:$D$16="Y",I4:I15,10)),IF('Betting SETUP'!$D$5:$D$16="Y",I4:I15,10),0)))</f>
        <v>Scott R</v>
      </c>
      <c r="J16" s="35" t="str">
        <f t="array" ref="J16">IF(SUM(IF(IF('Betting SETUP'!$D$5:$D$16="Y", J4:J15, 10)=MIN(IF('Betting SETUP'!$D$5:$D$16="Y", J4:J15, 10)), 1, 0)) &gt; 1, "", INDEX('Betting SETUP'!$A$5:$A$16,MATCH(MIN(IF('Betting SETUP'!$D$5:$D$16="Y",J4:J15,10)),IF('Betting SETUP'!$D$5:$D$16="Y",J4:J15,10),0)))</f>
        <v>Aaron J</v>
      </c>
      <c r="K16" s="35" t="str">
        <f t="array" ref="K16">IF(SUM(IF(IF('Betting SETUP'!$D$5:$D$16="Y", K4:K15, 10)=MIN(IF('Betting SETUP'!$D$5:$D$16="Y", K4:K15, 10)), 1, 0)) &gt; 1, "", INDEX('Betting SETUP'!$A$5:$A$16,MATCH(MIN(IF('Betting SETUP'!$D$5:$D$16="Y",K4:K15,10)),IF('Betting SETUP'!$D$5:$D$16="Y",K4:K15,10),0)))</f>
        <v/>
      </c>
      <c r="L16" s="35" t="str">
        <f t="array" ref="L16">IF(SUM(IF(IF('Betting SETUP'!$D$5:$D$16="Y", L4:L15, 10)=MIN(IF('Betting SETUP'!$D$5:$D$16="Y", L4:L15, 10)), 1, 0)) &gt; 1, "", INDEX('Betting SETUP'!$A$5:$A$16,MATCH(MIN(IF('Betting SETUP'!$D$5:$D$16="Y",L4:L15,10)),IF('Betting SETUP'!$D$5:$D$16="Y",L4:L15,10),0)))</f>
        <v>Matt V</v>
      </c>
      <c r="M16" s="35" t="str">
        <f t="array" ref="M16">IF(SUM(IF(IF('Betting SETUP'!$D$5:$D$16="Y", M4:M15, 10)=MIN(IF('Betting SETUP'!$D$5:$D$16="Y", M4:M15, 10)), 1, 0)) &gt; 1, "", INDEX('Betting SETUP'!$A$5:$A$16,MATCH(MIN(IF('Betting SETUP'!$D$5:$D$16="Y",M4:M15,10)),IF('Betting SETUP'!$D$5:$D$16="Y",M4:M15,10),0)))</f>
        <v>Bob B</v>
      </c>
      <c r="N16" s="35" t="str">
        <f t="array" ref="N16">IF(SUM(IF(IF('Betting SETUP'!$D$5:$D$16="Y", N4:N15, 10)=MIN(IF('Betting SETUP'!$D$5:$D$16="Y", N4:N15, 10)), 1, 0)) &gt; 1, "", INDEX('Betting SETUP'!$A$5:$A$16,MATCH(MIN(IF('Betting SETUP'!$D$5:$D$16="Y",N4:N15,10)),IF('Betting SETUP'!$D$5:$D$16="Y",N4:N15,10),0)))</f>
        <v>Brian K</v>
      </c>
      <c r="O16" s="35" t="str">
        <f t="array" ref="O16">IF(SUM(IF(IF('Betting SETUP'!$D$5:$D$16="Y", O4:O15, 10)=MIN(IF('Betting SETUP'!$D$5:$D$16="Y", O4:O15, 10)), 1, 0)) &gt; 1, "", INDEX('Betting SETUP'!$A$5:$A$16,MATCH(MIN(IF('Betting SETUP'!$D$5:$D$16="Y",O4:O15,10)),IF('Betting SETUP'!$D$5:$D$16="Y",O4:O15,10),0)))</f>
        <v>Aaron J</v>
      </c>
      <c r="P16" s="35" t="str">
        <f t="array" ref="P16">IF(SUM(IF(IF('Betting SETUP'!$D$5:$D$16="Y", P4:P15, 10)=MIN(IF('Betting SETUP'!$D$5:$D$16="Y", P4:P15, 10)), 1, 0)) &gt; 1, "", INDEX('Betting SETUP'!$A$5:$A$16,MATCH(MIN(IF('Betting SETUP'!$D$5:$D$16="Y",P4:P15,10)),IF('Betting SETUP'!$D$5:$D$16="Y",P4:P15,10),0)))</f>
        <v/>
      </c>
      <c r="Q16" s="35" t="str">
        <f t="array" ref="Q16">IF(SUM(IF(IF('Betting SETUP'!$D$5:$D$16="Y", Q4:Q15, 10)=MIN(IF('Betting SETUP'!$D$5:$D$16="Y", Q4:Q15, 10)), 1, 0)) &gt; 1, "", INDEX('Betting SETUP'!$A$5:$A$16,MATCH(MIN(IF('Betting SETUP'!$D$5:$D$16="Y",Q4:Q15,10)),IF('Betting SETUP'!$D$5:$D$16="Y",Q4:Q15,10),0)))</f>
        <v/>
      </c>
      <c r="R16" s="35" t="str">
        <f t="array" ref="R16">IF(SUM(IF(IF('Betting SETUP'!$D$5:$D$16="Y", R4:R15, 10)=MIN(IF('Betting SETUP'!$D$5:$D$16="Y", R4:R15, 10)), 1, 0)) &gt; 1, "", INDEX('Betting SETUP'!$A$5:$A$16,MATCH(MIN(IF('Betting SETUP'!$D$5:$D$16="Y",R4:R15,10)),IF('Betting SETUP'!$D$5:$D$16="Y",R4:R15,10),0)))</f>
        <v/>
      </c>
      <c r="S16" s="35" t="str">
        <f t="array" ref="S16">IF(SUM(IF(IF('Betting SETUP'!$D$5:$D$16="Y", S4:S15, 10)=MIN(IF('Betting SETUP'!$D$5:$D$16="Y", S4:S15, 10)), 1, 0)) &gt; 1, "", INDEX('Betting SETUP'!$A$5:$A$16,MATCH(MIN(IF('Betting SETUP'!$D$5:$D$16="Y",S4:S15,10)),IF('Betting SETUP'!$D$5:$D$16="Y",S4:S15,10),0)))</f>
        <v>Scott R</v>
      </c>
      <c r="T16" s="35" t="str">
        <f t="array" ref="T16">IF(SUM(IF(IF('Betting SETUP'!$D$5:$D$16="Y", T4:T15, 10)=MIN(IF('Betting SETUP'!$D$5:$D$16="Y", T4:T15, 10)), 1, 0)) &gt; 1, "", INDEX('Betting SETUP'!$A$5:$A$16,MATCH(MIN(IF('Betting SETUP'!$D$5:$D$16="Y",T4:T15,10)),IF('Betting SETUP'!$D$5:$D$16="Y",T4:T15,10),0)))</f>
        <v>Aaron J</v>
      </c>
      <c r="U16" s="35" t="str">
        <f t="array" ref="U16">IF(SUM(IF(IF('Betting SETUP'!$D$5:$D$16="Y", U4:U15, 10)=MIN(IF('Betting SETUP'!$D$5:$D$16="Y", U4:U15, 10)), 1, 0)) &gt; 1, "", INDEX('Betting SETUP'!$A$5:$A$16,MATCH(MIN(IF('Betting SETUP'!$D$5:$D$16="Y",U4:U15,10)),IF('Betting SETUP'!$D$5:$D$16="Y",U4:U15,10),0)))</f>
        <v>Eric O</v>
      </c>
      <c r="V16" s="14"/>
      <c r="W16" s="15"/>
      <c r="X16" s="15">
        <f>18-COUNTBLANK(D16:U16)</f>
        <v>12</v>
      </c>
      <c r="Y16" s="36"/>
    </row>
    <row r="17" ht="12.75" customHeight="1">
      <c r="A17" s="10"/>
      <c r="B17" s="11"/>
      <c r="C17" s="34" t="s">
        <v>13</v>
      </c>
      <c r="D17" s="35"/>
      <c r="E17" s="37"/>
      <c r="F17" s="37"/>
      <c r="G17" s="37"/>
      <c r="H17" s="37"/>
      <c r="I17" s="35"/>
      <c r="J17" s="37"/>
      <c r="K17" s="37"/>
      <c r="L17" s="37"/>
      <c r="M17" s="35"/>
      <c r="N17" s="37"/>
      <c r="O17" s="37"/>
      <c r="P17" s="35"/>
      <c r="Q17" s="37"/>
      <c r="R17" s="37"/>
      <c r="S17" s="37"/>
      <c r="T17" s="37"/>
      <c r="U17" s="37"/>
      <c r="V17" s="38"/>
      <c r="W17" s="38"/>
      <c r="X17" s="35">
        <f>COUNTA(D17:U17)</f>
        <v>0</v>
      </c>
      <c r="Y17" s="36"/>
    </row>
    <row r="18" ht="12.75" customHeight="1">
      <c r="A18" s="10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ht="12.75" customHeight="1">
      <c r="A19" s="10"/>
      <c r="B19" s="11"/>
      <c r="C19" s="12" t="str">
        <f>SETUP!D1</f>
        <v>LOCHENHEATH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  <c r="W19" s="15"/>
      <c r="X19" s="39">
        <f>SETUP!D2</f>
        <v>74.4</v>
      </c>
      <c r="Y19" s="40">
        <f>SETUP!D3</f>
        <v>144</v>
      </c>
    </row>
    <row r="20" ht="12.75" customHeight="1">
      <c r="A20" s="10"/>
      <c r="B20" s="11"/>
      <c r="C20" s="18" t="s">
        <v>5</v>
      </c>
      <c r="D20" s="19">
        <v>1.0</v>
      </c>
      <c r="E20" s="19">
        <v>2.0</v>
      </c>
      <c r="F20" s="19">
        <v>3.0</v>
      </c>
      <c r="G20" s="19">
        <v>4.0</v>
      </c>
      <c r="H20" s="19">
        <v>5.0</v>
      </c>
      <c r="I20" s="19">
        <v>6.0</v>
      </c>
      <c r="J20" s="19">
        <v>7.0</v>
      </c>
      <c r="K20" s="19">
        <v>8.0</v>
      </c>
      <c r="L20" s="19">
        <v>9.0</v>
      </c>
      <c r="M20" s="19">
        <v>10.0</v>
      </c>
      <c r="N20" s="19">
        <v>11.0</v>
      </c>
      <c r="O20" s="19">
        <v>12.0</v>
      </c>
      <c r="P20" s="19">
        <v>13.0</v>
      </c>
      <c r="Q20" s="19">
        <v>14.0</v>
      </c>
      <c r="R20" s="19">
        <v>15.0</v>
      </c>
      <c r="S20" s="19">
        <v>16.0</v>
      </c>
      <c r="T20" s="19">
        <v>17.0</v>
      </c>
      <c r="U20" s="19">
        <v>18.0</v>
      </c>
      <c r="V20" s="19" t="s">
        <v>6</v>
      </c>
      <c r="W20" s="19" t="s">
        <v>7</v>
      </c>
      <c r="X20" s="19" t="s">
        <v>8</v>
      </c>
      <c r="Y20" s="21" t="s">
        <v>9</v>
      </c>
    </row>
    <row r="21" ht="12.75" customHeight="1">
      <c r="A21" s="22" t="s">
        <v>14</v>
      </c>
      <c r="B21" s="23" t="s">
        <v>10</v>
      </c>
      <c r="C21" s="18" t="s">
        <v>11</v>
      </c>
      <c r="D21" s="24">
        <v>4.0</v>
      </c>
      <c r="E21" s="24">
        <v>5.0</v>
      </c>
      <c r="F21" s="24">
        <v>3.0</v>
      </c>
      <c r="G21" s="24">
        <v>4.0</v>
      </c>
      <c r="H21" s="24">
        <v>4.0</v>
      </c>
      <c r="I21" s="24">
        <v>4.0</v>
      </c>
      <c r="J21" s="24">
        <v>5.0</v>
      </c>
      <c r="K21" s="24">
        <v>3.0</v>
      </c>
      <c r="L21" s="24">
        <v>4.0</v>
      </c>
      <c r="M21" s="24">
        <v>5.0</v>
      </c>
      <c r="N21" s="24">
        <v>3.0</v>
      </c>
      <c r="O21" s="24">
        <v>4.0</v>
      </c>
      <c r="P21" s="24">
        <v>4.0</v>
      </c>
      <c r="Q21" s="24">
        <v>4.0</v>
      </c>
      <c r="R21" s="24">
        <v>3.0</v>
      </c>
      <c r="S21" s="24">
        <v>4.0</v>
      </c>
      <c r="T21" s="24">
        <v>4.0</v>
      </c>
      <c r="U21" s="24">
        <v>5.0</v>
      </c>
      <c r="V21" s="25">
        <f t="shared" ref="V21:V33" si="5">SUM(D21:L21)</f>
        <v>36</v>
      </c>
      <c r="W21" s="25">
        <f t="shared" ref="W21:W33" si="6">SUM(M21:U21)</f>
        <v>36</v>
      </c>
      <c r="X21" s="25">
        <f>V21+W21</f>
        <v>72</v>
      </c>
      <c r="Y21" s="26"/>
    </row>
    <row r="22" ht="12.75" customHeight="1">
      <c r="A22" s="27" t="str">
        <f>SETUP!A5</f>
        <v>Aaron J</v>
      </c>
      <c r="B22" s="28">
        <f t="array" ref="B22">if(A22="","",index(SETUP!C:C,match(A22,SETUP!A:A,0)))</f>
        <v>13</v>
      </c>
      <c r="C22" s="18"/>
      <c r="D22" s="29">
        <v>5.0</v>
      </c>
      <c r="E22" s="29">
        <v>8.0</v>
      </c>
      <c r="F22" s="29">
        <v>4.0</v>
      </c>
      <c r="G22" s="29">
        <v>4.0</v>
      </c>
      <c r="H22" s="29">
        <v>6.0</v>
      </c>
      <c r="I22" s="29">
        <v>4.0</v>
      </c>
      <c r="J22" s="29">
        <v>7.0</v>
      </c>
      <c r="K22" s="29">
        <v>2.0</v>
      </c>
      <c r="L22" s="29">
        <v>5.0</v>
      </c>
      <c r="M22" s="29">
        <v>6.0</v>
      </c>
      <c r="N22" s="29">
        <v>4.0</v>
      </c>
      <c r="O22" s="29">
        <v>4.0</v>
      </c>
      <c r="P22" s="29">
        <v>4.0</v>
      </c>
      <c r="Q22" s="29">
        <v>6.0</v>
      </c>
      <c r="R22" s="29">
        <v>4.0</v>
      </c>
      <c r="S22" s="29">
        <v>6.0</v>
      </c>
      <c r="T22" s="29">
        <v>7.0</v>
      </c>
      <c r="U22" s="29">
        <v>10.0</v>
      </c>
      <c r="V22" s="30">
        <f t="shared" si="5"/>
        <v>45</v>
      </c>
      <c r="W22" s="30">
        <f t="shared" si="6"/>
        <v>51</v>
      </c>
      <c r="X22" s="30">
        <f t="shared" ref="X22:X33" si="7">IF(W22&gt;0,V22+W22,"")</f>
        <v>96</v>
      </c>
      <c r="Y22" s="31">
        <f t="shared" ref="Y22:Y33" si="8">IF(W22=0,"",X22-B22)</f>
        <v>83</v>
      </c>
    </row>
    <row r="23" ht="12.75" customHeight="1">
      <c r="A23" s="27" t="str">
        <f>SETUP!A6</f>
        <v>Bob B</v>
      </c>
      <c r="B23" s="28">
        <f t="array" ref="B23">if(A23="","",index(SETUP!C:C,match(A23,SETUP!A:A,0)))</f>
        <v>17</v>
      </c>
      <c r="C23" s="18"/>
      <c r="D23" s="29">
        <v>6.0</v>
      </c>
      <c r="E23" s="29">
        <v>7.0</v>
      </c>
      <c r="F23" s="29">
        <v>5.0</v>
      </c>
      <c r="G23" s="29">
        <v>5.0</v>
      </c>
      <c r="H23" s="29">
        <v>6.0</v>
      </c>
      <c r="I23" s="29">
        <v>5.0</v>
      </c>
      <c r="J23" s="29">
        <v>7.0</v>
      </c>
      <c r="K23" s="29">
        <v>3.0</v>
      </c>
      <c r="L23" s="29">
        <v>6.0</v>
      </c>
      <c r="M23" s="29">
        <v>6.0</v>
      </c>
      <c r="N23" s="29">
        <v>5.0</v>
      </c>
      <c r="O23" s="29">
        <v>5.0</v>
      </c>
      <c r="P23" s="29">
        <v>6.0</v>
      </c>
      <c r="Q23" s="29">
        <v>5.0</v>
      </c>
      <c r="R23" s="29">
        <v>4.0</v>
      </c>
      <c r="S23" s="29">
        <v>4.0</v>
      </c>
      <c r="T23" s="29">
        <v>5.0</v>
      </c>
      <c r="U23" s="29">
        <v>6.0</v>
      </c>
      <c r="V23" s="30">
        <f t="shared" si="5"/>
        <v>50</v>
      </c>
      <c r="W23" s="30">
        <f t="shared" si="6"/>
        <v>46</v>
      </c>
      <c r="X23" s="30">
        <f t="shared" si="7"/>
        <v>96</v>
      </c>
      <c r="Y23" s="31">
        <f t="shared" si="8"/>
        <v>79</v>
      </c>
    </row>
    <row r="24" ht="12.75" customHeight="1">
      <c r="A24" s="27" t="str">
        <f>SETUP!A7</f>
        <v>Brian K</v>
      </c>
      <c r="B24" s="28">
        <f t="array" ref="B24">if(A24="","",index(SETUP!C:C,match(A24,SETUP!A:A,0)))</f>
        <v>17</v>
      </c>
      <c r="C24" s="18"/>
      <c r="D24" s="29">
        <v>7.0</v>
      </c>
      <c r="E24" s="29">
        <v>8.0</v>
      </c>
      <c r="F24" s="29">
        <v>5.0</v>
      </c>
      <c r="G24" s="29">
        <v>7.0</v>
      </c>
      <c r="H24" s="29">
        <v>5.0</v>
      </c>
      <c r="I24" s="29">
        <v>4.0</v>
      </c>
      <c r="J24" s="29">
        <v>8.0</v>
      </c>
      <c r="K24" s="29">
        <v>4.0</v>
      </c>
      <c r="L24" s="29">
        <v>5.0</v>
      </c>
      <c r="M24" s="29">
        <v>7.0</v>
      </c>
      <c r="N24" s="29">
        <v>6.0</v>
      </c>
      <c r="O24" s="29">
        <v>4.0</v>
      </c>
      <c r="P24" s="29">
        <v>7.0</v>
      </c>
      <c r="Q24" s="29">
        <v>6.0</v>
      </c>
      <c r="R24" s="29">
        <v>4.0</v>
      </c>
      <c r="S24" s="29">
        <v>3.0</v>
      </c>
      <c r="T24" s="29">
        <v>5.0</v>
      </c>
      <c r="U24" s="29">
        <v>6.0</v>
      </c>
      <c r="V24" s="30">
        <f t="shared" si="5"/>
        <v>53</v>
      </c>
      <c r="W24" s="30">
        <f t="shared" si="6"/>
        <v>48</v>
      </c>
      <c r="X24" s="30">
        <f t="shared" si="7"/>
        <v>101</v>
      </c>
      <c r="Y24" s="31">
        <f t="shared" si="8"/>
        <v>84</v>
      </c>
    </row>
    <row r="25" ht="12.75" customHeight="1">
      <c r="A25" s="27" t="str">
        <f>SETUP!A8</f>
        <v>Eric O</v>
      </c>
      <c r="B25" s="28">
        <f t="array" ref="B25">if(A25="","",index(SETUP!C:C,match(A25,SETUP!A:A,0)))</f>
        <v>19</v>
      </c>
      <c r="C25" s="18"/>
      <c r="D25" s="29">
        <v>7.0</v>
      </c>
      <c r="E25" s="29">
        <v>8.0</v>
      </c>
      <c r="F25" s="29">
        <v>4.0</v>
      </c>
      <c r="G25" s="29">
        <v>4.0</v>
      </c>
      <c r="H25" s="29">
        <v>5.0</v>
      </c>
      <c r="I25" s="29">
        <v>5.0</v>
      </c>
      <c r="J25" s="29">
        <v>7.0</v>
      </c>
      <c r="K25" s="29">
        <v>4.0</v>
      </c>
      <c r="L25" s="29">
        <v>8.0</v>
      </c>
      <c r="M25" s="29">
        <v>5.0</v>
      </c>
      <c r="N25" s="29">
        <v>5.0</v>
      </c>
      <c r="O25" s="29">
        <v>7.0</v>
      </c>
      <c r="P25" s="29">
        <v>6.0</v>
      </c>
      <c r="Q25" s="29">
        <v>6.0</v>
      </c>
      <c r="R25" s="29">
        <v>4.0</v>
      </c>
      <c r="S25" s="29">
        <v>5.0</v>
      </c>
      <c r="T25" s="29">
        <v>8.0</v>
      </c>
      <c r="U25" s="29">
        <v>5.0</v>
      </c>
      <c r="V25" s="30">
        <f t="shared" si="5"/>
        <v>52</v>
      </c>
      <c r="W25" s="30">
        <f t="shared" si="6"/>
        <v>51</v>
      </c>
      <c r="X25" s="30">
        <f t="shared" si="7"/>
        <v>103</v>
      </c>
      <c r="Y25" s="31">
        <f t="shared" si="8"/>
        <v>84</v>
      </c>
    </row>
    <row r="26" ht="12.75" customHeight="1">
      <c r="A26" s="27" t="str">
        <f>SETUP!A9</f>
        <v>Matt V</v>
      </c>
      <c r="B26" s="28">
        <f t="array" ref="B26">if(A26="","",index(SETUP!C:C,match(A26,SETUP!A:A,0)))</f>
        <v>16</v>
      </c>
      <c r="C26" s="18"/>
      <c r="D26" s="29">
        <v>6.0</v>
      </c>
      <c r="E26" s="29">
        <v>9.0</v>
      </c>
      <c r="F26" s="29">
        <v>7.0</v>
      </c>
      <c r="G26" s="29">
        <v>5.0</v>
      </c>
      <c r="H26" s="29">
        <v>5.0</v>
      </c>
      <c r="I26" s="29">
        <v>6.0</v>
      </c>
      <c r="J26" s="29">
        <v>5.0</v>
      </c>
      <c r="K26" s="29">
        <v>4.0</v>
      </c>
      <c r="L26" s="29">
        <v>6.0</v>
      </c>
      <c r="M26" s="29">
        <v>6.0</v>
      </c>
      <c r="N26" s="29">
        <v>2.0</v>
      </c>
      <c r="O26" s="29">
        <v>4.0</v>
      </c>
      <c r="P26" s="29">
        <v>5.0</v>
      </c>
      <c r="Q26" s="29">
        <v>5.0</v>
      </c>
      <c r="R26" s="29">
        <v>5.0</v>
      </c>
      <c r="S26" s="29">
        <v>4.0</v>
      </c>
      <c r="T26" s="29">
        <v>8.0</v>
      </c>
      <c r="U26" s="29">
        <v>5.0</v>
      </c>
      <c r="V26" s="30">
        <f t="shared" si="5"/>
        <v>53</v>
      </c>
      <c r="W26" s="30">
        <f t="shared" si="6"/>
        <v>44</v>
      </c>
      <c r="X26" s="30">
        <f t="shared" si="7"/>
        <v>97</v>
      </c>
      <c r="Y26" s="31">
        <f t="shared" si="8"/>
        <v>81</v>
      </c>
    </row>
    <row r="27" ht="12.75" customHeight="1">
      <c r="A27" s="27" t="str">
        <f>SETUP!A10</f>
        <v>Scott R</v>
      </c>
      <c r="B27" s="28">
        <f t="array" ref="B27">if(A27="","",index(SETUP!C:C,match(A27,SETUP!A:A,0)))</f>
        <v>10</v>
      </c>
      <c r="C27" s="18"/>
      <c r="D27" s="29">
        <v>4.0</v>
      </c>
      <c r="E27" s="29">
        <v>5.0</v>
      </c>
      <c r="F27" s="29">
        <v>4.0</v>
      </c>
      <c r="G27" s="29">
        <v>4.0</v>
      </c>
      <c r="H27" s="29">
        <v>5.0</v>
      </c>
      <c r="I27" s="29">
        <v>5.0</v>
      </c>
      <c r="J27" s="29">
        <v>7.0</v>
      </c>
      <c r="K27" s="29">
        <v>3.0</v>
      </c>
      <c r="L27" s="29">
        <v>6.0</v>
      </c>
      <c r="M27" s="29">
        <v>6.0</v>
      </c>
      <c r="N27" s="29">
        <v>6.0</v>
      </c>
      <c r="O27" s="29">
        <v>3.0</v>
      </c>
      <c r="P27" s="29">
        <v>6.0</v>
      </c>
      <c r="Q27" s="29">
        <v>5.0</v>
      </c>
      <c r="R27" s="29">
        <v>5.0</v>
      </c>
      <c r="S27" s="29">
        <v>4.0</v>
      </c>
      <c r="T27" s="29">
        <v>5.0</v>
      </c>
      <c r="U27" s="29">
        <v>6.0</v>
      </c>
      <c r="V27" s="30">
        <f t="shared" si="5"/>
        <v>43</v>
      </c>
      <c r="W27" s="30">
        <f t="shared" si="6"/>
        <v>46</v>
      </c>
      <c r="X27" s="30">
        <f t="shared" si="7"/>
        <v>89</v>
      </c>
      <c r="Y27" s="31">
        <f t="shared" si="8"/>
        <v>79</v>
      </c>
    </row>
    <row r="28" ht="12.75" customHeight="1">
      <c r="A28" s="27" t="str">
        <f>SETUP!A11</f>
        <v>N/A</v>
      </c>
      <c r="B28" s="28" t="str">
        <f t="array" ref="B28">if(A28="","",index(SETUP!C:C,match(A28,SETUP!A:A,0)))</f>
        <v/>
      </c>
      <c r="C28" s="1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0">
        <f t="shared" si="5"/>
        <v>0</v>
      </c>
      <c r="W28" s="30">
        <f t="shared" si="6"/>
        <v>0</v>
      </c>
      <c r="X28" s="30" t="str">
        <f t="shared" si="7"/>
        <v/>
      </c>
      <c r="Y28" s="31" t="str">
        <f t="shared" si="8"/>
        <v/>
      </c>
    </row>
    <row r="29" ht="12.75" customHeight="1">
      <c r="A29" s="27" t="str">
        <f>SETUP!A12</f>
        <v>N/A</v>
      </c>
      <c r="B29" s="28" t="str">
        <f t="array" ref="B29">if(A29="","",index(SETUP!C:C,match(A29,SETUP!A:A,0)))</f>
        <v/>
      </c>
      <c r="C29" s="1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0">
        <f t="shared" si="5"/>
        <v>0</v>
      </c>
      <c r="W29" s="30">
        <f t="shared" si="6"/>
        <v>0</v>
      </c>
      <c r="X29" s="30" t="str">
        <f t="shared" si="7"/>
        <v/>
      </c>
      <c r="Y29" s="31" t="str">
        <f t="shared" si="8"/>
        <v/>
      </c>
    </row>
    <row r="30" ht="12.75" customHeight="1">
      <c r="A30" s="27" t="str">
        <f>SETUP!A13</f>
        <v>N/A</v>
      </c>
      <c r="B30" s="28" t="str">
        <f t="array" ref="B30">if(A30="","",index(SETUP!C:C,match(A30,SETUP!A:A,0)))</f>
        <v/>
      </c>
      <c r="C30" s="1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0">
        <f t="shared" si="5"/>
        <v>0</v>
      </c>
      <c r="W30" s="30">
        <f t="shared" si="6"/>
        <v>0</v>
      </c>
      <c r="X30" s="30" t="str">
        <f t="shared" si="7"/>
        <v/>
      </c>
      <c r="Y30" s="31" t="str">
        <f t="shared" si="8"/>
        <v/>
      </c>
    </row>
    <row r="31" ht="12.75" customHeight="1">
      <c r="A31" s="27" t="str">
        <f>SETUP!A14</f>
        <v>N/A</v>
      </c>
      <c r="B31" s="28" t="str">
        <f t="array" ref="B31">if(A31="","",index(SETUP!C:C,match(A31,SETUP!A:A,0)))</f>
        <v/>
      </c>
      <c r="C31" s="1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3">
        <f t="shared" si="5"/>
        <v>0</v>
      </c>
      <c r="W31" s="33">
        <f t="shared" si="6"/>
        <v>0</v>
      </c>
      <c r="X31" s="30" t="str">
        <f t="shared" si="7"/>
        <v/>
      </c>
      <c r="Y31" s="31" t="str">
        <f t="shared" si="8"/>
        <v/>
      </c>
    </row>
    <row r="32" ht="12.75" customHeight="1">
      <c r="A32" s="27" t="str">
        <f>SETUP!A15</f>
        <v>N/A</v>
      </c>
      <c r="B32" s="28" t="str">
        <f t="array" ref="B32">if(A32="","",index(SETUP!C:C,match(A32,SETUP!A:A,0)))</f>
        <v/>
      </c>
      <c r="C32" s="32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3">
        <f t="shared" si="5"/>
        <v>0</v>
      </c>
      <c r="W32" s="33">
        <f t="shared" si="6"/>
        <v>0</v>
      </c>
      <c r="X32" s="30" t="str">
        <f t="shared" si="7"/>
        <v/>
      </c>
      <c r="Y32" s="31" t="str">
        <f t="shared" si="8"/>
        <v/>
      </c>
    </row>
    <row r="33" ht="12.75" customHeight="1">
      <c r="A33" s="27" t="str">
        <f>SETUP!A16</f>
        <v>N/A</v>
      </c>
      <c r="B33" s="28" t="str">
        <f t="array" ref="B33">if(A33="","",index(SETUP!C:C,match(A33,SETUP!A:A,0)))</f>
        <v/>
      </c>
      <c r="C33" s="32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3">
        <f t="shared" si="5"/>
        <v>0</v>
      </c>
      <c r="W33" s="33">
        <f t="shared" si="6"/>
        <v>0</v>
      </c>
      <c r="X33" s="30" t="str">
        <f t="shared" si="7"/>
        <v/>
      </c>
      <c r="Y33" s="31" t="str">
        <f t="shared" si="8"/>
        <v/>
      </c>
    </row>
    <row r="34" ht="12.75" customHeight="1">
      <c r="A34" s="10"/>
      <c r="B34" s="11"/>
      <c r="C34" s="34" t="s">
        <v>12</v>
      </c>
      <c r="D34" s="35" t="str">
        <f t="array" ref="D34">IF(SUM(IF(IF('Betting SETUP'!$D$5:$D$16="Y", D22:D33, 10)=MIN(IF('Betting SETUP'!$D$5:$D$16="Y", D22:D33, 10)), 1, 0)) &gt; 1, "", INDEX('Betting SETUP'!$A$5:$A$16,MATCH(MIN(IF('Betting SETUP'!$D$5:$D$16="Y",D22:D33,10)),IF('Betting SETUP'!$D$5:$D$16="Y",D22:D33,10),0)))</f>
        <v>Scott R</v>
      </c>
      <c r="E34" s="35" t="str">
        <f t="array" ref="E34">IF(SUM(IF(IF('Betting SETUP'!$D$5:$D$16="Y", E22:E33, 10)=MIN(IF('Betting SETUP'!$D$5:$D$16="Y", E22:E33, 10)), 1, 0)) &gt; 1, "", INDEX('Betting SETUP'!$A$5:$A$16,MATCH(MIN(IF('Betting SETUP'!$D$5:$D$16="Y",E22:E33,10)),IF('Betting SETUP'!$D$5:$D$16="Y",E22:E33,10),0)))</f>
        <v>Scott R</v>
      </c>
      <c r="F34" s="35" t="str">
        <f t="array" ref="F34">IF(SUM(IF(IF('Betting SETUP'!$D$5:$D$16="Y", F22:F33, 10)=MIN(IF('Betting SETUP'!$D$5:$D$16="Y", F22:F33, 10)), 1, 0)) &gt; 1, "", INDEX('Betting SETUP'!$A$5:$A$16,MATCH(MIN(IF('Betting SETUP'!$D$5:$D$16="Y",F22:F33,10)),IF('Betting SETUP'!$D$5:$D$16="Y",F22:F33,10),0)))</f>
        <v/>
      </c>
      <c r="G34" s="35" t="str">
        <f t="array" ref="G34">IF(SUM(IF(IF('Betting SETUP'!$D$5:$D$16="Y", G22:G33, 10)=MIN(IF('Betting SETUP'!$D$5:$D$16="Y", G22:G33, 10)), 1, 0)) &gt; 1, "", INDEX('Betting SETUP'!$A$5:$A$16,MATCH(MIN(IF('Betting SETUP'!$D$5:$D$16="Y",G22:G33,10)),IF('Betting SETUP'!$D$5:$D$16="Y",G22:G33,10),0)))</f>
        <v/>
      </c>
      <c r="H34" s="35" t="str">
        <f t="array" ref="H34">IF(SUM(IF(IF('Betting SETUP'!$D$5:$D$16="Y", H22:H33, 10)=MIN(IF('Betting SETUP'!$D$5:$D$16="Y", H22:H33, 10)), 1, 0)) &gt; 1, "", INDEX('Betting SETUP'!$A$5:$A$16,MATCH(MIN(IF('Betting SETUP'!$D$5:$D$16="Y",H22:H33,10)),IF('Betting SETUP'!$D$5:$D$16="Y",H22:H33,10),0)))</f>
        <v/>
      </c>
      <c r="I34" s="35" t="str">
        <f t="array" ref="I34">IF(SUM(IF(IF('Betting SETUP'!$D$5:$D$16="Y", I22:I33, 10)=MIN(IF('Betting SETUP'!$D$5:$D$16="Y", I22:I33, 10)), 1, 0)) &gt; 1, "", INDEX('Betting SETUP'!$A$5:$A$16,MATCH(MIN(IF('Betting SETUP'!$D$5:$D$16="Y",I22:I33,10)),IF('Betting SETUP'!$D$5:$D$16="Y",I22:I33,10),0)))</f>
        <v/>
      </c>
      <c r="J34" s="35" t="str">
        <f t="array" ref="J34">IF(SUM(IF(IF('Betting SETUP'!$D$5:$D$16="Y", J22:J33, 10)=MIN(IF('Betting SETUP'!$D$5:$D$16="Y", J22:J33, 10)), 1, 0)) &gt; 1, "", INDEX('Betting SETUP'!$A$5:$A$16,MATCH(MIN(IF('Betting SETUP'!$D$5:$D$16="Y",J22:J33,10)),IF('Betting SETUP'!$D$5:$D$16="Y",J22:J33,10),0)))</f>
        <v>Matt V</v>
      </c>
      <c r="K34" s="35" t="str">
        <f t="array" ref="K34">IF(SUM(IF(IF('Betting SETUP'!$D$5:$D$16="Y", K22:K33, 10)=MIN(IF('Betting SETUP'!$D$5:$D$16="Y", K22:K33, 10)), 1, 0)) &gt; 1, "", INDEX('Betting SETUP'!$A$5:$A$16,MATCH(MIN(IF('Betting SETUP'!$D$5:$D$16="Y",K22:K33,10)),IF('Betting SETUP'!$D$5:$D$16="Y",K22:K33,10),0)))</f>
        <v>Aaron J</v>
      </c>
      <c r="L34" s="35" t="str">
        <f t="array" ref="L34">IF(SUM(IF(IF('Betting SETUP'!$D$5:$D$16="Y", L22:L33, 10)=MIN(IF('Betting SETUP'!$D$5:$D$16="Y", L22:L33, 10)), 1, 0)) &gt; 1, "", INDEX('Betting SETUP'!$A$5:$A$16,MATCH(MIN(IF('Betting SETUP'!$D$5:$D$16="Y",L22:L33,10)),IF('Betting SETUP'!$D$5:$D$16="Y",L22:L33,10),0)))</f>
        <v/>
      </c>
      <c r="M34" s="35" t="str">
        <f t="array" ref="M34">IF(SUM(IF(IF('Betting SETUP'!$D$5:$D$16="Y", M22:M33, 10)=MIN(IF('Betting SETUP'!$D$5:$D$16="Y", M22:M33, 10)), 1, 0)) &gt; 1, "", INDEX('Betting SETUP'!$A$5:$A$16,MATCH(MIN(IF('Betting SETUP'!$D$5:$D$16="Y",M22:M33,10)),IF('Betting SETUP'!$D$5:$D$16="Y",M22:M33,10),0)))</f>
        <v>Eric O</v>
      </c>
      <c r="N34" s="35" t="str">
        <f t="array" ref="N34">IF(SUM(IF(IF('Betting SETUP'!$D$5:$D$16="Y", N22:N33, 10)=MIN(IF('Betting SETUP'!$D$5:$D$16="Y", N22:N33, 10)), 1, 0)) &gt; 1, "", INDEX('Betting SETUP'!$A$5:$A$16,MATCH(MIN(IF('Betting SETUP'!$D$5:$D$16="Y",N22:N33,10)),IF('Betting SETUP'!$D$5:$D$16="Y",N22:N33,10),0)))</f>
        <v>Matt V</v>
      </c>
      <c r="O34" s="35" t="str">
        <f t="array" ref="O34">IF(SUM(IF(IF('Betting SETUP'!$D$5:$D$16="Y", O22:O33, 10)=MIN(IF('Betting SETUP'!$D$5:$D$16="Y", O22:O33, 10)), 1, 0)) &gt; 1, "", INDEX('Betting SETUP'!$A$5:$A$16,MATCH(MIN(IF('Betting SETUP'!$D$5:$D$16="Y",O22:O33,10)),IF('Betting SETUP'!$D$5:$D$16="Y",O22:O33,10),0)))</f>
        <v>Scott R</v>
      </c>
      <c r="P34" s="35" t="str">
        <f t="array" ref="P34">IF(SUM(IF(IF('Betting SETUP'!$D$5:$D$16="Y", P22:P33, 10)=MIN(IF('Betting SETUP'!$D$5:$D$16="Y", P22:P33, 10)), 1, 0)) &gt; 1, "", INDEX('Betting SETUP'!$A$5:$A$16,MATCH(MIN(IF('Betting SETUP'!$D$5:$D$16="Y",P22:P33,10)),IF('Betting SETUP'!$D$5:$D$16="Y",P22:P33,10),0)))</f>
        <v>Aaron J</v>
      </c>
      <c r="Q34" s="35" t="str">
        <f t="array" ref="Q34">IF(SUM(IF(IF('Betting SETUP'!$D$5:$D$16="Y", Q22:Q33, 10)=MIN(IF('Betting SETUP'!$D$5:$D$16="Y", Q22:Q33, 10)), 1, 0)) &gt; 1, "", INDEX('Betting SETUP'!$A$5:$A$16,MATCH(MIN(IF('Betting SETUP'!$D$5:$D$16="Y",Q22:Q33,10)),IF('Betting SETUP'!$D$5:$D$16="Y",Q22:Q33,10),0)))</f>
        <v/>
      </c>
      <c r="R34" s="35" t="str">
        <f t="array" ref="R34">IF(SUM(IF(IF('Betting SETUP'!$D$5:$D$16="Y", R22:R33, 10)=MIN(IF('Betting SETUP'!$D$5:$D$16="Y", R22:R33, 10)), 1, 0)) &gt; 1, "", INDEX('Betting SETUP'!$A$5:$A$16,MATCH(MIN(IF('Betting SETUP'!$D$5:$D$16="Y",R22:R33,10)),IF('Betting SETUP'!$D$5:$D$16="Y",R22:R33,10),0)))</f>
        <v/>
      </c>
      <c r="S34" s="35" t="str">
        <f t="array" ref="S34">IF(SUM(IF(IF('Betting SETUP'!$D$5:$D$16="Y", S22:S33, 10)=MIN(IF('Betting SETUP'!$D$5:$D$16="Y", S22:S33, 10)), 1, 0)) &gt; 1, "", INDEX('Betting SETUP'!$A$5:$A$16,MATCH(MIN(IF('Betting SETUP'!$D$5:$D$16="Y",S22:S33,10)),IF('Betting SETUP'!$D$5:$D$16="Y",S22:S33,10),0)))</f>
        <v>Brian K</v>
      </c>
      <c r="T34" s="35" t="str">
        <f t="array" ref="T34">IF(SUM(IF(IF('Betting SETUP'!$D$5:$D$16="Y", T22:T33, 10)=MIN(IF('Betting SETUP'!$D$5:$D$16="Y", T22:T33, 10)), 1, 0)) &gt; 1, "", INDEX('Betting SETUP'!$A$5:$A$16,MATCH(MIN(IF('Betting SETUP'!$D$5:$D$16="Y",T22:T33,10)),IF('Betting SETUP'!$D$5:$D$16="Y",T22:T33,10),0)))</f>
        <v/>
      </c>
      <c r="U34" s="35" t="str">
        <f t="array" ref="U34">IF(SUM(IF(IF('Betting SETUP'!$D$5:$D$16="Y", U22:U33, 10)=MIN(IF('Betting SETUP'!$D$5:$D$16="Y", U22:U33, 10)), 1, 0)) &gt; 1, "", INDEX('Betting SETUP'!$A$5:$A$16,MATCH(MIN(IF('Betting SETUP'!$D$5:$D$16="Y",U22:U33,10)),IF('Betting SETUP'!$D$5:$D$16="Y",U22:U33,10),0)))</f>
        <v/>
      </c>
      <c r="V34" s="14"/>
      <c r="W34" s="15"/>
      <c r="X34" s="35">
        <f>18-COUNTBLANK(D34:U34)</f>
        <v>9</v>
      </c>
      <c r="Y34" s="36"/>
    </row>
    <row r="35" ht="12.75" customHeight="1">
      <c r="A35" s="10"/>
      <c r="B35" s="11"/>
      <c r="C35" s="34" t="s">
        <v>13</v>
      </c>
      <c r="D35" s="35"/>
      <c r="E35" s="37"/>
      <c r="F35" s="37"/>
      <c r="G35" s="37"/>
      <c r="H35" s="41"/>
      <c r="I35" s="37"/>
      <c r="J35" s="37"/>
      <c r="K35" s="37"/>
      <c r="L35" s="37"/>
      <c r="M35" s="35"/>
      <c r="N35" s="37"/>
      <c r="O35" s="37"/>
      <c r="P35" s="37"/>
      <c r="Q35" s="37"/>
      <c r="R35" s="35"/>
      <c r="S35" s="37"/>
      <c r="T35" s="37"/>
      <c r="U35" s="37"/>
      <c r="V35" s="35"/>
      <c r="W35" s="35"/>
      <c r="X35" s="35">
        <f>COUNTA(D35:U35)</f>
        <v>0</v>
      </c>
      <c r="Y35" s="36"/>
    </row>
    <row r="36" ht="12.75" customHeight="1">
      <c r="A36" s="10"/>
      <c r="B36" s="11"/>
      <c r="Y36" s="42"/>
    </row>
    <row r="37" ht="12.75" customHeight="1">
      <c r="A37" s="10"/>
      <c r="B37" s="11"/>
      <c r="C37" s="12" t="str">
        <f>SETUP!E1</f>
        <v>THE LEGEND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4"/>
      <c r="W37" s="15"/>
      <c r="X37" s="16">
        <f>SETUP!E2</f>
        <v>71.4</v>
      </c>
      <c r="Y37" s="17">
        <f>SETUP!E3</f>
        <v>130</v>
      </c>
    </row>
    <row r="38" ht="12.75" customHeight="1">
      <c r="A38" s="10"/>
      <c r="B38" s="11"/>
      <c r="C38" s="18" t="s">
        <v>5</v>
      </c>
      <c r="D38" s="19">
        <v>1.0</v>
      </c>
      <c r="E38" s="19">
        <v>2.0</v>
      </c>
      <c r="F38" s="19">
        <v>3.0</v>
      </c>
      <c r="G38" s="19">
        <v>4.0</v>
      </c>
      <c r="H38" s="19">
        <v>5.0</v>
      </c>
      <c r="I38" s="19">
        <v>6.0</v>
      </c>
      <c r="J38" s="19">
        <v>7.0</v>
      </c>
      <c r="K38" s="19">
        <v>8.0</v>
      </c>
      <c r="L38" s="19">
        <v>9.0</v>
      </c>
      <c r="M38" s="19">
        <v>10.0</v>
      </c>
      <c r="N38" s="19">
        <v>11.0</v>
      </c>
      <c r="O38" s="19">
        <v>12.0</v>
      </c>
      <c r="P38" s="19">
        <v>13.0</v>
      </c>
      <c r="Q38" s="19">
        <v>14.0</v>
      </c>
      <c r="R38" s="19">
        <v>15.0</v>
      </c>
      <c r="S38" s="19">
        <v>16.0</v>
      </c>
      <c r="T38" s="19">
        <v>17.0</v>
      </c>
      <c r="U38" s="19">
        <v>18.0</v>
      </c>
      <c r="V38" s="19" t="s">
        <v>6</v>
      </c>
      <c r="W38" s="19" t="s">
        <v>7</v>
      </c>
      <c r="X38" s="19" t="s">
        <v>8</v>
      </c>
      <c r="Y38" s="21" t="s">
        <v>9</v>
      </c>
    </row>
    <row r="39" ht="12.75" customHeight="1">
      <c r="A39" s="22" t="s">
        <v>14</v>
      </c>
      <c r="B39" s="23" t="s">
        <v>10</v>
      </c>
      <c r="C39" s="18" t="s">
        <v>11</v>
      </c>
      <c r="D39" s="24">
        <v>5.0</v>
      </c>
      <c r="E39" s="24">
        <v>4.0</v>
      </c>
      <c r="F39" s="24">
        <v>4.0</v>
      </c>
      <c r="G39" s="24">
        <v>3.0</v>
      </c>
      <c r="H39" s="24">
        <v>4.0</v>
      </c>
      <c r="I39" s="24">
        <v>4.0</v>
      </c>
      <c r="J39" s="24">
        <v>5.0</v>
      </c>
      <c r="K39" s="24">
        <v>4.0</v>
      </c>
      <c r="L39" s="24">
        <v>3.0</v>
      </c>
      <c r="M39" s="24">
        <v>4.0</v>
      </c>
      <c r="N39" s="24">
        <v>4.0</v>
      </c>
      <c r="O39" s="24">
        <v>3.0</v>
      </c>
      <c r="P39" s="24">
        <v>5.0</v>
      </c>
      <c r="Q39" s="24">
        <v>4.0</v>
      </c>
      <c r="R39" s="24">
        <v>3.0</v>
      </c>
      <c r="S39" s="24">
        <v>4.0</v>
      </c>
      <c r="T39" s="24">
        <v>4.0</v>
      </c>
      <c r="U39" s="24">
        <v>5.0</v>
      </c>
      <c r="V39" s="25">
        <f t="shared" ref="V39:V51" si="9">SUM(D39:L39)</f>
        <v>36</v>
      </c>
      <c r="W39" s="25">
        <f t="shared" ref="W39:W51" si="10">SUM(M39:U39)</f>
        <v>36</v>
      </c>
      <c r="X39" s="25">
        <f>V39+W39</f>
        <v>72</v>
      </c>
      <c r="Y39" s="26"/>
    </row>
    <row r="40" ht="12.75" customHeight="1">
      <c r="A40" s="27" t="str">
        <f>SETUP!A5</f>
        <v>Aaron J</v>
      </c>
      <c r="B40" s="28">
        <f t="array" ref="B40">if(A40="","",index(SETUP!C:C,match(A40,SETUP!A:A,0)))</f>
        <v>13</v>
      </c>
      <c r="C40" s="18"/>
      <c r="D40" s="29">
        <v>4.0</v>
      </c>
      <c r="E40" s="29">
        <v>4.0</v>
      </c>
      <c r="F40" s="29">
        <v>5.0</v>
      </c>
      <c r="G40" s="29">
        <v>3.0</v>
      </c>
      <c r="H40" s="29">
        <v>9.0</v>
      </c>
      <c r="I40" s="29">
        <v>5.0</v>
      </c>
      <c r="J40" s="29">
        <v>5.0</v>
      </c>
      <c r="K40" s="29">
        <v>5.0</v>
      </c>
      <c r="L40" s="29">
        <v>3.0</v>
      </c>
      <c r="M40" s="29">
        <v>7.0</v>
      </c>
      <c r="N40" s="29">
        <v>5.0</v>
      </c>
      <c r="O40" s="29">
        <v>3.0</v>
      </c>
      <c r="P40" s="29">
        <v>6.0</v>
      </c>
      <c r="Q40" s="29">
        <v>4.0</v>
      </c>
      <c r="R40" s="29">
        <v>6.0</v>
      </c>
      <c r="S40" s="29">
        <v>5.0</v>
      </c>
      <c r="T40" s="29">
        <v>5.0</v>
      </c>
      <c r="U40" s="29">
        <v>5.0</v>
      </c>
      <c r="V40" s="30">
        <f t="shared" si="9"/>
        <v>43</v>
      </c>
      <c r="W40" s="30">
        <f t="shared" si="10"/>
        <v>46</v>
      </c>
      <c r="X40" s="30">
        <f t="shared" ref="X40:X51" si="11">IF(W40&gt;0,V40+W40,"")</f>
        <v>89</v>
      </c>
      <c r="Y40" s="31">
        <f t="shared" ref="Y40:Y51" si="12">IF(W40=0,"",X40-B40)</f>
        <v>76</v>
      </c>
    </row>
    <row r="41" ht="12.75" customHeight="1">
      <c r="A41" s="27" t="str">
        <f>SETUP!A6</f>
        <v>Bob B</v>
      </c>
      <c r="B41" s="28">
        <f t="array" ref="B41">if(A41="","",index(SETUP!C:C,match(A41,SETUP!A:A,0)))</f>
        <v>17</v>
      </c>
      <c r="C41" s="18"/>
      <c r="D41" s="29">
        <v>7.0</v>
      </c>
      <c r="E41" s="29">
        <v>6.0</v>
      </c>
      <c r="F41" s="29">
        <v>5.0</v>
      </c>
      <c r="G41" s="29">
        <v>4.0</v>
      </c>
      <c r="H41" s="29">
        <v>5.0</v>
      </c>
      <c r="I41" s="29">
        <v>6.0</v>
      </c>
      <c r="J41" s="29">
        <v>9.0</v>
      </c>
      <c r="K41" s="29">
        <v>8.0</v>
      </c>
      <c r="L41" s="29">
        <v>3.0</v>
      </c>
      <c r="M41" s="29">
        <v>4.0</v>
      </c>
      <c r="N41" s="29">
        <v>6.0</v>
      </c>
      <c r="O41" s="29">
        <v>3.0</v>
      </c>
      <c r="P41" s="29">
        <v>7.0</v>
      </c>
      <c r="Q41" s="29">
        <v>5.0</v>
      </c>
      <c r="R41" s="29">
        <v>3.0</v>
      </c>
      <c r="S41" s="29">
        <v>6.0</v>
      </c>
      <c r="T41" s="29">
        <v>6.0</v>
      </c>
      <c r="U41" s="29">
        <v>7.0</v>
      </c>
      <c r="V41" s="30">
        <f t="shared" si="9"/>
        <v>53</v>
      </c>
      <c r="W41" s="30">
        <f t="shared" si="10"/>
        <v>47</v>
      </c>
      <c r="X41" s="30">
        <f t="shared" si="11"/>
        <v>100</v>
      </c>
      <c r="Y41" s="31">
        <f t="shared" si="12"/>
        <v>83</v>
      </c>
    </row>
    <row r="42" ht="12.75" customHeight="1">
      <c r="A42" s="27" t="str">
        <f>SETUP!A7</f>
        <v>Brian K</v>
      </c>
      <c r="B42" s="28">
        <f t="array" ref="B42">if(A42="","",index(SETUP!C:C,match(A42,SETUP!A:A,0)))</f>
        <v>17</v>
      </c>
      <c r="C42" s="18"/>
      <c r="D42" s="29">
        <v>6.0</v>
      </c>
      <c r="E42" s="29">
        <v>5.0</v>
      </c>
      <c r="F42" s="29">
        <v>5.0</v>
      </c>
      <c r="G42" s="29">
        <v>4.0</v>
      </c>
      <c r="H42" s="29">
        <v>4.0</v>
      </c>
      <c r="I42" s="29">
        <v>7.0</v>
      </c>
      <c r="J42" s="29">
        <v>7.0</v>
      </c>
      <c r="K42" s="29">
        <v>5.0</v>
      </c>
      <c r="L42" s="29">
        <v>3.0</v>
      </c>
      <c r="M42" s="29">
        <v>5.0</v>
      </c>
      <c r="N42" s="29">
        <v>5.0</v>
      </c>
      <c r="O42" s="29">
        <v>4.0</v>
      </c>
      <c r="P42" s="29">
        <v>7.0</v>
      </c>
      <c r="Q42" s="29">
        <v>4.0</v>
      </c>
      <c r="R42" s="29">
        <v>5.0</v>
      </c>
      <c r="S42" s="29">
        <v>5.0</v>
      </c>
      <c r="T42" s="29">
        <v>6.0</v>
      </c>
      <c r="U42" s="29">
        <v>7.0</v>
      </c>
      <c r="V42" s="30">
        <f t="shared" si="9"/>
        <v>46</v>
      </c>
      <c r="W42" s="30">
        <f t="shared" si="10"/>
        <v>48</v>
      </c>
      <c r="X42" s="30">
        <f t="shared" si="11"/>
        <v>94</v>
      </c>
      <c r="Y42" s="31">
        <f t="shared" si="12"/>
        <v>77</v>
      </c>
    </row>
    <row r="43" ht="12.75" customHeight="1">
      <c r="A43" s="27" t="str">
        <f>SETUP!A8</f>
        <v>Eric O</v>
      </c>
      <c r="B43" s="28">
        <f t="array" ref="B43">if(A43="","",index(SETUP!C:C,match(A43,SETUP!A:A,0)))</f>
        <v>19</v>
      </c>
      <c r="C43" s="18"/>
      <c r="D43" s="29">
        <v>7.0</v>
      </c>
      <c r="E43" s="29">
        <v>4.0</v>
      </c>
      <c r="F43" s="29">
        <v>4.0</v>
      </c>
      <c r="G43" s="29">
        <v>3.0</v>
      </c>
      <c r="H43" s="29">
        <v>5.0</v>
      </c>
      <c r="I43" s="29">
        <v>6.0</v>
      </c>
      <c r="J43" s="29">
        <v>6.0</v>
      </c>
      <c r="K43" s="29">
        <v>5.0</v>
      </c>
      <c r="L43" s="29">
        <v>4.0</v>
      </c>
      <c r="M43" s="29">
        <v>6.0</v>
      </c>
      <c r="N43" s="29">
        <v>6.0</v>
      </c>
      <c r="O43" s="29">
        <v>4.0</v>
      </c>
      <c r="P43" s="29">
        <v>7.0</v>
      </c>
      <c r="Q43" s="29">
        <v>5.0</v>
      </c>
      <c r="R43" s="29">
        <v>3.0</v>
      </c>
      <c r="S43" s="29">
        <v>7.0</v>
      </c>
      <c r="T43" s="29">
        <v>4.0</v>
      </c>
      <c r="U43" s="29">
        <v>6.0</v>
      </c>
      <c r="V43" s="30">
        <f t="shared" si="9"/>
        <v>44</v>
      </c>
      <c r="W43" s="30">
        <f t="shared" si="10"/>
        <v>48</v>
      </c>
      <c r="X43" s="30">
        <f t="shared" si="11"/>
        <v>92</v>
      </c>
      <c r="Y43" s="31">
        <f t="shared" si="12"/>
        <v>73</v>
      </c>
    </row>
    <row r="44" ht="12.75" customHeight="1">
      <c r="A44" s="27" t="str">
        <f>SETUP!A9</f>
        <v>Matt V</v>
      </c>
      <c r="B44" s="28">
        <f t="array" ref="B44">if(A44="","",index(SETUP!C:C,match(A44,SETUP!A:A,0)))</f>
        <v>16</v>
      </c>
      <c r="C44" s="18"/>
      <c r="D44" s="29">
        <v>6.0</v>
      </c>
      <c r="E44" s="29">
        <v>5.0</v>
      </c>
      <c r="F44" s="29">
        <v>6.0</v>
      </c>
      <c r="G44" s="29">
        <v>4.0</v>
      </c>
      <c r="H44" s="29">
        <v>8.0</v>
      </c>
      <c r="I44" s="29">
        <v>6.0</v>
      </c>
      <c r="J44" s="29">
        <v>6.0</v>
      </c>
      <c r="K44" s="29">
        <v>5.0</v>
      </c>
      <c r="L44" s="29">
        <v>3.0</v>
      </c>
      <c r="M44" s="29">
        <v>4.0</v>
      </c>
      <c r="N44" s="29">
        <v>4.0</v>
      </c>
      <c r="O44" s="29">
        <v>5.0</v>
      </c>
      <c r="P44" s="29">
        <v>8.0</v>
      </c>
      <c r="Q44" s="29">
        <v>5.0</v>
      </c>
      <c r="R44" s="29">
        <v>5.0</v>
      </c>
      <c r="S44" s="29">
        <v>6.0</v>
      </c>
      <c r="T44" s="29">
        <v>5.0</v>
      </c>
      <c r="U44" s="29">
        <v>6.0</v>
      </c>
      <c r="V44" s="30">
        <f t="shared" si="9"/>
        <v>49</v>
      </c>
      <c r="W44" s="30">
        <f t="shared" si="10"/>
        <v>48</v>
      </c>
      <c r="X44" s="30">
        <f t="shared" si="11"/>
        <v>97</v>
      </c>
      <c r="Y44" s="31">
        <f t="shared" si="12"/>
        <v>81</v>
      </c>
    </row>
    <row r="45" ht="12.75" customHeight="1">
      <c r="A45" s="27" t="str">
        <f>SETUP!A10</f>
        <v>Scott R</v>
      </c>
      <c r="B45" s="28">
        <f t="array" ref="B45">if(A45="","",index(SETUP!C:C,match(A45,SETUP!A:A,0)))</f>
        <v>10</v>
      </c>
      <c r="C45" s="18"/>
      <c r="D45" s="29">
        <v>4.0</v>
      </c>
      <c r="E45" s="29">
        <v>5.0</v>
      </c>
      <c r="F45" s="29">
        <v>4.0</v>
      </c>
      <c r="G45" s="29">
        <v>4.0</v>
      </c>
      <c r="H45" s="29">
        <v>4.0</v>
      </c>
      <c r="I45" s="29">
        <v>4.0</v>
      </c>
      <c r="J45" s="29">
        <v>9.0</v>
      </c>
      <c r="K45" s="29">
        <v>5.0</v>
      </c>
      <c r="L45" s="29">
        <v>3.0</v>
      </c>
      <c r="M45" s="29">
        <v>5.0</v>
      </c>
      <c r="N45" s="29">
        <v>4.0</v>
      </c>
      <c r="O45" s="29">
        <v>5.0</v>
      </c>
      <c r="P45" s="29">
        <v>8.0</v>
      </c>
      <c r="Q45" s="29">
        <v>4.0</v>
      </c>
      <c r="R45" s="29">
        <v>3.0</v>
      </c>
      <c r="S45" s="29">
        <v>5.0</v>
      </c>
      <c r="T45" s="29">
        <v>4.0</v>
      </c>
      <c r="U45" s="29">
        <v>6.0</v>
      </c>
      <c r="V45" s="30">
        <f t="shared" si="9"/>
        <v>42</v>
      </c>
      <c r="W45" s="30">
        <f t="shared" si="10"/>
        <v>44</v>
      </c>
      <c r="X45" s="30">
        <f t="shared" si="11"/>
        <v>86</v>
      </c>
      <c r="Y45" s="31">
        <f t="shared" si="12"/>
        <v>76</v>
      </c>
    </row>
    <row r="46" ht="12.75" customHeight="1">
      <c r="A46" s="27" t="str">
        <f>SETUP!A11</f>
        <v>N/A</v>
      </c>
      <c r="B46" s="28" t="str">
        <f t="array" ref="B46">if(A46="","",index(SETUP!C:C,match(A46,SETUP!A:A,0)))</f>
        <v/>
      </c>
      <c r="C46" s="18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30">
        <f t="shared" si="9"/>
        <v>0</v>
      </c>
      <c r="W46" s="30">
        <f t="shared" si="10"/>
        <v>0</v>
      </c>
      <c r="X46" s="30" t="str">
        <f t="shared" si="11"/>
        <v/>
      </c>
      <c r="Y46" s="31" t="str">
        <f t="shared" si="12"/>
        <v/>
      </c>
    </row>
    <row r="47" ht="12.75" customHeight="1">
      <c r="A47" s="27" t="str">
        <f>SETUP!A12</f>
        <v>N/A</v>
      </c>
      <c r="B47" s="28" t="str">
        <f t="array" ref="B47">if(A47="","",index(SETUP!C:C,match(A47,SETUP!A:A,0)))</f>
        <v/>
      </c>
      <c r="C47" s="1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0">
        <f t="shared" si="9"/>
        <v>0</v>
      </c>
      <c r="W47" s="30">
        <f t="shared" si="10"/>
        <v>0</v>
      </c>
      <c r="X47" s="30" t="str">
        <f t="shared" si="11"/>
        <v/>
      </c>
      <c r="Y47" s="31" t="str">
        <f t="shared" si="12"/>
        <v/>
      </c>
    </row>
    <row r="48" ht="12.75" customHeight="1">
      <c r="A48" s="27" t="str">
        <f>SETUP!A13</f>
        <v>N/A</v>
      </c>
      <c r="B48" s="28" t="str">
        <f t="array" ref="B48">if(A48="","",index(SETUP!C:C,match(A48,SETUP!A:A,0)))</f>
        <v/>
      </c>
      <c r="C48" s="18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0">
        <f t="shared" si="9"/>
        <v>0</v>
      </c>
      <c r="W48" s="30">
        <f t="shared" si="10"/>
        <v>0</v>
      </c>
      <c r="X48" s="30" t="str">
        <f t="shared" si="11"/>
        <v/>
      </c>
      <c r="Y48" s="31" t="str">
        <f t="shared" si="12"/>
        <v/>
      </c>
    </row>
    <row r="49" ht="12.75" customHeight="1">
      <c r="A49" s="27" t="str">
        <f>SETUP!A14</f>
        <v>N/A</v>
      </c>
      <c r="B49" s="28" t="str">
        <f t="array" ref="B49">if(A49="","",index(SETUP!C:C,match(A49,SETUP!A:A,0)))</f>
        <v/>
      </c>
      <c r="C49" s="1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33">
        <f t="shared" si="9"/>
        <v>0</v>
      </c>
      <c r="W49" s="33">
        <f t="shared" si="10"/>
        <v>0</v>
      </c>
      <c r="X49" s="30" t="str">
        <f t="shared" si="11"/>
        <v/>
      </c>
      <c r="Y49" s="31" t="str">
        <f t="shared" si="12"/>
        <v/>
      </c>
    </row>
    <row r="50" ht="12.75" customHeight="1">
      <c r="A50" s="27" t="str">
        <f>SETUP!A15</f>
        <v>N/A</v>
      </c>
      <c r="B50" s="28" t="str">
        <f t="array" ref="B50">if(A50="","",index(SETUP!C:C,match(A50,SETUP!A:A,0)))</f>
        <v/>
      </c>
      <c r="C50" s="32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33">
        <f t="shared" si="9"/>
        <v>0</v>
      </c>
      <c r="W50" s="33">
        <f t="shared" si="10"/>
        <v>0</v>
      </c>
      <c r="X50" s="30" t="str">
        <f t="shared" si="11"/>
        <v/>
      </c>
      <c r="Y50" s="31" t="str">
        <f t="shared" si="12"/>
        <v/>
      </c>
    </row>
    <row r="51" ht="12.75" customHeight="1">
      <c r="A51" s="27" t="str">
        <f>SETUP!A16</f>
        <v>N/A</v>
      </c>
      <c r="B51" s="28" t="str">
        <f t="array" ref="B51">if(A51="","",index(SETUP!C:C,match(A51,SETUP!A:A,0)))</f>
        <v/>
      </c>
      <c r="C51" s="32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33">
        <f t="shared" si="9"/>
        <v>0</v>
      </c>
      <c r="W51" s="33">
        <f t="shared" si="10"/>
        <v>0</v>
      </c>
      <c r="X51" s="30" t="str">
        <f t="shared" si="11"/>
        <v/>
      </c>
      <c r="Y51" s="31" t="str">
        <f t="shared" si="12"/>
        <v/>
      </c>
    </row>
    <row r="52" ht="12.75" customHeight="1">
      <c r="A52" s="10"/>
      <c r="B52" s="11"/>
      <c r="C52" s="34" t="s">
        <v>12</v>
      </c>
      <c r="D52" s="35" t="str">
        <f t="array" ref="D52">IF(SUM(IF(IF('Betting SETUP'!$D$5:$D$16="Y", D40:D51, 10)=MIN(IF('Betting SETUP'!$D$5:$D$16="Y", D40:D51, 10)), 1, 0)) &gt; 1, "", INDEX('Betting SETUP'!$A$5:$A$16,MATCH(MIN(IF('Betting SETUP'!$D$5:$D$16="Y",D40:D51,10)),IF('Betting SETUP'!$D$5:$D$16="Y",D40:D51,10),0)))</f>
        <v/>
      </c>
      <c r="E52" s="35" t="str">
        <f t="array" ref="E52">IF(SUM(IF(IF('Betting SETUP'!$D$5:$D$16="Y", E40:E51, 10)=MIN(IF('Betting SETUP'!$D$5:$D$16="Y", E40:E51, 10)), 1, 0)) &gt; 1, "", INDEX('Betting SETUP'!$A$5:$A$16,MATCH(MIN(IF('Betting SETUP'!$D$5:$D$16="Y",E40:E51,10)),IF('Betting SETUP'!$D$5:$D$16="Y",E40:E51,10),0)))</f>
        <v/>
      </c>
      <c r="F52" s="35" t="str">
        <f t="array" ref="F52">IF(SUM(IF(IF('Betting SETUP'!$D$5:$D$16="Y", F40:F51, 10)=MIN(IF('Betting SETUP'!$D$5:$D$16="Y", F40:F51, 10)), 1, 0)) &gt; 1, "", INDEX('Betting SETUP'!$A$5:$A$16,MATCH(MIN(IF('Betting SETUP'!$D$5:$D$16="Y",F40:F51,10)),IF('Betting SETUP'!$D$5:$D$16="Y",F40:F51,10),0)))</f>
        <v/>
      </c>
      <c r="G52" s="35" t="str">
        <f t="array" ref="G52">IF(SUM(IF(IF('Betting SETUP'!$D$5:$D$16="Y", G40:G51, 10)=MIN(IF('Betting SETUP'!$D$5:$D$16="Y", G40:G51, 10)), 1, 0)) &gt; 1, "", INDEX('Betting SETUP'!$A$5:$A$16,MATCH(MIN(IF('Betting SETUP'!$D$5:$D$16="Y",G40:G51,10)),IF('Betting SETUP'!$D$5:$D$16="Y",G40:G51,10),0)))</f>
        <v/>
      </c>
      <c r="H52" s="35" t="str">
        <f t="array" ref="H52">IF(SUM(IF(IF('Betting SETUP'!$D$5:$D$16="Y", H40:H51, 10)=MIN(IF('Betting SETUP'!$D$5:$D$16="Y", H40:H51, 10)), 1, 0)) &gt; 1, "", INDEX('Betting SETUP'!$A$5:$A$16,MATCH(MIN(IF('Betting SETUP'!$D$5:$D$16="Y",H40:H51,10)),IF('Betting SETUP'!$D$5:$D$16="Y",H40:H51,10),0)))</f>
        <v/>
      </c>
      <c r="I52" s="35" t="str">
        <f t="array" ref="I52">IF(SUM(IF(IF('Betting SETUP'!$D$5:$D$16="Y", I40:I51, 10)=MIN(IF('Betting SETUP'!$D$5:$D$16="Y", I40:I51, 10)), 1, 0)) &gt; 1, "", INDEX('Betting SETUP'!$A$5:$A$16,MATCH(MIN(IF('Betting SETUP'!$D$5:$D$16="Y",I40:I51,10)),IF('Betting SETUP'!$D$5:$D$16="Y",I40:I51,10),0)))</f>
        <v>Scott R</v>
      </c>
      <c r="J52" s="35" t="str">
        <f t="array" ref="J52">IF(SUM(IF(IF('Betting SETUP'!$D$5:$D$16="Y", J40:J51, 10)=MIN(IF('Betting SETUP'!$D$5:$D$16="Y", J40:J51, 10)), 1, 0)) &gt; 1, "", INDEX('Betting SETUP'!$A$5:$A$16,MATCH(MIN(IF('Betting SETUP'!$D$5:$D$16="Y",J40:J51,10)),IF('Betting SETUP'!$D$5:$D$16="Y",J40:J51,10),0)))</f>
        <v>Aaron J</v>
      </c>
      <c r="K52" s="35" t="str">
        <f t="array" ref="K52">IF(SUM(IF(IF('Betting SETUP'!$D$5:$D$16="Y", K40:K51, 10)=MIN(IF('Betting SETUP'!$D$5:$D$16="Y", K40:K51, 10)), 1, 0)) &gt; 1, "", INDEX('Betting SETUP'!$A$5:$A$16,MATCH(MIN(IF('Betting SETUP'!$D$5:$D$16="Y",K40:K51,10)),IF('Betting SETUP'!$D$5:$D$16="Y",K40:K51,10),0)))</f>
        <v/>
      </c>
      <c r="L52" s="35" t="str">
        <f t="array" ref="L52">IF(SUM(IF(IF('Betting SETUP'!$D$5:$D$16="Y", L40:L51, 10)=MIN(IF('Betting SETUP'!$D$5:$D$16="Y", L40:L51, 10)), 1, 0)) &gt; 1, "", INDEX('Betting SETUP'!$A$5:$A$16,MATCH(MIN(IF('Betting SETUP'!$D$5:$D$16="Y",L40:L51,10)),IF('Betting SETUP'!$D$5:$D$16="Y",L40:L51,10),0)))</f>
        <v/>
      </c>
      <c r="M52" s="35" t="str">
        <f t="array" ref="M52">IF(SUM(IF(IF('Betting SETUP'!$D$5:$D$16="Y", M40:M51, 10)=MIN(IF('Betting SETUP'!$D$5:$D$16="Y", M40:M51, 10)), 1, 0)) &gt; 1, "", INDEX('Betting SETUP'!$A$5:$A$16,MATCH(MIN(IF('Betting SETUP'!$D$5:$D$16="Y",M40:M51,10)),IF('Betting SETUP'!$D$5:$D$16="Y",M40:M51,10),0)))</f>
        <v/>
      </c>
      <c r="N52" s="35" t="str">
        <f t="array" ref="N52">IF(SUM(IF(IF('Betting SETUP'!$D$5:$D$16="Y", N40:N51, 10)=MIN(IF('Betting SETUP'!$D$5:$D$16="Y", N40:N51, 10)), 1, 0)) &gt; 1, "", INDEX('Betting SETUP'!$A$5:$A$16,MATCH(MIN(IF('Betting SETUP'!$D$5:$D$16="Y",N40:N51,10)),IF('Betting SETUP'!$D$5:$D$16="Y",N40:N51,10),0)))</f>
        <v/>
      </c>
      <c r="O52" s="35" t="str">
        <f t="array" ref="O52">IF(SUM(IF(IF('Betting SETUP'!$D$5:$D$16="Y", O40:O51, 10)=MIN(IF('Betting SETUP'!$D$5:$D$16="Y", O40:O51, 10)), 1, 0)) &gt; 1, "", INDEX('Betting SETUP'!$A$5:$A$16,MATCH(MIN(IF('Betting SETUP'!$D$5:$D$16="Y",O40:O51,10)),IF('Betting SETUP'!$D$5:$D$16="Y",O40:O51,10),0)))</f>
        <v/>
      </c>
      <c r="P52" s="35" t="str">
        <f t="array" ref="P52">IF(SUM(IF(IF('Betting SETUP'!$D$5:$D$16="Y", P40:P51, 10)=MIN(IF('Betting SETUP'!$D$5:$D$16="Y", P40:P51, 10)), 1, 0)) &gt; 1, "", INDEX('Betting SETUP'!$A$5:$A$16,MATCH(MIN(IF('Betting SETUP'!$D$5:$D$16="Y",P40:P51,10)),IF('Betting SETUP'!$D$5:$D$16="Y",P40:P51,10),0)))</f>
        <v>Aaron J</v>
      </c>
      <c r="Q52" s="35" t="str">
        <f t="array" ref="Q52">IF(SUM(IF(IF('Betting SETUP'!$D$5:$D$16="Y", Q40:Q51, 10)=MIN(IF('Betting SETUP'!$D$5:$D$16="Y", Q40:Q51, 10)), 1, 0)) &gt; 1, "", INDEX('Betting SETUP'!$A$5:$A$16,MATCH(MIN(IF('Betting SETUP'!$D$5:$D$16="Y",Q40:Q51,10)),IF('Betting SETUP'!$D$5:$D$16="Y",Q40:Q51,10),0)))</f>
        <v/>
      </c>
      <c r="R52" s="35" t="str">
        <f t="array" ref="R52">IF(SUM(IF(IF('Betting SETUP'!$D$5:$D$16="Y", R40:R51, 10)=MIN(IF('Betting SETUP'!$D$5:$D$16="Y", R40:R51, 10)), 1, 0)) &gt; 1, "", INDEX('Betting SETUP'!$A$5:$A$16,MATCH(MIN(IF('Betting SETUP'!$D$5:$D$16="Y",R40:R51,10)),IF('Betting SETUP'!$D$5:$D$16="Y",R40:R51,10),0)))</f>
        <v/>
      </c>
      <c r="S52" s="35" t="str">
        <f t="array" ref="S52">IF(SUM(IF(IF('Betting SETUP'!$D$5:$D$16="Y", S40:S51, 10)=MIN(IF('Betting SETUP'!$D$5:$D$16="Y", S40:S51, 10)), 1, 0)) &gt; 1, "", INDEX('Betting SETUP'!$A$5:$A$16,MATCH(MIN(IF('Betting SETUP'!$D$5:$D$16="Y",S40:S51,10)),IF('Betting SETUP'!$D$5:$D$16="Y",S40:S51,10),0)))</f>
        <v/>
      </c>
      <c r="T52" s="35" t="str">
        <f t="array" ref="T52">IF(SUM(IF(IF('Betting SETUP'!$D$5:$D$16="Y", T40:T51, 10)=MIN(IF('Betting SETUP'!$D$5:$D$16="Y", T40:T51, 10)), 1, 0)) &gt; 1, "", INDEX('Betting SETUP'!$A$5:$A$16,MATCH(MIN(IF('Betting SETUP'!$D$5:$D$16="Y",T40:T51,10)),IF('Betting SETUP'!$D$5:$D$16="Y",T40:T51,10),0)))</f>
        <v/>
      </c>
      <c r="U52" s="35" t="str">
        <f t="array" ref="U52">IF(SUM(IF(IF('Betting SETUP'!$D$5:$D$16="Y", U40:U51, 10)=MIN(IF('Betting SETUP'!$D$5:$D$16="Y", U40:U51, 10)), 1, 0)) &gt; 1, "", INDEX('Betting SETUP'!$A$5:$A$16,MATCH(MIN(IF('Betting SETUP'!$D$5:$D$16="Y",U40:U51,10)),IF('Betting SETUP'!$D$5:$D$16="Y",U40:U51,10),0)))</f>
        <v>Aaron J</v>
      </c>
      <c r="V52" s="14"/>
      <c r="W52" s="15"/>
      <c r="X52" s="35">
        <f>18-COUNTBLANK(D52:U52)</f>
        <v>4</v>
      </c>
      <c r="Y52" s="36"/>
    </row>
    <row r="53" ht="12.75" customHeight="1">
      <c r="A53" s="10"/>
      <c r="B53" s="11"/>
      <c r="C53" s="34" t="s">
        <v>13</v>
      </c>
      <c r="D53" s="35"/>
      <c r="E53" s="37"/>
      <c r="F53" s="37"/>
      <c r="G53" s="35"/>
      <c r="H53" s="37"/>
      <c r="I53" s="37"/>
      <c r="J53" s="37"/>
      <c r="K53" s="35"/>
      <c r="L53" s="37"/>
      <c r="M53" s="35"/>
      <c r="N53" s="37"/>
      <c r="O53" s="37"/>
      <c r="P53" s="37"/>
      <c r="Q53" s="37"/>
      <c r="R53" s="37"/>
      <c r="S53" s="35"/>
      <c r="T53" s="37"/>
      <c r="U53" s="35"/>
      <c r="V53" s="35"/>
      <c r="W53" s="35"/>
      <c r="X53" s="35">
        <f>COUNTA(D53:U53)</f>
        <v>0</v>
      </c>
      <c r="Y53" s="36"/>
    </row>
    <row r="54" ht="12.75" customHeight="1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ht="12.75" customHeight="1">
      <c r="A55" s="10"/>
      <c r="B55" s="11"/>
      <c r="C55" s="12" t="str">
        <f>SETUP!F1</f>
        <v>FOREST DUNES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4"/>
      <c r="W55" s="15"/>
      <c r="X55" s="43"/>
      <c r="Y55" s="17"/>
    </row>
    <row r="56" ht="12.75" customHeight="1">
      <c r="A56" s="10"/>
      <c r="B56" s="11"/>
      <c r="C56" s="18" t="s">
        <v>5</v>
      </c>
      <c r="D56" s="19">
        <v>1.0</v>
      </c>
      <c r="E56" s="19">
        <v>2.0</v>
      </c>
      <c r="F56" s="19">
        <v>3.0</v>
      </c>
      <c r="G56" s="19">
        <v>4.0</v>
      </c>
      <c r="H56" s="19">
        <v>5.0</v>
      </c>
      <c r="I56" s="19">
        <v>6.0</v>
      </c>
      <c r="J56" s="19">
        <v>7.0</v>
      </c>
      <c r="K56" s="19">
        <v>8.0</v>
      </c>
      <c r="L56" s="19">
        <v>9.0</v>
      </c>
      <c r="M56" s="19">
        <v>10.0</v>
      </c>
      <c r="N56" s="19">
        <v>11.0</v>
      </c>
      <c r="O56" s="19">
        <v>12.0</v>
      </c>
      <c r="P56" s="19">
        <v>13.0</v>
      </c>
      <c r="Q56" s="19">
        <v>14.0</v>
      </c>
      <c r="R56" s="19">
        <v>15.0</v>
      </c>
      <c r="S56" s="19">
        <v>16.0</v>
      </c>
      <c r="T56" s="19">
        <v>17.0</v>
      </c>
      <c r="U56" s="19">
        <v>18.0</v>
      </c>
      <c r="V56" s="19" t="s">
        <v>6</v>
      </c>
      <c r="W56" s="19" t="s">
        <v>7</v>
      </c>
      <c r="X56" s="19" t="s">
        <v>8</v>
      </c>
      <c r="Y56" s="21" t="s">
        <v>9</v>
      </c>
    </row>
    <row r="57" ht="12.75" customHeight="1">
      <c r="A57" s="22" t="s">
        <v>14</v>
      </c>
      <c r="B57" s="23" t="s">
        <v>10</v>
      </c>
      <c r="C57" s="18" t="s">
        <v>11</v>
      </c>
      <c r="D57" s="24">
        <v>4.0</v>
      </c>
      <c r="E57" s="24">
        <v>4.0</v>
      </c>
      <c r="F57" s="24">
        <v>3.0</v>
      </c>
      <c r="G57" s="24">
        <v>4.0</v>
      </c>
      <c r="H57" s="24">
        <v>5.0</v>
      </c>
      <c r="I57" s="24">
        <v>4.0</v>
      </c>
      <c r="J57" s="24">
        <v>5.0</v>
      </c>
      <c r="K57" s="24">
        <v>4.0</v>
      </c>
      <c r="L57" s="24">
        <v>3.0</v>
      </c>
      <c r="M57" s="24">
        <v>4.0</v>
      </c>
      <c r="N57" s="24">
        <v>3.0</v>
      </c>
      <c r="O57" s="24">
        <v>4.0</v>
      </c>
      <c r="P57" s="24">
        <v>4.0</v>
      </c>
      <c r="Q57" s="24">
        <v>4.0</v>
      </c>
      <c r="R57" s="24">
        <v>5.0</v>
      </c>
      <c r="S57" s="24">
        <v>3.0</v>
      </c>
      <c r="T57" s="24">
        <v>4.0</v>
      </c>
      <c r="U57" s="24">
        <v>5.0</v>
      </c>
      <c r="V57" s="25">
        <f t="shared" ref="V57:V69" si="13">SUM(D57:L57)</f>
        <v>36</v>
      </c>
      <c r="W57" s="25">
        <f t="shared" ref="W57:W69" si="14">SUM(M57:U57)</f>
        <v>36</v>
      </c>
      <c r="X57" s="25">
        <f>V57+W57</f>
        <v>72</v>
      </c>
      <c r="Y57" s="26"/>
    </row>
    <row r="58" ht="12.75" customHeight="1">
      <c r="A58" s="27" t="str">
        <f>SETUP!A5</f>
        <v>Aaron J</v>
      </c>
      <c r="B58" s="28">
        <f t="array" ref="B58">if(A58="","",index(SETUP!C:C,match(A58,SETUP!A:A,0)))</f>
        <v>13</v>
      </c>
      <c r="C58" s="18"/>
      <c r="D58" s="29">
        <v>5.0</v>
      </c>
      <c r="E58" s="29">
        <v>4.0</v>
      </c>
      <c r="F58" s="29">
        <v>5.0</v>
      </c>
      <c r="G58" s="29">
        <v>5.0</v>
      </c>
      <c r="H58" s="29">
        <v>7.0</v>
      </c>
      <c r="I58" s="29">
        <v>7.0</v>
      </c>
      <c r="J58" s="29">
        <v>6.0</v>
      </c>
      <c r="K58" s="29">
        <v>3.0</v>
      </c>
      <c r="L58" s="29">
        <v>4.0</v>
      </c>
      <c r="M58" s="29">
        <v>5.0</v>
      </c>
      <c r="N58" s="29">
        <v>5.0</v>
      </c>
      <c r="O58" s="29">
        <v>5.0</v>
      </c>
      <c r="P58" s="29">
        <v>4.0</v>
      </c>
      <c r="Q58" s="29">
        <v>6.0</v>
      </c>
      <c r="R58" s="29">
        <v>6.0</v>
      </c>
      <c r="S58" s="29">
        <v>6.0</v>
      </c>
      <c r="T58" s="29">
        <v>5.0</v>
      </c>
      <c r="U58" s="29">
        <v>6.0</v>
      </c>
      <c r="V58" s="30">
        <f t="shared" si="13"/>
        <v>46</v>
      </c>
      <c r="W58" s="30">
        <f t="shared" si="14"/>
        <v>48</v>
      </c>
      <c r="X58" s="30">
        <f t="shared" ref="X58:X69" si="15">IF(W58&gt;0,V58+W58,"")</f>
        <v>94</v>
      </c>
      <c r="Y58" s="31">
        <f t="shared" ref="Y58:Y69" si="16">IF(W58=0,"",X58-B58)</f>
        <v>81</v>
      </c>
    </row>
    <row r="59" ht="12.75" customHeight="1">
      <c r="A59" s="27" t="str">
        <f>SETUP!A6</f>
        <v>Bob B</v>
      </c>
      <c r="B59" s="28">
        <f t="array" ref="B59">if(A59="","",index(SETUP!C:C,match(A59,SETUP!A:A,0)))</f>
        <v>17</v>
      </c>
      <c r="C59" s="18"/>
      <c r="D59" s="29">
        <v>4.0</v>
      </c>
      <c r="E59" s="29">
        <v>6.0</v>
      </c>
      <c r="F59" s="29">
        <v>3.0</v>
      </c>
      <c r="G59" s="29">
        <v>4.0</v>
      </c>
      <c r="H59" s="29">
        <v>7.0</v>
      </c>
      <c r="I59" s="29">
        <v>4.0</v>
      </c>
      <c r="J59" s="29">
        <v>6.0</v>
      </c>
      <c r="K59" s="29">
        <v>5.0</v>
      </c>
      <c r="L59" s="29">
        <v>4.0</v>
      </c>
      <c r="M59" s="29">
        <v>5.0</v>
      </c>
      <c r="N59" s="29">
        <v>5.0</v>
      </c>
      <c r="O59" s="29">
        <v>7.0</v>
      </c>
      <c r="P59" s="29">
        <v>8.0</v>
      </c>
      <c r="Q59" s="29">
        <v>6.0</v>
      </c>
      <c r="R59" s="29">
        <v>6.0</v>
      </c>
      <c r="S59" s="29">
        <v>4.0</v>
      </c>
      <c r="T59" s="29">
        <v>5.0</v>
      </c>
      <c r="U59" s="29">
        <v>6.0</v>
      </c>
      <c r="V59" s="30">
        <f t="shared" si="13"/>
        <v>43</v>
      </c>
      <c r="W59" s="30">
        <f t="shared" si="14"/>
        <v>52</v>
      </c>
      <c r="X59" s="30">
        <f t="shared" si="15"/>
        <v>95</v>
      </c>
      <c r="Y59" s="31">
        <f t="shared" si="16"/>
        <v>78</v>
      </c>
    </row>
    <row r="60" ht="12.75" customHeight="1">
      <c r="A60" s="27" t="str">
        <f>SETUP!A7</f>
        <v>Brian K</v>
      </c>
      <c r="B60" s="28">
        <f t="array" ref="B60">if(A60="","",index(SETUP!C:C,match(A60,SETUP!A:A,0)))</f>
        <v>17</v>
      </c>
      <c r="C60" s="18"/>
      <c r="D60" s="29">
        <v>5.0</v>
      </c>
      <c r="E60" s="29">
        <v>7.0</v>
      </c>
      <c r="F60" s="29">
        <v>3.0</v>
      </c>
      <c r="G60" s="29">
        <v>7.0</v>
      </c>
      <c r="H60" s="29">
        <v>7.0</v>
      </c>
      <c r="I60" s="29">
        <v>5.0</v>
      </c>
      <c r="J60" s="29">
        <v>7.0</v>
      </c>
      <c r="K60" s="29">
        <v>4.0</v>
      </c>
      <c r="L60" s="29">
        <v>5.0</v>
      </c>
      <c r="M60" s="29">
        <v>5.0</v>
      </c>
      <c r="N60" s="29">
        <v>4.0</v>
      </c>
      <c r="O60" s="29">
        <v>4.0</v>
      </c>
      <c r="P60" s="29">
        <v>9.0</v>
      </c>
      <c r="Q60" s="29">
        <v>5.0</v>
      </c>
      <c r="R60" s="29">
        <v>6.0</v>
      </c>
      <c r="S60" s="29">
        <v>4.0</v>
      </c>
      <c r="T60" s="29">
        <v>5.0</v>
      </c>
      <c r="U60" s="29">
        <v>6.0</v>
      </c>
      <c r="V60" s="30">
        <f t="shared" si="13"/>
        <v>50</v>
      </c>
      <c r="W60" s="30">
        <f t="shared" si="14"/>
        <v>48</v>
      </c>
      <c r="X60" s="30">
        <f t="shared" si="15"/>
        <v>98</v>
      </c>
      <c r="Y60" s="31">
        <f t="shared" si="16"/>
        <v>81</v>
      </c>
    </row>
    <row r="61" ht="12.75" customHeight="1">
      <c r="A61" s="27" t="str">
        <f>SETUP!A8</f>
        <v>Eric O</v>
      </c>
      <c r="B61" s="28">
        <f t="array" ref="B61">if(A61="","",index(SETUP!C:C,match(A61,SETUP!A:A,0)))</f>
        <v>19</v>
      </c>
      <c r="C61" s="18"/>
      <c r="D61" s="29">
        <v>6.0</v>
      </c>
      <c r="E61" s="29">
        <v>6.0</v>
      </c>
      <c r="F61" s="29">
        <v>4.0</v>
      </c>
      <c r="G61" s="29">
        <v>7.0</v>
      </c>
      <c r="H61" s="29">
        <v>6.0</v>
      </c>
      <c r="I61" s="29">
        <v>4.0</v>
      </c>
      <c r="J61" s="29">
        <v>4.0</v>
      </c>
      <c r="K61" s="29">
        <v>4.0</v>
      </c>
      <c r="L61" s="29">
        <v>4.0</v>
      </c>
      <c r="M61" s="29">
        <v>6.0</v>
      </c>
      <c r="N61" s="29">
        <v>3.0</v>
      </c>
      <c r="O61" s="29">
        <v>6.0</v>
      </c>
      <c r="P61" s="29">
        <v>7.0</v>
      </c>
      <c r="Q61" s="29">
        <v>7.0</v>
      </c>
      <c r="R61" s="29">
        <v>6.0</v>
      </c>
      <c r="S61" s="29">
        <v>3.0</v>
      </c>
      <c r="T61" s="29">
        <v>3.0</v>
      </c>
      <c r="U61" s="29">
        <v>9.0</v>
      </c>
      <c r="V61" s="30">
        <f t="shared" si="13"/>
        <v>45</v>
      </c>
      <c r="W61" s="30">
        <f t="shared" si="14"/>
        <v>50</v>
      </c>
      <c r="X61" s="30">
        <f t="shared" si="15"/>
        <v>95</v>
      </c>
      <c r="Y61" s="31">
        <f t="shared" si="16"/>
        <v>76</v>
      </c>
    </row>
    <row r="62" ht="12.75" customHeight="1">
      <c r="A62" s="27" t="str">
        <f>SETUP!A9</f>
        <v>Matt V</v>
      </c>
      <c r="B62" s="28">
        <f t="array" ref="B62">if(A62="","",index(SETUP!C:C,match(A62,SETUP!A:A,0)))</f>
        <v>16</v>
      </c>
      <c r="C62" s="18"/>
      <c r="D62" s="29">
        <v>5.0</v>
      </c>
      <c r="E62" s="29">
        <v>7.0</v>
      </c>
      <c r="F62" s="29">
        <v>4.0</v>
      </c>
      <c r="G62" s="29">
        <v>6.0</v>
      </c>
      <c r="H62" s="29">
        <v>5.0</v>
      </c>
      <c r="I62" s="29">
        <v>4.0</v>
      </c>
      <c r="J62" s="29">
        <v>7.0</v>
      </c>
      <c r="K62" s="29">
        <v>7.0</v>
      </c>
      <c r="L62" s="29">
        <v>3.0</v>
      </c>
      <c r="M62" s="29">
        <v>5.0</v>
      </c>
      <c r="N62" s="29">
        <v>3.0</v>
      </c>
      <c r="O62" s="29">
        <v>6.0</v>
      </c>
      <c r="P62" s="29">
        <v>6.0</v>
      </c>
      <c r="Q62" s="29">
        <v>8.0</v>
      </c>
      <c r="R62" s="29">
        <v>6.0</v>
      </c>
      <c r="S62" s="29">
        <v>4.0</v>
      </c>
      <c r="T62" s="29">
        <v>4.0</v>
      </c>
      <c r="U62" s="29">
        <v>6.0</v>
      </c>
      <c r="V62" s="30">
        <f t="shared" si="13"/>
        <v>48</v>
      </c>
      <c r="W62" s="30">
        <f t="shared" si="14"/>
        <v>48</v>
      </c>
      <c r="X62" s="30">
        <f t="shared" si="15"/>
        <v>96</v>
      </c>
      <c r="Y62" s="31">
        <f t="shared" si="16"/>
        <v>80</v>
      </c>
    </row>
    <row r="63" ht="12.75" customHeight="1">
      <c r="A63" s="27" t="str">
        <f>SETUP!A10</f>
        <v>Scott R</v>
      </c>
      <c r="B63" s="28">
        <f t="array" ref="B63">if(A63="","",index(SETUP!C:C,match(A63,SETUP!A:A,0)))</f>
        <v>10</v>
      </c>
      <c r="C63" s="18"/>
      <c r="D63" s="29">
        <v>4.0</v>
      </c>
      <c r="E63" s="29">
        <v>4.0</v>
      </c>
      <c r="F63" s="29">
        <v>4.0</v>
      </c>
      <c r="G63" s="29">
        <v>6.0</v>
      </c>
      <c r="H63" s="29">
        <v>7.0</v>
      </c>
      <c r="I63" s="29">
        <v>4.0</v>
      </c>
      <c r="J63" s="29">
        <v>5.0</v>
      </c>
      <c r="K63" s="29">
        <v>4.0</v>
      </c>
      <c r="L63" s="29">
        <v>4.0</v>
      </c>
      <c r="M63" s="29">
        <v>5.0</v>
      </c>
      <c r="N63" s="29">
        <v>3.0</v>
      </c>
      <c r="O63" s="29">
        <v>5.0</v>
      </c>
      <c r="P63" s="29">
        <v>6.0</v>
      </c>
      <c r="Q63" s="29">
        <v>8.0</v>
      </c>
      <c r="R63" s="29">
        <v>5.0</v>
      </c>
      <c r="S63" s="29">
        <v>4.0</v>
      </c>
      <c r="T63" s="29">
        <v>6.0</v>
      </c>
      <c r="U63" s="29">
        <v>6.0</v>
      </c>
      <c r="V63" s="30">
        <f t="shared" si="13"/>
        <v>42</v>
      </c>
      <c r="W63" s="30">
        <f t="shared" si="14"/>
        <v>48</v>
      </c>
      <c r="X63" s="30">
        <f t="shared" si="15"/>
        <v>90</v>
      </c>
      <c r="Y63" s="31">
        <f t="shared" si="16"/>
        <v>80</v>
      </c>
    </row>
    <row r="64" ht="12.75" customHeight="1">
      <c r="A64" s="27" t="str">
        <f>SETUP!A11</f>
        <v>N/A</v>
      </c>
      <c r="B64" s="28" t="str">
        <f t="array" ref="B64">if(A64="","",index(SETUP!C:C,match(A64,SETUP!A:A,0)))</f>
        <v/>
      </c>
      <c r="C64" s="1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30">
        <f t="shared" si="13"/>
        <v>0</v>
      </c>
      <c r="W64" s="30">
        <f t="shared" si="14"/>
        <v>0</v>
      </c>
      <c r="X64" s="30" t="str">
        <f t="shared" si="15"/>
        <v/>
      </c>
      <c r="Y64" s="31" t="str">
        <f t="shared" si="16"/>
        <v/>
      </c>
    </row>
    <row r="65" ht="12.75" customHeight="1">
      <c r="A65" s="27" t="str">
        <f>SETUP!A12</f>
        <v>N/A</v>
      </c>
      <c r="B65" s="28" t="str">
        <f t="array" ref="B65">if(A65="","",index(SETUP!C:C,match(A65,SETUP!A:A,0)))</f>
        <v/>
      </c>
      <c r="C65" s="18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30">
        <f t="shared" si="13"/>
        <v>0</v>
      </c>
      <c r="W65" s="30">
        <f t="shared" si="14"/>
        <v>0</v>
      </c>
      <c r="X65" s="30" t="str">
        <f t="shared" si="15"/>
        <v/>
      </c>
      <c r="Y65" s="31" t="str">
        <f t="shared" si="16"/>
        <v/>
      </c>
    </row>
    <row r="66" ht="12.75" customHeight="1">
      <c r="A66" s="27" t="str">
        <f>SETUP!A13</f>
        <v>N/A</v>
      </c>
      <c r="B66" s="28" t="str">
        <f t="array" ref="B66">if(A66="","",index(SETUP!C:C,match(A66,SETUP!A:A,0)))</f>
        <v/>
      </c>
      <c r="C66" s="1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30">
        <f t="shared" si="13"/>
        <v>0</v>
      </c>
      <c r="W66" s="30">
        <f t="shared" si="14"/>
        <v>0</v>
      </c>
      <c r="X66" s="30" t="str">
        <f t="shared" si="15"/>
        <v/>
      </c>
      <c r="Y66" s="31" t="str">
        <f t="shared" si="16"/>
        <v/>
      </c>
    </row>
    <row r="67" ht="12.75" customHeight="1">
      <c r="A67" s="27" t="str">
        <f>SETUP!A14</f>
        <v>N/A</v>
      </c>
      <c r="B67" s="28" t="str">
        <f t="array" ref="B67">if(A67="","",index(SETUP!C:C,match(A67,SETUP!A:A,0)))</f>
        <v/>
      </c>
      <c r="C67" s="18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33">
        <f t="shared" si="13"/>
        <v>0</v>
      </c>
      <c r="W67" s="33">
        <f t="shared" si="14"/>
        <v>0</v>
      </c>
      <c r="X67" s="30" t="str">
        <f t="shared" si="15"/>
        <v/>
      </c>
      <c r="Y67" s="31" t="str">
        <f t="shared" si="16"/>
        <v/>
      </c>
    </row>
    <row r="68" ht="12.75" customHeight="1">
      <c r="A68" s="27" t="str">
        <f>SETUP!A15</f>
        <v>N/A</v>
      </c>
      <c r="B68" s="28" t="str">
        <f t="array" ref="B68">if(A68="","",index(SETUP!C:C,match(A68,SETUP!A:A,0)))</f>
        <v/>
      </c>
      <c r="C68" s="32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33">
        <f t="shared" si="13"/>
        <v>0</v>
      </c>
      <c r="W68" s="33">
        <f t="shared" si="14"/>
        <v>0</v>
      </c>
      <c r="X68" s="30" t="str">
        <f t="shared" si="15"/>
        <v/>
      </c>
      <c r="Y68" s="31" t="str">
        <f t="shared" si="16"/>
        <v/>
      </c>
    </row>
    <row r="69" ht="12.75" customHeight="1">
      <c r="A69" s="27" t="str">
        <f>SETUP!A16</f>
        <v>N/A</v>
      </c>
      <c r="B69" s="28" t="str">
        <f t="array" ref="B69">if(A69="","",index(SETUP!C:C,match(A69,SETUP!A:A,0)))</f>
        <v/>
      </c>
      <c r="C69" s="32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33">
        <f t="shared" si="13"/>
        <v>0</v>
      </c>
      <c r="W69" s="33">
        <f t="shared" si="14"/>
        <v>0</v>
      </c>
      <c r="X69" s="30" t="str">
        <f t="shared" si="15"/>
        <v/>
      </c>
      <c r="Y69" s="31" t="str">
        <f t="shared" si="16"/>
        <v/>
      </c>
    </row>
    <row r="70" ht="12.0" customHeight="1">
      <c r="A70" s="10"/>
      <c r="B70" s="11"/>
      <c r="C70" s="34"/>
      <c r="D70" s="35" t="str">
        <f t="array" ref="D70">IF(SUM(IF(IF('Betting SETUP'!$D$5:$D$16="Y", D58:D69, 10)=MIN(IF('Betting SETUP'!$D$5:$D$16="Y", D58:D69, 10)), 1, 0)) &gt; 1, "", INDEX('Betting SETUP'!$A$5:$A$16,MATCH(MIN(IF('Betting SETUP'!$D$5:$D$16="Y",D58:D69,10)),IF('Betting SETUP'!$D$5:$D$16="Y",D58:D69,10),0)))</f>
        <v/>
      </c>
      <c r="E70" s="35" t="str">
        <f t="array" ref="E70">IF(SUM(IF(IF('Betting SETUP'!$D$5:$D$16="Y", E58:E69, 10)=MIN(IF('Betting SETUP'!$D$5:$D$16="Y", E58:E69, 10)), 1, 0)) &gt; 1, "", INDEX('Betting SETUP'!$A$5:$A$16,MATCH(MIN(IF('Betting SETUP'!$D$5:$D$16="Y",E58:E69,10)),IF('Betting SETUP'!$D$5:$D$16="Y",E58:E69,10),0)))</f>
        <v/>
      </c>
      <c r="F70" s="35" t="str">
        <f t="array" ref="F70">IF(SUM(IF(IF('Betting SETUP'!$D$5:$D$16="Y", F58:F69, 10)=MIN(IF('Betting SETUP'!$D$5:$D$16="Y", F58:F69, 10)), 1, 0)) &gt; 1, "", INDEX('Betting SETUP'!$A$5:$A$16,MATCH(MIN(IF('Betting SETUP'!$D$5:$D$16="Y",F58:F69,10)),IF('Betting SETUP'!$D$5:$D$16="Y",F58:F69,10),0)))</f>
        <v/>
      </c>
      <c r="G70" s="35" t="str">
        <f t="array" ref="G70">IF(SUM(IF(IF('Betting SETUP'!$D$5:$D$16="Y", G58:G69, 10)=MIN(IF('Betting SETUP'!$D$5:$D$16="Y", G58:G69, 10)), 1, 0)) &gt; 1, "", INDEX('Betting SETUP'!$A$5:$A$16,MATCH(MIN(IF('Betting SETUP'!$D$5:$D$16="Y",G58:G69,10)),IF('Betting SETUP'!$D$5:$D$16="Y",G58:G69,10),0)))</f>
        <v>Bob B</v>
      </c>
      <c r="H70" s="35" t="str">
        <f t="array" ref="H70">IF(SUM(IF(IF('Betting SETUP'!$D$5:$D$16="Y", H58:H69, 10)=MIN(IF('Betting SETUP'!$D$5:$D$16="Y", H58:H69, 10)), 1, 0)) &gt; 1, "", INDEX('Betting SETUP'!$A$5:$A$16,MATCH(MIN(IF('Betting SETUP'!$D$5:$D$16="Y",H58:H69,10)),IF('Betting SETUP'!$D$5:$D$16="Y",H58:H69,10),0)))</f>
        <v>Matt V</v>
      </c>
      <c r="I70" s="35" t="str">
        <f t="array" ref="I70">IF(SUM(IF(IF('Betting SETUP'!$D$5:$D$16="Y", I58:I69, 10)=MIN(IF('Betting SETUP'!$D$5:$D$16="Y", I58:I69, 10)), 1, 0)) &gt; 1, "", INDEX('Betting SETUP'!$A$5:$A$16,MATCH(MIN(IF('Betting SETUP'!$D$5:$D$16="Y",I58:I69,10)),IF('Betting SETUP'!$D$5:$D$16="Y",I58:I69,10),0)))</f>
        <v/>
      </c>
      <c r="J70" s="35" t="str">
        <f t="array" ref="J70">IF(SUM(IF(IF('Betting SETUP'!$D$5:$D$16="Y", J58:J69, 10)=MIN(IF('Betting SETUP'!$D$5:$D$16="Y", J58:J69, 10)), 1, 0)) &gt; 1, "", INDEX('Betting SETUP'!$A$5:$A$16,MATCH(MIN(IF('Betting SETUP'!$D$5:$D$16="Y",J58:J69,10)),IF('Betting SETUP'!$D$5:$D$16="Y",J58:J69,10),0)))</f>
        <v>Eric O</v>
      </c>
      <c r="K70" s="35" t="str">
        <f t="array" ref="K70">IF(SUM(IF(IF('Betting SETUP'!$D$5:$D$16="Y", K58:K69, 10)=MIN(IF('Betting SETUP'!$D$5:$D$16="Y", K58:K69, 10)), 1, 0)) &gt; 1, "", INDEX('Betting SETUP'!$A$5:$A$16,MATCH(MIN(IF('Betting SETUP'!$D$5:$D$16="Y",K58:K69,10)),IF('Betting SETUP'!$D$5:$D$16="Y",K58:K69,10),0)))</f>
        <v>Aaron J</v>
      </c>
      <c r="L70" s="35" t="str">
        <f t="array" ref="L70">IF(SUM(IF(IF('Betting SETUP'!$D$5:$D$16="Y", L58:L69, 10)=MIN(IF('Betting SETUP'!$D$5:$D$16="Y", L58:L69, 10)), 1, 0)) &gt; 1, "", INDEX('Betting SETUP'!$A$5:$A$16,MATCH(MIN(IF('Betting SETUP'!$D$5:$D$16="Y",L58:L69,10)),IF('Betting SETUP'!$D$5:$D$16="Y",L58:L69,10),0)))</f>
        <v>Matt V</v>
      </c>
      <c r="M70" s="35" t="str">
        <f t="array" ref="M70">IF(SUM(IF(IF('Betting SETUP'!$D$5:$D$16="Y", M58:M69, 10)=MIN(IF('Betting SETUP'!$D$5:$D$16="Y", M58:M69, 10)), 1, 0)) &gt; 1, "", INDEX('Betting SETUP'!$A$5:$A$16,MATCH(MIN(IF('Betting SETUP'!$D$5:$D$16="Y",M58:M69,10)),IF('Betting SETUP'!$D$5:$D$16="Y",M58:M69,10),0)))</f>
        <v/>
      </c>
      <c r="N70" s="35" t="str">
        <f t="array" ref="N70">IF(SUM(IF(IF('Betting SETUP'!$D$5:$D$16="Y", N58:N69, 10)=MIN(IF('Betting SETUP'!$D$5:$D$16="Y", N58:N69, 10)), 1, 0)) &gt; 1, "", INDEX('Betting SETUP'!$A$5:$A$16,MATCH(MIN(IF('Betting SETUP'!$D$5:$D$16="Y",N58:N69,10)),IF('Betting SETUP'!$D$5:$D$16="Y",N58:N69,10),0)))</f>
        <v/>
      </c>
      <c r="O70" s="35" t="str">
        <f t="array" ref="O70">IF(SUM(IF(IF('Betting SETUP'!$D$5:$D$16="Y", O58:O69, 10)=MIN(IF('Betting SETUP'!$D$5:$D$16="Y", O58:O69, 10)), 1, 0)) &gt; 1, "", INDEX('Betting SETUP'!$A$5:$A$16,MATCH(MIN(IF('Betting SETUP'!$D$5:$D$16="Y",O58:O69,10)),IF('Betting SETUP'!$D$5:$D$16="Y",O58:O69,10),0)))</f>
        <v>Brian K</v>
      </c>
      <c r="P70" s="35" t="str">
        <f t="array" ref="P70">IF(SUM(IF(IF('Betting SETUP'!$D$5:$D$16="Y", P58:P69, 10)=MIN(IF('Betting SETUP'!$D$5:$D$16="Y", P58:P69, 10)), 1, 0)) &gt; 1, "", INDEX('Betting SETUP'!$A$5:$A$16,MATCH(MIN(IF('Betting SETUP'!$D$5:$D$16="Y",P58:P69,10)),IF('Betting SETUP'!$D$5:$D$16="Y",P58:P69,10),0)))</f>
        <v>Aaron J</v>
      </c>
      <c r="Q70" s="35" t="str">
        <f t="array" ref="Q70">IF(SUM(IF(IF('Betting SETUP'!$D$5:$D$16="Y", Q58:Q69, 10)=MIN(IF('Betting SETUP'!$D$5:$D$16="Y", Q58:Q69, 10)), 1, 0)) &gt; 1, "", INDEX('Betting SETUP'!$A$5:$A$16,MATCH(MIN(IF('Betting SETUP'!$D$5:$D$16="Y",Q58:Q69,10)),IF('Betting SETUP'!$D$5:$D$16="Y",Q58:Q69,10),0)))</f>
        <v>Brian K</v>
      </c>
      <c r="R70" s="35" t="str">
        <f t="array" ref="R70">IF(SUM(IF(IF('Betting SETUP'!$D$5:$D$16="Y", R58:R69, 10)=MIN(IF('Betting SETUP'!$D$5:$D$16="Y", R58:R69, 10)), 1, 0)) &gt; 1, "", INDEX('Betting SETUP'!$A$5:$A$16,MATCH(MIN(IF('Betting SETUP'!$D$5:$D$16="Y",R58:R69,10)),IF('Betting SETUP'!$D$5:$D$16="Y",R58:R69,10),0)))</f>
        <v>Scott R</v>
      </c>
      <c r="S70" s="35" t="str">
        <f t="array" ref="S70">IF(SUM(IF(IF('Betting SETUP'!$D$5:$D$16="Y", S58:S69, 10)=MIN(IF('Betting SETUP'!$D$5:$D$16="Y", S58:S69, 10)), 1, 0)) &gt; 1, "", INDEX('Betting SETUP'!$A$5:$A$16,MATCH(MIN(IF('Betting SETUP'!$D$5:$D$16="Y",S58:S69,10)),IF('Betting SETUP'!$D$5:$D$16="Y",S58:S69,10),0)))</f>
        <v>Eric O</v>
      </c>
      <c r="T70" s="35" t="str">
        <f t="array" ref="T70">IF(SUM(IF(IF('Betting SETUP'!$D$5:$D$16="Y", T58:T69, 10)=MIN(IF('Betting SETUP'!$D$5:$D$16="Y", T58:T69, 10)), 1, 0)) &gt; 1, "", INDEX('Betting SETUP'!$A$5:$A$16,MATCH(MIN(IF('Betting SETUP'!$D$5:$D$16="Y",T58:T69,10)),IF('Betting SETUP'!$D$5:$D$16="Y",T58:T69,10),0)))</f>
        <v>Eric O</v>
      </c>
      <c r="U70" s="35" t="str">
        <f t="array" ref="U70">IF(SUM(IF(IF('Betting SETUP'!$D$5:$D$16="Y", U58:U69, 10)=MIN(IF('Betting SETUP'!$D$5:$D$16="Y", U58:U69, 10)), 1, 0)) &gt; 1, "", INDEX('Betting SETUP'!$A$5:$A$16,MATCH(MIN(IF('Betting SETUP'!$D$5:$D$16="Y",U58:U69,10)),IF('Betting SETUP'!$D$5:$D$16="Y",U58:U69,10),0)))</f>
        <v/>
      </c>
      <c r="V70" s="14"/>
      <c r="W70" s="15"/>
      <c r="X70" s="35">
        <f>18-COUNTBLANK(D70:U70)</f>
        <v>11</v>
      </c>
      <c r="Y70" s="36"/>
    </row>
    <row r="71" ht="12.75" customHeight="1">
      <c r="A71" s="10"/>
      <c r="B71" s="11"/>
      <c r="C71" s="34"/>
      <c r="D71" s="35"/>
      <c r="E71" s="37"/>
      <c r="F71" s="37"/>
      <c r="G71" s="37"/>
      <c r="H71" s="37"/>
      <c r="I71" s="37"/>
      <c r="J71" s="37"/>
      <c r="K71" s="37"/>
      <c r="L71" s="37"/>
      <c r="M71" s="35"/>
      <c r="N71" s="37"/>
      <c r="O71" s="37"/>
      <c r="P71" s="37"/>
      <c r="Q71" s="37"/>
      <c r="R71" s="37"/>
      <c r="S71" s="35"/>
      <c r="T71" s="37"/>
      <c r="U71" s="35"/>
      <c r="V71" s="35"/>
      <c r="W71" s="35"/>
      <c r="X71" s="35">
        <f>COUNTA(D71:U71)</f>
        <v>0</v>
      </c>
      <c r="Y71" s="36"/>
    </row>
  </sheetData>
  <mergeCells count="4">
    <mergeCell ref="C1:U1"/>
    <mergeCell ref="C19:U19"/>
    <mergeCell ref="C37:U37"/>
    <mergeCell ref="C55:U55"/>
  </mergeCells>
  <conditionalFormatting sqref="D17:U17 D35:U35 D53:U53 D71:U71">
    <cfRule type="expression" dxfId="4" priority="1">
      <formula>D3=3</formula>
    </cfRule>
  </conditionalFormatting>
  <dataValidations>
    <dataValidation type="list" allowBlank="1" showErrorMessage="1" sqref="A4:A15 D17:U17 A22:A33 D35:U35 A40:A51 D53:U53 A58:A69 D71:U71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13" width="11.57"/>
  </cols>
  <sheetData>
    <row r="1">
      <c r="A1" s="44" t="s">
        <v>15</v>
      </c>
      <c r="B1" s="45" t="str">
        <f>SETUP!C1</f>
        <v>BLACK FOREST</v>
      </c>
      <c r="C1" s="45" t="str">
        <f>SETUP!D1</f>
        <v>LOCHENHEATH</v>
      </c>
      <c r="D1" s="45" t="str">
        <f>SETUP!E1</f>
        <v>THE LEGEND</v>
      </c>
      <c r="E1" s="46" t="str">
        <f>SETUP!F1</f>
        <v>FOREST DUNES</v>
      </c>
      <c r="F1" s="47"/>
      <c r="G1" s="48" t="s">
        <v>14</v>
      </c>
      <c r="H1" s="49" t="s">
        <v>16</v>
      </c>
      <c r="I1" s="50" t="s">
        <v>17</v>
      </c>
      <c r="J1" s="47"/>
      <c r="K1" s="48" t="s">
        <v>14</v>
      </c>
      <c r="L1" s="49" t="s">
        <v>13</v>
      </c>
      <c r="M1" s="49" t="s">
        <v>18</v>
      </c>
    </row>
    <row r="2">
      <c r="A2" s="51" t="str">
        <f>SETUP!$A5</f>
        <v>Aaron J</v>
      </c>
      <c r="B2" s="52">
        <f t="array" ref="B2">IF(index('Betting SETUP'!$C:$C,match($A2,'Betting SETUP'!$A:$A,0))="Y",(index('Score Calcuations'!E:E,match($A2,'Score Calcuations'!A:A))), "out")</f>
        <v>82</v>
      </c>
      <c r="C2" s="52">
        <f t="array" ref="C2">IF(index('Betting SETUP'!$C:$C,match($A2,'Betting SETUP'!$A:$A,0))="Y",(index('Score Calcuations'!G:G,match($A2,'Score Calcuations'!A:A))), "out")</f>
        <v>83</v>
      </c>
      <c r="D2" s="52">
        <f t="array" ref="D2">IF(index('Betting SETUP'!$C:$C,match($A2,'Betting SETUP'!$A:$A,0))="Y",(index('Score Calcuations'!I:I,match($A2,'Score Calcuations'!A:A))), "out")</f>
        <v>76</v>
      </c>
      <c r="E2" s="53">
        <f t="array" ref="E2">IF(index('Betting SETUP'!$C:$C,match($A2,'Betting SETUP'!$A:$A,0))="Y",(index('Score Calcuations'!K:K,match($A2,'Score Calcuations'!A:A))), "out")</f>
        <v>81</v>
      </c>
      <c r="F2" s="54"/>
      <c r="G2" s="55" t="str">
        <f>SETUP!$A5</f>
        <v>Aaron J</v>
      </c>
      <c r="H2" s="56">
        <f>SUM(COUNTIF(Scorecards!$D$16:$U$16,BettingScoreboard!$G2),COUNTIF(Scorecards!$D$34:$U$34,BettingScoreboard!$G2),COUNTIF(Scorecards!$D$52:$U$52,BettingScoreboard!$G2),COUNTIF(Scorecards!$D$70:$U$70,BettingScoreboard!$G2))</f>
        <v>11</v>
      </c>
      <c r="I2" s="57">
        <f>H2*'Betting SETUP'!$D$3/(sum($H$2:$H$13))</f>
        <v>4.413240741</v>
      </c>
      <c r="J2" s="58"/>
      <c r="K2" s="55" t="str">
        <f>SETUP!$A5</f>
        <v>Aaron J</v>
      </c>
      <c r="L2" s="56">
        <f>SUM(COUNTIF(Scorecards!$D$17:$U$17,BettingScoreboard!$K2),COUNTIF(Scorecards!$D$35:$U$35,BettingScoreboard!$K2),COUNTIF(Scorecards!$D$53:$U$53,BettingScoreboard!$K2),COUNTIF(Scorecards!$D$71:$U$71,BettingScoreboard!$K2))</f>
        <v>0</v>
      </c>
      <c r="M2" s="59">
        <f>L2*'Betting SETUP'!$E$3</f>
        <v>0</v>
      </c>
    </row>
    <row r="3">
      <c r="A3" s="51" t="str">
        <f>SETUP!$A6</f>
        <v>Bob B</v>
      </c>
      <c r="B3" s="52">
        <f t="array" ref="B3">IF(index('Betting SETUP'!$C:$C,match($A3,'Betting SETUP'!$A:$A,0))="Y",(index('Score Calcuations'!E:E,match($A3,'Score Calcuations'!A:A))), "out")</f>
        <v>88</v>
      </c>
      <c r="C3" s="52">
        <f t="array" ref="C3">IF(index('Betting SETUP'!$C:$C,match($A3,'Betting SETUP'!$A:$A,0))="Y",(index('Score Calcuations'!G:G,match($A3,'Score Calcuations'!A:A))), "out")</f>
        <v>79</v>
      </c>
      <c r="D3" s="52">
        <f t="array" ref="D3">IF(index('Betting SETUP'!$C:$C,match($A3,'Betting SETUP'!$A:$A,0))="Y",(index('Score Calcuations'!I:I,match($A3,'Score Calcuations'!A:A))), "out")</f>
        <v>83</v>
      </c>
      <c r="E3" s="53">
        <f t="array" ref="E3">IF(index('Betting SETUP'!$C:$C,match($A3,'Betting SETUP'!$A:$A,0))="Y",(index('Score Calcuations'!K:K,match($A3,'Score Calcuations'!A:A))), "out")</f>
        <v>78</v>
      </c>
      <c r="F3" s="54"/>
      <c r="G3" s="55" t="str">
        <f>SETUP!$A6</f>
        <v>Bob B</v>
      </c>
      <c r="H3" s="56">
        <f>SUM(COUNTIF(Scorecards!$D$16:$U$16,BettingScoreboard!$G3),COUNTIF(Scorecards!$D$34:$U$34,BettingScoreboard!$G3),COUNTIF(Scorecards!$D$52:$U$52,BettingScoreboard!$G3),COUNTIF(Scorecards!$D$70:$U$70,BettingScoreboard!$G3))</f>
        <v>3</v>
      </c>
      <c r="I3" s="57">
        <f>H3*'Betting SETUP'!$D$3/(sum($H$2:$H$13))</f>
        <v>1.203611111</v>
      </c>
      <c r="J3" s="58"/>
      <c r="K3" s="55" t="str">
        <f>SETUP!$A6</f>
        <v>Bob B</v>
      </c>
      <c r="L3" s="56">
        <f>SUM(COUNTIF(Scorecards!$D$17:$U$17,BettingScoreboard!$K3),COUNTIF(Scorecards!$D$35:$U$35,BettingScoreboard!$K3),COUNTIF(Scorecards!$D$53:$U$53,BettingScoreboard!$K3),COUNTIF(Scorecards!$D$71:$U$71,BettingScoreboard!$K3))</f>
        <v>0</v>
      </c>
      <c r="M3" s="59">
        <f>L3*'Betting SETUP'!$E$3</f>
        <v>0</v>
      </c>
    </row>
    <row r="4">
      <c r="A4" s="51" t="str">
        <f>SETUP!$A7</f>
        <v>Brian K</v>
      </c>
      <c r="B4" s="52">
        <f t="array" ref="B4">IF(index('Betting SETUP'!$C:$C,match($A4,'Betting SETUP'!$A:$A,0))="Y",(index('Score Calcuations'!E:E,match($A4,'Score Calcuations'!A:A))), "out")</f>
        <v>84</v>
      </c>
      <c r="C4" s="52">
        <f t="array" ref="C4">IF(index('Betting SETUP'!$C:$C,match($A4,'Betting SETUP'!$A:$A,0))="Y",(index('Score Calcuations'!G:G,match($A4,'Score Calcuations'!A:A))), "out")</f>
        <v>84</v>
      </c>
      <c r="D4" s="52">
        <f t="array" ref="D4">IF(index('Betting SETUP'!$C:$C,match($A4,'Betting SETUP'!$A:$A,0))="Y",(index('Score Calcuations'!I:I,match($A4,'Score Calcuations'!A:A))), "out")</f>
        <v>77</v>
      </c>
      <c r="E4" s="53">
        <f t="array" ref="E4">IF(index('Betting SETUP'!$C:$C,match($A4,'Betting SETUP'!$A:$A,0))="Y",(index('Score Calcuations'!K:K,match($A4,'Score Calcuations'!A:A))), "out")</f>
        <v>81</v>
      </c>
      <c r="F4" s="54"/>
      <c r="G4" s="55" t="str">
        <f>SETUP!$A7</f>
        <v>Brian K</v>
      </c>
      <c r="H4" s="56">
        <f>SUM(COUNTIF(Scorecards!$D$16:$U$16,BettingScoreboard!$G4),COUNTIF(Scorecards!$D$34:$U$34,BettingScoreboard!$G4),COUNTIF(Scorecards!$D$52:$U$52,BettingScoreboard!$G4),COUNTIF(Scorecards!$D$70:$U$70,BettingScoreboard!$G4))</f>
        <v>4</v>
      </c>
      <c r="I4" s="57">
        <f>H4*'Betting SETUP'!$D$3/(sum($H$2:$H$13))</f>
        <v>1.604814815</v>
      </c>
      <c r="J4" s="58"/>
      <c r="K4" s="55" t="str">
        <f>SETUP!$A7</f>
        <v>Brian K</v>
      </c>
      <c r="L4" s="56">
        <f>SUM(COUNTIF(Scorecards!$D$17:$U$17,BettingScoreboard!$K4),COUNTIF(Scorecards!$D$35:$U$35,BettingScoreboard!$K4),COUNTIF(Scorecards!$D$53:$U$53,BettingScoreboard!$K4),COUNTIF(Scorecards!$D$71:$U$71,BettingScoreboard!$K4))</f>
        <v>0</v>
      </c>
      <c r="M4" s="59">
        <f>L4*'Betting SETUP'!$E$3</f>
        <v>0</v>
      </c>
    </row>
    <row r="5">
      <c r="A5" s="51" t="str">
        <f>SETUP!$A8</f>
        <v>Eric O</v>
      </c>
      <c r="B5" s="52">
        <f t="array" ref="B5">IF(index('Betting SETUP'!$C:$C,match($A5,'Betting SETUP'!$A:$A,0))="Y",(index('Score Calcuations'!E:E,match($A5,'Score Calcuations'!A:A))), "out")</f>
        <v>91</v>
      </c>
      <c r="C5" s="52">
        <f t="array" ref="C5">IF(index('Betting SETUP'!$C:$C,match($A5,'Betting SETUP'!$A:$A,0))="Y",(index('Score Calcuations'!G:G,match($A5,'Score Calcuations'!A:A))), "out")</f>
        <v>84</v>
      </c>
      <c r="D5" s="52">
        <f t="array" ref="D5">IF(index('Betting SETUP'!$C:$C,match($A5,'Betting SETUP'!$A:$A,0))="Y",(index('Score Calcuations'!I:I,match($A5,'Score Calcuations'!A:A))), "out")</f>
        <v>73</v>
      </c>
      <c r="E5" s="53">
        <f t="array" ref="E5">IF(index('Betting SETUP'!$C:$C,match($A5,'Betting SETUP'!$A:$A,0))="Y",(index('Score Calcuations'!K:K,match($A5,'Score Calcuations'!A:A))), "out")</f>
        <v>76</v>
      </c>
      <c r="F5" s="54"/>
      <c r="G5" s="55" t="str">
        <f>SETUP!$A8</f>
        <v>Eric O</v>
      </c>
      <c r="H5" s="56">
        <f>SUM(COUNTIF(Scorecards!$D$16:$U$16,BettingScoreboard!$G5),COUNTIF(Scorecards!$D$34:$U$34,BettingScoreboard!$G5),COUNTIF(Scorecards!$D$52:$U$52,BettingScoreboard!$G5),COUNTIF(Scorecards!$D$70:$U$70,BettingScoreboard!$G5))</f>
        <v>5</v>
      </c>
      <c r="I5" s="57">
        <f>H5*'Betting SETUP'!$D$3/(sum($H$2:$H$13))</f>
        <v>2.006018519</v>
      </c>
      <c r="J5" s="58"/>
      <c r="K5" s="55" t="str">
        <f>SETUP!$A8</f>
        <v>Eric O</v>
      </c>
      <c r="L5" s="56">
        <f>SUM(COUNTIF(Scorecards!$D$17:$U$17,BettingScoreboard!$K5),COUNTIF(Scorecards!$D$35:$U$35,BettingScoreboard!$K5),COUNTIF(Scorecards!$D$53:$U$53,BettingScoreboard!$K5),COUNTIF(Scorecards!$D$71:$U$71,BettingScoreboard!$K5))</f>
        <v>0</v>
      </c>
      <c r="M5" s="59">
        <f>L5*'Betting SETUP'!$E$3</f>
        <v>0</v>
      </c>
    </row>
    <row r="6">
      <c r="A6" s="51" t="str">
        <f>SETUP!$A9</f>
        <v>Matt V</v>
      </c>
      <c r="B6" s="52">
        <f t="array" ref="B6">IF(index('Betting SETUP'!$C:$C,match($A6,'Betting SETUP'!$A:$A,0))="Y",(index('Score Calcuations'!E:E,match($A6,'Score Calcuations'!A:A))), "out")</f>
        <v>87</v>
      </c>
      <c r="C6" s="52">
        <f t="array" ref="C6">IF(index('Betting SETUP'!$C:$C,match($A6,'Betting SETUP'!$A:$A,0))="Y",(index('Score Calcuations'!G:G,match($A6,'Score Calcuations'!A:A))), "out")</f>
        <v>81</v>
      </c>
      <c r="D6" s="52">
        <f t="array" ref="D6">IF(index('Betting SETUP'!$C:$C,match($A6,'Betting SETUP'!$A:$A,0))="Y",(index('Score Calcuations'!I:I,match($A6,'Score Calcuations'!A:A))), "out")</f>
        <v>81</v>
      </c>
      <c r="E6" s="53">
        <f t="array" ref="E6">IF(index('Betting SETUP'!$C:$C,match($A6,'Betting SETUP'!$A:$A,0))="Y",(index('Score Calcuations'!K:K,match($A6,'Score Calcuations'!A:A))), "out")</f>
        <v>80</v>
      </c>
      <c r="F6" s="54"/>
      <c r="G6" s="55" t="str">
        <f>SETUP!$A9</f>
        <v>Matt V</v>
      </c>
      <c r="H6" s="56">
        <f>SUM(COUNTIF(Scorecards!$D$16:$U$16,BettingScoreboard!$G6),COUNTIF(Scorecards!$D$34:$U$34,BettingScoreboard!$G6),COUNTIF(Scorecards!$D$52:$U$52,BettingScoreboard!$G6),COUNTIF(Scorecards!$D$70:$U$70,BettingScoreboard!$G6))</f>
        <v>5</v>
      </c>
      <c r="I6" s="57">
        <f>H6*'Betting SETUP'!$D$3/(sum($H$2:$H$13))</f>
        <v>2.006018519</v>
      </c>
      <c r="J6" s="58"/>
      <c r="K6" s="55" t="str">
        <f>SETUP!$A9</f>
        <v>Matt V</v>
      </c>
      <c r="L6" s="56">
        <f>SUM(COUNTIF(Scorecards!$D$17:$U$17,BettingScoreboard!$K6),COUNTIF(Scorecards!$D$35:$U$35,BettingScoreboard!$K6),COUNTIF(Scorecards!$D$53:$U$53,BettingScoreboard!$K6),COUNTIF(Scorecards!$D$71:$U$71,BettingScoreboard!$K6))</f>
        <v>0</v>
      </c>
      <c r="M6" s="59">
        <f>L6*'Betting SETUP'!$E$3</f>
        <v>0</v>
      </c>
    </row>
    <row r="7">
      <c r="A7" s="51" t="str">
        <f>SETUP!$A10</f>
        <v>Scott R</v>
      </c>
      <c r="B7" s="52" t="str">
        <f t="array" ref="B7">IF(index('Betting SETUP'!$C:$C,match($A7,'Betting SETUP'!$A:$A,0))="Y",(index('Score Calcuations'!E:E,match($A7,'Score Calcuations'!A:A))), "out")</f>
        <v/>
      </c>
      <c r="C7" s="52" t="str">
        <f t="array" ref="C7">IF(index('Betting SETUP'!$C:$C,match($A7,'Betting SETUP'!$A:$A,0))="Y",(index('Score Calcuations'!G:G,match($A7,'Score Calcuations'!A:A))), "out")</f>
        <v/>
      </c>
      <c r="D7" s="52" t="str">
        <f t="array" ref="D7">IF(index('Betting SETUP'!$C:$C,match($A7,'Betting SETUP'!$A:$A,0))="Y",(index('Score Calcuations'!I:I,match($A7,'Score Calcuations'!A:A))), "out")</f>
        <v/>
      </c>
      <c r="E7" s="53" t="str">
        <f t="array" ref="E7">IF(index('Betting SETUP'!$C:$C,match($A7,'Betting SETUP'!$A:$A,0))="Y",(index('Score Calcuations'!K:K,match($A7,'Score Calcuations'!A:A))), "out")</f>
        <v/>
      </c>
      <c r="F7" s="54"/>
      <c r="G7" s="55" t="str">
        <f>SETUP!$A10</f>
        <v>Scott R</v>
      </c>
      <c r="H7" s="56">
        <f>SUM(COUNTIF(Scorecards!$D$16:$U$16,BettingScoreboard!$G7),COUNTIF(Scorecards!$D$34:$U$34,BettingScoreboard!$G7),COUNTIF(Scorecards!$D$52:$U$52,BettingScoreboard!$G7),COUNTIF(Scorecards!$D$70:$U$70,BettingScoreboard!$G7))</f>
        <v>8</v>
      </c>
      <c r="I7" s="57">
        <f>H7*'Betting SETUP'!$D$3/(sum($H$2:$H$13))</f>
        <v>3.20962963</v>
      </c>
      <c r="J7" s="58"/>
      <c r="K7" s="55" t="str">
        <f>SETUP!$A10</f>
        <v>Scott R</v>
      </c>
      <c r="L7" s="56">
        <f>SUM(COUNTIF(Scorecards!$D$17:$U$17,BettingScoreboard!$K7),COUNTIF(Scorecards!$D$35:$U$35,BettingScoreboard!$K7),COUNTIF(Scorecards!$D$53:$U$53,BettingScoreboard!$K7),COUNTIF(Scorecards!$D$71:$U$71,BettingScoreboard!$K7))</f>
        <v>0</v>
      </c>
      <c r="M7" s="59">
        <f>L7*'Betting SETUP'!$E$3</f>
        <v>0</v>
      </c>
    </row>
    <row r="8">
      <c r="A8" s="51" t="str">
        <f>SETUP!$A11</f>
        <v>N/A</v>
      </c>
      <c r="B8" s="52">
        <f t="array" ref="B8">IF(index('Betting SETUP'!$C:$C,match($A8,'Betting SETUP'!$A:$A,0))="Y",(index('Score Calcuations'!E:E,match($A8,'Score Calcuations'!A:A))), "out")</f>
        <v>87</v>
      </c>
      <c r="C8" s="52">
        <f t="array" ref="C8">IF(index('Betting SETUP'!$C:$C,match($A8,'Betting SETUP'!$A:$A,0))="Y",(index('Score Calcuations'!G:G,match($A8,'Score Calcuations'!A:A))), "out")</f>
        <v>81</v>
      </c>
      <c r="D8" s="52">
        <f t="array" ref="D8">IF(index('Betting SETUP'!$C:$C,match($A8,'Betting SETUP'!$A:$A,0))="Y",(index('Score Calcuations'!I:I,match($A8,'Score Calcuations'!A:A))), "out")</f>
        <v>81</v>
      </c>
      <c r="E8" s="53">
        <f t="array" ref="E8">IF(index('Betting SETUP'!$C:$C,match($A8,'Betting SETUP'!$A:$A,0))="Y",(index('Score Calcuations'!K:K,match($A8,'Score Calcuations'!A:A))), "out")</f>
        <v>80</v>
      </c>
      <c r="F8" s="54"/>
      <c r="G8" s="55" t="str">
        <f>SETUP!$A11</f>
        <v>N/A</v>
      </c>
      <c r="H8" s="56">
        <f>SUM(COUNTIF(Scorecards!$D$16:$U$16,BettingScoreboard!$G8),COUNTIF(Scorecards!$D$34:$U$34,BettingScoreboard!$G8),COUNTIF(Scorecards!$D$52:$U$52,BettingScoreboard!$G8),COUNTIF(Scorecards!$D$70:$U$70,BettingScoreboard!$G8))</f>
        <v>0</v>
      </c>
      <c r="I8" s="57">
        <f>H8*'Betting SETUP'!$D$3/(sum($H$2:$H$13))</f>
        <v>0</v>
      </c>
      <c r="J8" s="58"/>
      <c r="K8" s="55" t="str">
        <f>SETUP!$A11</f>
        <v>N/A</v>
      </c>
      <c r="L8" s="56">
        <f>SUM(COUNTIF(Scorecards!$D$17:$U$17,BettingScoreboard!$K8),COUNTIF(Scorecards!$D$35:$U$35,BettingScoreboard!$K8),COUNTIF(Scorecards!$D$53:$U$53,BettingScoreboard!$K8),COUNTIF(Scorecards!$D$71:$U$71,BettingScoreboard!$K8))</f>
        <v>0</v>
      </c>
      <c r="M8" s="59">
        <f>L8*'Betting SETUP'!$E$3</f>
        <v>0</v>
      </c>
    </row>
    <row r="9">
      <c r="A9" s="51" t="str">
        <f>SETUP!$A12</f>
        <v>N/A</v>
      </c>
      <c r="B9" s="52">
        <f t="array" ref="B9">IF(index('Betting SETUP'!$C:$C,match($A9,'Betting SETUP'!$A:$A,0))="Y",(index('Score Calcuations'!E:E,match($A9,'Score Calcuations'!A:A))), "out")</f>
        <v>87</v>
      </c>
      <c r="C9" s="52">
        <f t="array" ref="C9">IF(index('Betting SETUP'!$C:$C,match($A9,'Betting SETUP'!$A:$A,0))="Y",(index('Score Calcuations'!G:G,match($A9,'Score Calcuations'!A:A))), "out")</f>
        <v>81</v>
      </c>
      <c r="D9" s="52">
        <f t="array" ref="D9">IF(index('Betting SETUP'!$C:$C,match($A9,'Betting SETUP'!$A:$A,0))="Y",(index('Score Calcuations'!I:I,match($A9,'Score Calcuations'!A:A))), "out")</f>
        <v>81</v>
      </c>
      <c r="E9" s="53">
        <f t="array" ref="E9">IF(index('Betting SETUP'!$C:$C,match($A9,'Betting SETUP'!$A:$A,0))="Y",(index('Score Calcuations'!K:K,match($A9,'Score Calcuations'!A:A))), "out")</f>
        <v>80</v>
      </c>
      <c r="F9" s="54"/>
      <c r="G9" s="55" t="str">
        <f>SETUP!$A12</f>
        <v>N/A</v>
      </c>
      <c r="H9" s="56">
        <f>SUM(COUNTIF(Scorecards!$D$16:$U$16,BettingScoreboard!$G9),COUNTIF(Scorecards!$D$34:$U$34,BettingScoreboard!$G9),COUNTIF(Scorecards!$D$52:$U$52,BettingScoreboard!$G9),COUNTIF(Scorecards!$D$70:$U$70,BettingScoreboard!$G9))</f>
        <v>0</v>
      </c>
      <c r="I9" s="57">
        <f>H9*'Betting SETUP'!$D$3/(sum($H$2:$H$13))</f>
        <v>0</v>
      </c>
      <c r="J9" s="58"/>
      <c r="K9" s="55" t="str">
        <f>SETUP!$A12</f>
        <v>N/A</v>
      </c>
      <c r="L9" s="56">
        <f>SUM(COUNTIF(Scorecards!$D$17:$U$17,BettingScoreboard!$K9),COUNTIF(Scorecards!$D$35:$U$35,BettingScoreboard!$K9),COUNTIF(Scorecards!$D$53:$U$53,BettingScoreboard!$K9),COUNTIF(Scorecards!$D$71:$U$71,BettingScoreboard!$K9))</f>
        <v>0</v>
      </c>
      <c r="M9" s="59">
        <f>L9*'Betting SETUP'!$E$3</f>
        <v>0</v>
      </c>
    </row>
    <row r="10">
      <c r="A10" s="51" t="str">
        <f>SETUP!$A13</f>
        <v>N/A</v>
      </c>
      <c r="B10" s="52">
        <f t="array" ref="B10">IF(index('Betting SETUP'!$C:$C,match($A10,'Betting SETUP'!$A:$A,0))="Y",(index('Score Calcuations'!E:E,match($A10,'Score Calcuations'!A:A))), "out")</f>
        <v>87</v>
      </c>
      <c r="C10" s="52">
        <f t="array" ref="C10">IF(index('Betting SETUP'!$C:$C,match($A10,'Betting SETUP'!$A:$A,0))="Y",(index('Score Calcuations'!G:G,match($A10,'Score Calcuations'!A:A))), "out")</f>
        <v>81</v>
      </c>
      <c r="D10" s="52">
        <f t="array" ref="D10">IF(index('Betting SETUP'!$C:$C,match($A10,'Betting SETUP'!$A:$A,0))="Y",(index('Score Calcuations'!I:I,match($A10,'Score Calcuations'!A:A))), "out")</f>
        <v>81</v>
      </c>
      <c r="E10" s="53">
        <f t="array" ref="E10">IF(index('Betting SETUP'!$C:$C,match($A10,'Betting SETUP'!$A:$A,0))="Y",(index('Score Calcuations'!K:K,match($A10,'Score Calcuations'!A:A))), "out")</f>
        <v>80</v>
      </c>
      <c r="F10" s="54"/>
      <c r="G10" s="55" t="str">
        <f>SETUP!$A13</f>
        <v>N/A</v>
      </c>
      <c r="H10" s="56">
        <f>SUM(COUNTIF(Scorecards!$D$16:$U$16,BettingScoreboard!$G10),COUNTIF(Scorecards!$D$34:$U$34,BettingScoreboard!$G10),COUNTIF(Scorecards!$D$52:$U$52,BettingScoreboard!$G10),COUNTIF(Scorecards!$D$70:$U$70,BettingScoreboard!$G10))</f>
        <v>0</v>
      </c>
      <c r="I10" s="57">
        <f>H10*'Betting SETUP'!$D$3/(sum($H$2:$H$13))</f>
        <v>0</v>
      </c>
      <c r="J10" s="58"/>
      <c r="K10" s="55" t="str">
        <f>SETUP!$A13</f>
        <v>N/A</v>
      </c>
      <c r="L10" s="56">
        <f>SUM(COUNTIF(Scorecards!$D$17:$U$17,BettingScoreboard!$K10),COUNTIF(Scorecards!$D$35:$U$35,BettingScoreboard!$K10),COUNTIF(Scorecards!$D$53:$U$53,BettingScoreboard!$K10),COUNTIF(Scorecards!$D$71:$U$71,BettingScoreboard!$K10))</f>
        <v>0</v>
      </c>
      <c r="M10" s="59">
        <f>L10*'Betting SETUP'!$E$3</f>
        <v>0</v>
      </c>
    </row>
    <row r="11">
      <c r="A11" s="51" t="str">
        <f>SETUP!$A14</f>
        <v>N/A</v>
      </c>
      <c r="B11" s="52">
        <f t="array" ref="B11">IF(index('Betting SETUP'!$C:$C,match($A11,'Betting SETUP'!$A:$A,0))="Y",(index('Score Calcuations'!E:E,match($A11,'Score Calcuations'!A:A))), "out")</f>
        <v>87</v>
      </c>
      <c r="C11" s="52">
        <f t="array" ref="C11">IF(index('Betting SETUP'!$C:$C,match($A11,'Betting SETUP'!$A:$A,0))="Y",(index('Score Calcuations'!G:G,match($A11,'Score Calcuations'!A:A))), "out")</f>
        <v>81</v>
      </c>
      <c r="D11" s="52">
        <f t="array" ref="D11">IF(index('Betting SETUP'!$C:$C,match($A11,'Betting SETUP'!$A:$A,0))="Y",(index('Score Calcuations'!I:I,match($A11,'Score Calcuations'!A:A))), "out")</f>
        <v>81</v>
      </c>
      <c r="E11" s="53">
        <f t="array" ref="E11">IF(index('Betting SETUP'!$C:$C,match($A11,'Betting SETUP'!$A:$A,0))="Y",(index('Score Calcuations'!K:K,match($A11,'Score Calcuations'!A:A))), "out")</f>
        <v>80</v>
      </c>
      <c r="F11" s="54"/>
      <c r="G11" s="55" t="str">
        <f>SETUP!$A14</f>
        <v>N/A</v>
      </c>
      <c r="H11" s="56">
        <f>SUM(COUNTIF(Scorecards!$D$16:$U$16,BettingScoreboard!$G11),COUNTIF(Scorecards!$D$34:$U$34,BettingScoreboard!$G11),COUNTIF(Scorecards!$D$52:$U$52,BettingScoreboard!$G11),COUNTIF(Scorecards!$D$70:$U$70,BettingScoreboard!$G11))</f>
        <v>0</v>
      </c>
      <c r="I11" s="57">
        <f>H11*'Betting SETUP'!$D$3/(sum($H$2:$H$13))</f>
        <v>0</v>
      </c>
      <c r="J11" s="58"/>
      <c r="K11" s="55" t="str">
        <f>SETUP!$A14</f>
        <v>N/A</v>
      </c>
      <c r="L11" s="56">
        <f>SUM(COUNTIF(Scorecards!$D$17:$U$17,BettingScoreboard!$K11),COUNTIF(Scorecards!$D$35:$U$35,BettingScoreboard!$K11),COUNTIF(Scorecards!$D$53:$U$53,BettingScoreboard!$K11),COUNTIF(Scorecards!$D$71:$U$71,BettingScoreboard!$K11))</f>
        <v>0</v>
      </c>
      <c r="M11" s="59">
        <f>L11*'Betting SETUP'!$E$3</f>
        <v>0</v>
      </c>
    </row>
    <row r="12">
      <c r="A12" s="51" t="str">
        <f>SETUP!$A15</f>
        <v>N/A</v>
      </c>
      <c r="B12" s="52">
        <f t="array" ref="B12">IF(index('Betting SETUP'!$C:$C,match($A12,'Betting SETUP'!$A:$A,0))="Y",(index('Score Calcuations'!E:E,match($A12,'Score Calcuations'!A:A))), "out")</f>
        <v>87</v>
      </c>
      <c r="C12" s="52">
        <f t="array" ref="C12">IF(index('Betting SETUP'!$C:$C,match($A12,'Betting SETUP'!$A:$A,0))="Y",(index('Score Calcuations'!G:G,match($A12,'Score Calcuations'!A:A))), "out")</f>
        <v>81</v>
      </c>
      <c r="D12" s="52">
        <f t="array" ref="D12">IF(index('Betting SETUP'!$C:$C,match($A12,'Betting SETUP'!$A:$A,0))="Y",(index('Score Calcuations'!I:I,match($A12,'Score Calcuations'!A:A))), "out")</f>
        <v>81</v>
      </c>
      <c r="E12" s="53">
        <f t="array" ref="E12">IF(index('Betting SETUP'!$C:$C,match($A12,'Betting SETUP'!$A:$A,0))="Y",(index('Score Calcuations'!K:K,match($A12,'Score Calcuations'!A:A))), "out")</f>
        <v>80</v>
      </c>
      <c r="F12" s="54"/>
      <c r="G12" s="55" t="str">
        <f>SETUP!$A15</f>
        <v>N/A</v>
      </c>
      <c r="H12" s="56">
        <f>SUM(COUNTIF(Scorecards!$D$16:$U$16,BettingScoreboard!$G12),COUNTIF(Scorecards!$D$34:$U$34,BettingScoreboard!$G12),COUNTIF(Scorecards!$D$52:$U$52,BettingScoreboard!$G12),COUNTIF(Scorecards!$D$70:$U$70,BettingScoreboard!$G12))</f>
        <v>0</v>
      </c>
      <c r="I12" s="57">
        <f>H12*'Betting SETUP'!$D$3/(sum($H$2:$H$13))</f>
        <v>0</v>
      </c>
      <c r="J12" s="58"/>
      <c r="K12" s="55" t="str">
        <f>SETUP!$A15</f>
        <v>N/A</v>
      </c>
      <c r="L12" s="56">
        <f>SUM(COUNTIF(Scorecards!$D$17:$U$17,BettingScoreboard!$K12),COUNTIF(Scorecards!$D$35:$U$35,BettingScoreboard!$K12),COUNTIF(Scorecards!$D$53:$U$53,BettingScoreboard!$K12),COUNTIF(Scorecards!$D$71:$U$71,BettingScoreboard!$K12))</f>
        <v>0</v>
      </c>
      <c r="M12" s="59">
        <f>L12*'Betting SETUP'!$E$3</f>
        <v>0</v>
      </c>
    </row>
    <row r="13">
      <c r="A13" s="51" t="str">
        <f>SETUP!$A16</f>
        <v>N/A</v>
      </c>
      <c r="B13" s="52">
        <f t="array" ref="B13">IF(index('Betting SETUP'!$C:$C,match($A13,'Betting SETUP'!$A:$A,0))="Y",(index('Score Calcuations'!E:E,match($A13,'Score Calcuations'!A:A))), "out")</f>
        <v>87</v>
      </c>
      <c r="C13" s="52">
        <f t="array" ref="C13">IF(index('Betting SETUP'!$C:$C,match($A13,'Betting SETUP'!$A:$A,0))="Y",(index('Score Calcuations'!G:G,match($A13,'Score Calcuations'!A:A))), "out")</f>
        <v>81</v>
      </c>
      <c r="D13" s="52">
        <f t="array" ref="D13">IF(index('Betting SETUP'!$C:$C,match($A13,'Betting SETUP'!$A:$A,0))="Y",(index('Score Calcuations'!I:I,match($A13,'Score Calcuations'!A:A))), "out")</f>
        <v>81</v>
      </c>
      <c r="E13" s="53">
        <f t="array" ref="E13">IF(index('Betting SETUP'!$C:$C,match($A13,'Betting SETUP'!$A:$A,0))="Y",(index('Score Calcuations'!K:K,match($A13,'Score Calcuations'!A:A))), "out")</f>
        <v>80</v>
      </c>
      <c r="F13" s="54"/>
      <c r="G13" s="55" t="str">
        <f>SETUP!$A16</f>
        <v>N/A</v>
      </c>
      <c r="H13" s="56">
        <f>SUM(COUNTIF(Scorecards!$D$16:$U$16,BettingScoreboard!$G13),COUNTIF(Scorecards!$D$34:$U$34,BettingScoreboard!$G13),COUNTIF(Scorecards!$D$52:$U$52,BettingScoreboard!$G13),COUNTIF(Scorecards!$D$70:$U$70,BettingScoreboard!$G13))</f>
        <v>0</v>
      </c>
      <c r="I13" s="57">
        <f>H13*'Betting SETUP'!$D$3/(sum($H$2:$H$13))</f>
        <v>0</v>
      </c>
      <c r="J13" s="58"/>
      <c r="K13" s="55" t="str">
        <f>SETUP!$A16</f>
        <v>N/A</v>
      </c>
      <c r="L13" s="56">
        <f>SUM(COUNTIF(Scorecards!$D$17:$U$17,BettingScoreboard!$K13),COUNTIF(Scorecards!$D$35:$U$35,BettingScoreboard!$K13),COUNTIF(Scorecards!$D$53:$U$53,BettingScoreboard!$K13),COUNTIF(Scorecards!$D$71:$U$71,BettingScoreboard!$K13))</f>
        <v>0</v>
      </c>
      <c r="M13" s="59">
        <f>L13*'Betting SETUP'!$E$3</f>
        <v>0</v>
      </c>
    </row>
    <row r="14">
      <c r="A14" s="60" t="s">
        <v>19</v>
      </c>
      <c r="B14" s="60">
        <f>COUNTIF(BettingScoreboard!$B$2:$B$13,MIN(BettingScoreboard!$B$2:$B$13))</f>
        <v>1</v>
      </c>
      <c r="C14" s="60">
        <f>COUNTIF(BettingScoreboard!$C$2:$C$13,MIN(BettingScoreboard!$C$2:$C$13))</f>
        <v>1</v>
      </c>
      <c r="D14" s="60">
        <f>COUNTIF(BettingScoreboard!$D$2:$D$13,MIN(BettingScoreboard!$D$2:$D$13))</f>
        <v>1</v>
      </c>
      <c r="E14" s="60">
        <f>COUNTIF(BettingScoreboard!$E$2:$E$13,MIN(BettingScoreboard!$E$2:$E$13))</f>
        <v>1</v>
      </c>
      <c r="F14" s="54"/>
      <c r="G14" s="60" t="s">
        <v>20</v>
      </c>
      <c r="H14" s="60">
        <f>sum(H2:H13)</f>
        <v>36</v>
      </c>
      <c r="I14" s="60"/>
      <c r="J14" s="61"/>
      <c r="K14" s="60" t="s">
        <v>20</v>
      </c>
      <c r="L14" s="60">
        <f>sum(L2:L13)</f>
        <v>0</v>
      </c>
      <c r="M14" s="60"/>
    </row>
    <row r="15">
      <c r="A15" s="60" t="s">
        <v>21</v>
      </c>
      <c r="B15" s="62">
        <f>'Betting SETUP'!$C$3/B14</f>
        <v>20.01</v>
      </c>
      <c r="C15" s="62">
        <f>'Betting SETUP'!$C$3/C14</f>
        <v>20.01</v>
      </c>
      <c r="D15" s="62">
        <f>'Betting SETUP'!$C$3/D14</f>
        <v>20.01</v>
      </c>
      <c r="E15" s="62">
        <f>'Betting SETUP'!$C$3/E14</f>
        <v>20.01</v>
      </c>
      <c r="F15" s="63"/>
      <c r="G15" s="60" t="s">
        <v>22</v>
      </c>
      <c r="H15" s="62">
        <f>'Betting SETUP'!$D$3/sum(Scorecards!X16,Scorecards!X34,Scorecards!X52,Scorecards!X70)</f>
        <v>0.4012037037</v>
      </c>
      <c r="I15" s="60"/>
      <c r="J15" s="63"/>
      <c r="K15" s="60" t="s">
        <v>23</v>
      </c>
      <c r="L15" s="62">
        <f>'Betting SETUP'!E3</f>
        <v>15</v>
      </c>
      <c r="M15" s="60"/>
    </row>
  </sheetData>
  <conditionalFormatting sqref="B2:B13">
    <cfRule type="expression" dxfId="5" priority="1">
      <formula>B2=MIN($B$2:$B$11)</formula>
    </cfRule>
  </conditionalFormatting>
  <conditionalFormatting sqref="C2:C13">
    <cfRule type="expression" dxfId="5" priority="2">
      <formula>C2=MIN($C$2:$C$11)</formula>
    </cfRule>
  </conditionalFormatting>
  <conditionalFormatting sqref="D2:D13">
    <cfRule type="expression" dxfId="5" priority="3">
      <formula>D2=MIN($D$2:$D$11)</formula>
    </cfRule>
  </conditionalFormatting>
  <conditionalFormatting sqref="E2:E13">
    <cfRule type="expression" dxfId="5" priority="4">
      <formula>E2=MIN($E$2:$E$11)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13" width="7.29"/>
    <col customWidth="1" min="14" max="14" width="9.86"/>
    <col customWidth="1" min="15" max="15" width="12.14"/>
    <col customWidth="1" min="16" max="16" width="14.0"/>
    <col customWidth="1" min="17" max="19" width="11.57"/>
  </cols>
  <sheetData>
    <row r="1">
      <c r="B1" s="64">
        <v>1.0</v>
      </c>
      <c r="C1" s="65" t="s">
        <v>24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6">
        <f>sum(N3:N14)</f>
        <v>240</v>
      </c>
      <c r="O1" s="67"/>
      <c r="R1" s="67"/>
      <c r="S1" s="67"/>
    </row>
    <row r="2">
      <c r="B2" s="68" t="str">
        <f t="array" ref="B2:M2">transpose(A3:A14)</f>
        <v>Aaron J</v>
      </c>
      <c r="C2" s="68" t="s">
        <v>25</v>
      </c>
      <c r="D2" s="68" t="s">
        <v>26</v>
      </c>
      <c r="E2" s="68" t="s">
        <v>27</v>
      </c>
      <c r="F2" s="68" t="s">
        <v>28</v>
      </c>
      <c r="G2" s="68" t="s">
        <v>29</v>
      </c>
      <c r="H2" s="68" t="s">
        <v>30</v>
      </c>
      <c r="I2" s="68" t="s">
        <v>30</v>
      </c>
      <c r="J2" s="68" t="s">
        <v>30</v>
      </c>
      <c r="K2" s="68" t="s">
        <v>30</v>
      </c>
      <c r="L2" s="68" t="s">
        <v>30</v>
      </c>
      <c r="M2" s="68" t="s">
        <v>30</v>
      </c>
      <c r="N2" s="68" t="s">
        <v>8</v>
      </c>
      <c r="O2" s="67"/>
      <c r="P2" s="69" t="s">
        <v>31</v>
      </c>
      <c r="Q2" s="69" t="s">
        <v>32</v>
      </c>
      <c r="R2" s="70">
        <v>420.0</v>
      </c>
      <c r="S2" s="67">
        <f>R2/25</f>
        <v>16.8</v>
      </c>
    </row>
    <row r="3">
      <c r="A3" s="71" t="str">
        <f>SETUP!A5</f>
        <v>Aaron J</v>
      </c>
      <c r="B3" s="72">
        <v>5.0</v>
      </c>
      <c r="C3" s="72">
        <v>3.0</v>
      </c>
      <c r="D3" s="72">
        <v>4.0</v>
      </c>
      <c r="E3" s="72"/>
      <c r="F3" s="72"/>
      <c r="G3" s="72">
        <v>1.0</v>
      </c>
      <c r="H3" s="72"/>
      <c r="I3" s="72">
        <v>3.0</v>
      </c>
      <c r="J3" s="72"/>
      <c r="K3" s="72"/>
      <c r="L3" s="72">
        <v>2.0</v>
      </c>
      <c r="M3" s="72">
        <v>2.0</v>
      </c>
      <c r="N3" s="73">
        <f t="shared" ref="N3:N14" si="1">sum(B3:M3)*$B$1</f>
        <v>20</v>
      </c>
      <c r="O3" s="67"/>
      <c r="P3" s="71" t="str">
        <f>SETUP!A5</f>
        <v>Aaron J</v>
      </c>
      <c r="Q3" s="74">
        <f t="shared" ref="Q3:Q14" si="2">if($Q$31="TBD","TBD",if($Q$31=0,((R19/$R$31)*($N$1+$N$17)),if($R$31=0,((Q19/$Q$31)*($N$1+$N$17)),($Q$19*$Q$18)+(R19*$R$18))))</f>
        <v>75</v>
      </c>
      <c r="R3" s="75">
        <v>5.0</v>
      </c>
      <c r="S3" s="76">
        <f t="shared" ref="S3:S14" si="3">R3*$S$2</f>
        <v>84</v>
      </c>
    </row>
    <row r="4">
      <c r="A4" s="71" t="str">
        <f>SETUP!A6</f>
        <v>Bob B</v>
      </c>
      <c r="B4" s="72"/>
      <c r="C4" s="72">
        <v>5.0</v>
      </c>
      <c r="D4" s="72">
        <v>5.0</v>
      </c>
      <c r="E4" s="72"/>
      <c r="F4" s="72"/>
      <c r="G4" s="72">
        <v>5.0</v>
      </c>
      <c r="H4" s="72"/>
      <c r="I4" s="72"/>
      <c r="J4" s="72">
        <v>5.0</v>
      </c>
      <c r="K4" s="72"/>
      <c r="L4" s="72"/>
      <c r="M4" s="72"/>
      <c r="N4" s="73">
        <f t="shared" si="1"/>
        <v>20</v>
      </c>
      <c r="O4" s="67"/>
      <c r="P4" s="71" t="str">
        <f>SETUP!A6</f>
        <v>Bob B</v>
      </c>
      <c r="Q4" s="74">
        <f t="shared" si="2"/>
        <v>75</v>
      </c>
      <c r="R4" s="75">
        <v>0.0</v>
      </c>
      <c r="S4" s="76">
        <f t="shared" si="3"/>
        <v>0</v>
      </c>
    </row>
    <row r="5">
      <c r="A5" s="71" t="str">
        <f>SETUP!A7</f>
        <v>Brian K</v>
      </c>
      <c r="B5" s="72">
        <v>2.0</v>
      </c>
      <c r="C5" s="72">
        <v>2.0</v>
      </c>
      <c r="D5" s="72">
        <v>6.0</v>
      </c>
      <c r="E5" s="72"/>
      <c r="F5" s="72"/>
      <c r="G5" s="72">
        <v>2.0</v>
      </c>
      <c r="H5" s="72">
        <v>2.0</v>
      </c>
      <c r="I5" s="72">
        <v>2.0</v>
      </c>
      <c r="J5" s="72">
        <v>2.0</v>
      </c>
      <c r="K5" s="72"/>
      <c r="L5" s="72"/>
      <c r="M5" s="72">
        <v>2.0</v>
      </c>
      <c r="N5" s="73">
        <f t="shared" si="1"/>
        <v>20</v>
      </c>
      <c r="O5" s="67"/>
      <c r="P5" s="71" t="str">
        <f>SETUP!A7</f>
        <v>Brian K</v>
      </c>
      <c r="Q5" s="74">
        <f t="shared" si="2"/>
        <v>115</v>
      </c>
      <c r="R5" s="75">
        <v>4.0</v>
      </c>
      <c r="S5" s="76">
        <f t="shared" si="3"/>
        <v>67.2</v>
      </c>
    </row>
    <row r="6">
      <c r="A6" s="71" t="str">
        <f>SETUP!A8</f>
        <v>Eric O</v>
      </c>
      <c r="B6" s="72">
        <v>5.0</v>
      </c>
      <c r="C6" s="72">
        <v>2.0</v>
      </c>
      <c r="D6" s="72"/>
      <c r="E6" s="72">
        <v>5.0</v>
      </c>
      <c r="F6" s="72"/>
      <c r="G6" s="72"/>
      <c r="H6" s="72">
        <v>2.0</v>
      </c>
      <c r="I6" s="72">
        <v>2.0</v>
      </c>
      <c r="J6" s="72"/>
      <c r="K6" s="72"/>
      <c r="L6" s="72">
        <v>2.0</v>
      </c>
      <c r="M6" s="72">
        <v>2.0</v>
      </c>
      <c r="N6" s="73">
        <f t="shared" si="1"/>
        <v>20</v>
      </c>
      <c r="O6" s="67"/>
      <c r="P6" s="71" t="str">
        <f>SETUP!A8</f>
        <v>Eric O</v>
      </c>
      <c r="Q6" s="74">
        <f t="shared" si="2"/>
        <v>75</v>
      </c>
      <c r="R6" s="75">
        <v>5.0</v>
      </c>
      <c r="S6" s="76">
        <f t="shared" si="3"/>
        <v>84</v>
      </c>
    </row>
    <row r="7">
      <c r="A7" s="71" t="str">
        <f>SETUP!A9</f>
        <v>Matt V</v>
      </c>
      <c r="B7" s="72">
        <v>2.0</v>
      </c>
      <c r="C7" s="72"/>
      <c r="D7" s="72">
        <v>1.0</v>
      </c>
      <c r="E7" s="72"/>
      <c r="F7" s="72">
        <v>10.0</v>
      </c>
      <c r="G7" s="72"/>
      <c r="H7" s="72"/>
      <c r="I7" s="72">
        <v>5.0</v>
      </c>
      <c r="J7" s="72"/>
      <c r="K7" s="72"/>
      <c r="L7" s="72"/>
      <c r="M7" s="72">
        <v>2.0</v>
      </c>
      <c r="N7" s="73">
        <f t="shared" si="1"/>
        <v>20</v>
      </c>
      <c r="O7" s="67"/>
      <c r="P7" s="71" t="str">
        <f>SETUP!A9</f>
        <v>Matt V</v>
      </c>
      <c r="Q7" s="74">
        <f t="shared" si="2"/>
        <v>75</v>
      </c>
      <c r="R7" s="75">
        <v>2.0</v>
      </c>
      <c r="S7" s="76">
        <f t="shared" si="3"/>
        <v>33.6</v>
      </c>
    </row>
    <row r="8">
      <c r="A8" s="71" t="str">
        <f>SETUP!A10</f>
        <v>Scott R</v>
      </c>
      <c r="B8" s="72"/>
      <c r="C8" s="72"/>
      <c r="D8" s="72">
        <v>4.0</v>
      </c>
      <c r="E8" s="72"/>
      <c r="F8" s="72"/>
      <c r="G8" s="72">
        <v>6.0</v>
      </c>
      <c r="H8" s="72">
        <v>4.0</v>
      </c>
      <c r="I8" s="72"/>
      <c r="J8" s="72">
        <v>3.0</v>
      </c>
      <c r="K8" s="72">
        <v>3.0</v>
      </c>
      <c r="L8" s="72"/>
      <c r="M8" s="72"/>
      <c r="N8" s="73">
        <f t="shared" si="1"/>
        <v>20</v>
      </c>
      <c r="O8" s="67"/>
      <c r="P8" s="71" t="str">
        <f>SETUP!A10</f>
        <v>Scott R</v>
      </c>
      <c r="Q8" s="74">
        <f t="shared" si="2"/>
        <v>75</v>
      </c>
      <c r="R8" s="75">
        <v>0.0</v>
      </c>
      <c r="S8" s="76">
        <f t="shared" si="3"/>
        <v>0</v>
      </c>
    </row>
    <row r="9">
      <c r="A9" s="71" t="str">
        <f>SETUP!A11</f>
        <v>N/A</v>
      </c>
      <c r="B9" s="72"/>
      <c r="C9" s="72">
        <v>1.0</v>
      </c>
      <c r="D9" s="72"/>
      <c r="E9" s="72"/>
      <c r="F9" s="72">
        <v>2.0</v>
      </c>
      <c r="G9" s="72"/>
      <c r="H9" s="72">
        <v>15.0</v>
      </c>
      <c r="I9" s="72">
        <v>1.0</v>
      </c>
      <c r="J9" s="72"/>
      <c r="K9" s="72">
        <v>1.0</v>
      </c>
      <c r="L9" s="72"/>
      <c r="M9" s="72"/>
      <c r="N9" s="73">
        <f t="shared" si="1"/>
        <v>20</v>
      </c>
      <c r="O9" s="67"/>
      <c r="P9" s="71" t="str">
        <f>SETUP!A11</f>
        <v>N/A</v>
      </c>
      <c r="Q9" s="74">
        <f t="shared" si="2"/>
        <v>135</v>
      </c>
      <c r="R9" s="75">
        <v>3.0</v>
      </c>
      <c r="S9" s="76">
        <f t="shared" si="3"/>
        <v>50.4</v>
      </c>
    </row>
    <row r="10">
      <c r="A10" s="71" t="str">
        <f>SETUP!A12</f>
        <v>N/A</v>
      </c>
      <c r="B10" s="72">
        <v>2.0</v>
      </c>
      <c r="C10" s="72">
        <v>2.0</v>
      </c>
      <c r="D10" s="72">
        <v>3.0</v>
      </c>
      <c r="E10" s="72">
        <v>2.0</v>
      </c>
      <c r="F10" s="72"/>
      <c r="G10" s="72">
        <v>3.0</v>
      </c>
      <c r="H10" s="72">
        <v>5.0</v>
      </c>
      <c r="I10" s="72">
        <v>1.0</v>
      </c>
      <c r="J10" s="72"/>
      <c r="K10" s="72"/>
      <c r="L10" s="72">
        <v>2.0</v>
      </c>
      <c r="M10" s="72"/>
      <c r="N10" s="73">
        <f t="shared" si="1"/>
        <v>20</v>
      </c>
      <c r="O10" s="67"/>
      <c r="P10" s="71" t="str">
        <f>SETUP!A12</f>
        <v>N/A</v>
      </c>
      <c r="Q10" s="74">
        <f t="shared" si="2"/>
        <v>135</v>
      </c>
      <c r="R10" s="75">
        <v>2.0</v>
      </c>
      <c r="S10" s="76">
        <f t="shared" si="3"/>
        <v>33.6</v>
      </c>
    </row>
    <row r="11">
      <c r="A11" s="71" t="str">
        <f>SETUP!A13</f>
        <v>N/A</v>
      </c>
      <c r="B11" s="72"/>
      <c r="C11" s="72"/>
      <c r="D11" s="72"/>
      <c r="E11" s="72"/>
      <c r="F11" s="72"/>
      <c r="G11" s="72"/>
      <c r="H11" s="72"/>
      <c r="I11" s="72"/>
      <c r="J11" s="72">
        <v>20.0</v>
      </c>
      <c r="K11" s="72"/>
      <c r="L11" s="72"/>
      <c r="M11" s="72"/>
      <c r="N11" s="73">
        <f t="shared" si="1"/>
        <v>20</v>
      </c>
      <c r="O11" s="67"/>
      <c r="P11" s="71" t="str">
        <f>SETUP!A13</f>
        <v>N/A</v>
      </c>
      <c r="Q11" s="74">
        <f t="shared" si="2"/>
        <v>135</v>
      </c>
      <c r="R11" s="75">
        <v>0.0</v>
      </c>
      <c r="S11" s="76">
        <f t="shared" si="3"/>
        <v>0</v>
      </c>
    </row>
    <row r="12">
      <c r="A12" s="71" t="str">
        <f>SETUP!A14</f>
        <v>N/A</v>
      </c>
      <c r="B12" s="72"/>
      <c r="C12" s="72"/>
      <c r="D12" s="72"/>
      <c r="E12" s="72">
        <v>5.0</v>
      </c>
      <c r="F12" s="72"/>
      <c r="G12" s="72">
        <v>5.0</v>
      </c>
      <c r="H12" s="72">
        <v>5.0</v>
      </c>
      <c r="I12" s="72"/>
      <c r="J12" s="72"/>
      <c r="K12" s="72">
        <v>5.0</v>
      </c>
      <c r="L12" s="72"/>
      <c r="M12" s="72"/>
      <c r="N12" s="73">
        <f t="shared" si="1"/>
        <v>20</v>
      </c>
      <c r="O12" s="67"/>
      <c r="P12" s="71" t="str">
        <f>SETUP!A14</f>
        <v>N/A</v>
      </c>
      <c r="Q12" s="74">
        <f t="shared" si="2"/>
        <v>135</v>
      </c>
      <c r="R12" s="75">
        <v>0.0</v>
      </c>
      <c r="S12" s="76">
        <f t="shared" si="3"/>
        <v>0</v>
      </c>
    </row>
    <row r="13">
      <c r="A13" s="71" t="str">
        <f>SETUP!A15</f>
        <v>N/A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>
        <v>20.0</v>
      </c>
      <c r="M13" s="72"/>
      <c r="N13" s="73">
        <f t="shared" si="1"/>
        <v>20</v>
      </c>
      <c r="O13" s="67"/>
      <c r="P13" s="71" t="str">
        <f>SETUP!A15</f>
        <v>N/A</v>
      </c>
      <c r="Q13" s="74">
        <f t="shared" si="2"/>
        <v>135</v>
      </c>
      <c r="R13" s="75">
        <v>0.0</v>
      </c>
      <c r="S13" s="76">
        <f t="shared" si="3"/>
        <v>0</v>
      </c>
    </row>
    <row r="14">
      <c r="A14" s="71" t="str">
        <f>SETUP!A16</f>
        <v>N/A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>
        <v>20.0</v>
      </c>
      <c r="N14" s="73">
        <f t="shared" si="1"/>
        <v>20</v>
      </c>
      <c r="O14" s="67"/>
      <c r="P14" s="71" t="str">
        <f>SETUP!A16</f>
        <v>N/A</v>
      </c>
      <c r="Q14" s="74">
        <f t="shared" si="2"/>
        <v>135</v>
      </c>
      <c r="R14" s="75">
        <v>4.0</v>
      </c>
      <c r="S14" s="76">
        <f t="shared" si="3"/>
        <v>67.2</v>
      </c>
    </row>
    <row r="15">
      <c r="A15" s="77"/>
      <c r="B15" s="78">
        <f t="shared" ref="B15:M15" si="4">SUM(B3:B14)</f>
        <v>16</v>
      </c>
      <c r="C15" s="78">
        <f t="shared" si="4"/>
        <v>15</v>
      </c>
      <c r="D15" s="78">
        <f t="shared" si="4"/>
        <v>23</v>
      </c>
      <c r="E15" s="78">
        <f t="shared" si="4"/>
        <v>12</v>
      </c>
      <c r="F15" s="78">
        <f t="shared" si="4"/>
        <v>12</v>
      </c>
      <c r="G15" s="78">
        <f t="shared" si="4"/>
        <v>22</v>
      </c>
      <c r="H15" s="78">
        <f t="shared" si="4"/>
        <v>33</v>
      </c>
      <c r="I15" s="78">
        <f t="shared" si="4"/>
        <v>14</v>
      </c>
      <c r="J15" s="78">
        <f t="shared" si="4"/>
        <v>30</v>
      </c>
      <c r="K15" s="78">
        <f t="shared" si="4"/>
        <v>9</v>
      </c>
      <c r="L15" s="78">
        <f t="shared" si="4"/>
        <v>26</v>
      </c>
      <c r="M15" s="78">
        <f t="shared" si="4"/>
        <v>28</v>
      </c>
      <c r="N15" s="79">
        <f>sum(B15:M15)</f>
        <v>240</v>
      </c>
      <c r="O15" s="67"/>
    </row>
    <row r="16"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67"/>
      <c r="Q16" s="81"/>
    </row>
    <row r="17">
      <c r="B17" s="64">
        <v>2.0</v>
      </c>
      <c r="C17" s="65" t="s">
        <v>24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>
        <f>sum(N19:N30)</f>
        <v>180</v>
      </c>
      <c r="O17" s="77"/>
      <c r="P17" s="82" t="s">
        <v>33</v>
      </c>
      <c r="Q17" s="68" t="s">
        <v>34</v>
      </c>
      <c r="R17" s="68" t="s">
        <v>35</v>
      </c>
      <c r="S17" s="83"/>
    </row>
    <row r="18">
      <c r="A18" s="84" t="s">
        <v>36</v>
      </c>
      <c r="B18" s="68" t="str">
        <f t="array" ref="B18:M18">transpose(A19:A30)</f>
        <v>Aaron J</v>
      </c>
      <c r="C18" s="68" t="s">
        <v>25</v>
      </c>
      <c r="D18" s="68" t="s">
        <v>26</v>
      </c>
      <c r="E18" s="68" t="s">
        <v>27</v>
      </c>
      <c r="F18" s="68" t="s">
        <v>28</v>
      </c>
      <c r="G18" s="68" t="s">
        <v>29</v>
      </c>
      <c r="H18" s="68" t="s">
        <v>30</v>
      </c>
      <c r="I18" s="68" t="s">
        <v>30</v>
      </c>
      <c r="J18" s="68" t="s">
        <v>30</v>
      </c>
      <c r="K18" s="68" t="s">
        <v>30</v>
      </c>
      <c r="L18" s="68" t="s">
        <v>30</v>
      </c>
      <c r="M18" s="68" t="s">
        <v>30</v>
      </c>
      <c r="N18" s="68" t="s">
        <v>8</v>
      </c>
      <c r="O18" s="77"/>
      <c r="P18" s="82" t="s">
        <v>37</v>
      </c>
      <c r="Q18" s="85">
        <f>if(P18="","TBD",if(Q31=0,0,N1/Q31))</f>
        <v>15</v>
      </c>
      <c r="R18" s="85">
        <f>if(R31="TBD","TBD",if($R$31=0,0,(N17/R31)))</f>
        <v>20</v>
      </c>
      <c r="S18" s="86"/>
    </row>
    <row r="19">
      <c r="A19" s="87" t="str">
        <f>SETUP!A5</f>
        <v>Aaron J</v>
      </c>
      <c r="B19" s="72"/>
      <c r="C19" s="72">
        <v>3.0</v>
      </c>
      <c r="D19" s="72">
        <v>2.0</v>
      </c>
      <c r="E19" s="72"/>
      <c r="F19" s="72"/>
      <c r="G19" s="72"/>
      <c r="H19" s="72"/>
      <c r="I19" s="72"/>
      <c r="J19" s="72">
        <v>5.0</v>
      </c>
      <c r="K19" s="72"/>
      <c r="L19" s="72"/>
      <c r="M19" s="72"/>
      <c r="N19" s="88">
        <f t="shared" ref="N19:N30" si="5">sum(B19:M19)*$B$17</f>
        <v>20</v>
      </c>
      <c r="O19" s="77"/>
      <c r="P19" s="71" t="str">
        <f>SETUP!A5</f>
        <v>Aaron J</v>
      </c>
      <c r="Q19" s="72">
        <f t="shared" ref="Q19:Q30" si="6">if($P$18="","",if($P$18=B$2,(vlookup(P19,$A$3:$I$14,2,FALSE)),if($P$18=C$2,(vlookup(P19,$A$3:$I$14,3,FALSE)),if($P$18=D$2,(vlookup(P19,$A$3:$I$14,4,FALSE)),if($P$18=E$2,(vlookup(P19,$A$3:$I$14,5,FALSE)),if($P$18=F$2,(vlookup(P19,$A$3:$I$14,6,FALSE)),if($P$18=G$2,(vlookup(P19,$A$3:$I$14,7,FALSE)),if($P$18=H$2,(vlookup(P19,$A$3:$I$14,8,FALSE)),if($P$18=I$2,(vlookup(P19,$A$3:$I$14,9,FALSE)),if($P$18=J$2,(vlookup(P19,$A$3:$I$14,10,FALSE)),if($P$18=K$2,(vlookup(P19,$A$3:$I$14,11,FALSE)),if($P$18=L$2,(vlookup(P19,$A$3:$I$14,12,FALSE)),if($P$18=M$2,(vlookup(P19,$A$3:$I$14,13,FALSE)),0)))))))))))))</f>
        <v>5</v>
      </c>
      <c r="R19" s="89" t="str">
        <f t="shared" ref="R19:R30" si="7">if($P$18="","",if($P$18=B$18,(vlookup($P19,$A$19:$I$30,2,FALSE)),if($P$18=C$18,(vlookup($P19,$A$19:$I$30,3,FALSE)),if($P$18=D$18,(vlookup($P19,$A$19:$I$30,4,FALSE)),if($P$18=E$18,(vlookup($P19,$A$19:$I$30,5,FALSE)),if($P$18=F$18,(vlookup($P19,$A$19:$I$30,6,FALSE)),if($P$18=G$18,(vlookup($P19,$A$19:$I$30,7,FALSE)),if($P$18=H$18,(vlookup($P19,$A$19:$I$30,8,FALSE)), if($P$18=I$18,(vlookup($P19,$A$19:$I$30,9,FALSE)),if($P$18=J$18,(vlookup($P19,$A$19:$I$30,10,FALSE)),if($P$18=K$18,(vlookup($P19,$A$19:$I$30,11,FALSE)), if($P$18=L$18,(vlookup($P19,$A$19:$I$30,12,FALSE)), if($P$18=M$18,(vlookup($P19,$A$19:$I$30,13,FALSE)))))))))))))))</f>
        <v/>
      </c>
      <c r="S19" s="90"/>
    </row>
    <row r="20">
      <c r="A20" s="87" t="str">
        <f>SETUP!A6</f>
        <v>Bob B</v>
      </c>
      <c r="B20" s="72"/>
      <c r="C20" s="72">
        <v>10.0</v>
      </c>
      <c r="D20" s="72"/>
      <c r="E20" s="72"/>
      <c r="F20" s="72"/>
      <c r="G20" s="91"/>
      <c r="H20" s="91"/>
      <c r="I20" s="91"/>
      <c r="J20" s="91"/>
      <c r="K20" s="91"/>
      <c r="L20" s="91"/>
      <c r="M20" s="91"/>
      <c r="N20" s="88">
        <f t="shared" si="5"/>
        <v>20</v>
      </c>
      <c r="O20" s="92"/>
      <c r="P20" s="71" t="str">
        <f>SETUP!A6</f>
        <v>Bob B</v>
      </c>
      <c r="Q20" s="72" t="str">
        <f t="shared" si="6"/>
        <v/>
      </c>
      <c r="R20" s="89" t="str">
        <f t="shared" si="7"/>
        <v/>
      </c>
      <c r="S20" s="90"/>
    </row>
    <row r="21">
      <c r="A21" s="87" t="str">
        <f>SETUP!A7</f>
        <v>Brian K</v>
      </c>
      <c r="B21" s="72">
        <v>2.0</v>
      </c>
      <c r="C21" s="72">
        <v>2.0</v>
      </c>
      <c r="D21" s="72">
        <v>6.0</v>
      </c>
      <c r="E21" s="91"/>
      <c r="F21" s="72"/>
      <c r="G21" s="72"/>
      <c r="H21" s="91"/>
      <c r="I21" s="72"/>
      <c r="J21" s="72"/>
      <c r="K21" s="72"/>
      <c r="L21" s="72"/>
      <c r="M21" s="72"/>
      <c r="N21" s="88">
        <f t="shared" si="5"/>
        <v>20</v>
      </c>
      <c r="O21" s="77"/>
      <c r="P21" s="71" t="str">
        <f>SETUP!A7</f>
        <v>Brian K</v>
      </c>
      <c r="Q21" s="72">
        <f t="shared" si="6"/>
        <v>2</v>
      </c>
      <c r="R21" s="89">
        <f t="shared" si="7"/>
        <v>2</v>
      </c>
      <c r="S21" s="90"/>
    </row>
    <row r="22">
      <c r="A22" s="87" t="str">
        <f>SETUP!A8</f>
        <v>Eric O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88">
        <f t="shared" si="5"/>
        <v>0</v>
      </c>
      <c r="O22" s="77"/>
      <c r="P22" s="71" t="str">
        <f>SETUP!A8</f>
        <v>Eric O</v>
      </c>
      <c r="Q22" s="72">
        <f t="shared" si="6"/>
        <v>5</v>
      </c>
      <c r="R22" s="89" t="str">
        <f t="shared" si="7"/>
        <v/>
      </c>
      <c r="S22" s="90"/>
    </row>
    <row r="23">
      <c r="A23" s="87" t="str">
        <f>SETUP!A9</f>
        <v>Matt V</v>
      </c>
      <c r="B23" s="72"/>
      <c r="C23" s="72"/>
      <c r="D23" s="72"/>
      <c r="E23" s="72"/>
      <c r="F23" s="72"/>
      <c r="G23" s="91"/>
      <c r="H23" s="91"/>
      <c r="I23" s="91"/>
      <c r="J23" s="72">
        <v>10.0</v>
      </c>
      <c r="K23" s="91"/>
      <c r="L23" s="91"/>
      <c r="M23" s="91"/>
      <c r="N23" s="88">
        <f t="shared" si="5"/>
        <v>20</v>
      </c>
      <c r="O23" s="77"/>
      <c r="P23" s="71" t="str">
        <f>SETUP!A9</f>
        <v>Matt V</v>
      </c>
      <c r="Q23" s="72">
        <f t="shared" si="6"/>
        <v>2</v>
      </c>
      <c r="R23" s="89" t="str">
        <f t="shared" si="7"/>
        <v/>
      </c>
      <c r="S23" s="90"/>
    </row>
    <row r="24">
      <c r="A24" s="87" t="str">
        <f>SETUP!A10</f>
        <v>Scott R</v>
      </c>
      <c r="B24" s="72"/>
      <c r="C24" s="91"/>
      <c r="D24" s="72"/>
      <c r="E24" s="72"/>
      <c r="F24" s="91"/>
      <c r="G24" s="72"/>
      <c r="H24" s="91"/>
      <c r="I24" s="72"/>
      <c r="J24" s="72"/>
      <c r="K24" s="72"/>
      <c r="L24" s="72"/>
      <c r="M24" s="72"/>
      <c r="N24" s="88">
        <f t="shared" si="5"/>
        <v>0</v>
      </c>
      <c r="O24" s="77"/>
      <c r="P24" s="71" t="str">
        <f>SETUP!A10</f>
        <v>Scott R</v>
      </c>
      <c r="Q24" s="72" t="str">
        <f t="shared" si="6"/>
        <v/>
      </c>
      <c r="R24" s="89" t="str">
        <f t="shared" si="7"/>
        <v/>
      </c>
      <c r="S24" s="90"/>
    </row>
    <row r="25">
      <c r="A25" s="87" t="str">
        <f>SETUP!A11</f>
        <v>N/A</v>
      </c>
      <c r="B25" s="72">
        <v>3.0</v>
      </c>
      <c r="C25" s="72">
        <v>1.0</v>
      </c>
      <c r="D25" s="72"/>
      <c r="E25" s="72">
        <v>3.0</v>
      </c>
      <c r="F25" s="91"/>
      <c r="G25" s="91"/>
      <c r="H25" s="91"/>
      <c r="I25" s="72"/>
      <c r="J25" s="72">
        <v>3.0</v>
      </c>
      <c r="K25" s="72"/>
      <c r="L25" s="72"/>
      <c r="M25" s="72"/>
      <c r="N25" s="88">
        <f t="shared" si="5"/>
        <v>20</v>
      </c>
      <c r="O25" s="77"/>
      <c r="P25" s="71" t="str">
        <f>SETUP!A11</f>
        <v>N/A</v>
      </c>
      <c r="Q25" s="72" t="str">
        <f t="shared" si="6"/>
        <v/>
      </c>
      <c r="R25" s="89">
        <f t="shared" si="7"/>
        <v>3</v>
      </c>
      <c r="S25" s="90"/>
    </row>
    <row r="26">
      <c r="A26" s="87" t="str">
        <f>SETUP!A12</f>
        <v>N/A</v>
      </c>
      <c r="B26" s="72"/>
      <c r="C26" s="72">
        <v>8.0</v>
      </c>
      <c r="D26" s="72">
        <v>2.0</v>
      </c>
      <c r="E26" s="72"/>
      <c r="F26" s="91"/>
      <c r="G26" s="91"/>
      <c r="H26" s="91"/>
      <c r="I26" s="72"/>
      <c r="J26" s="72"/>
      <c r="K26" s="72"/>
      <c r="L26" s="72"/>
      <c r="M26" s="72"/>
      <c r="N26" s="88">
        <f t="shared" si="5"/>
        <v>20</v>
      </c>
      <c r="O26" s="77"/>
      <c r="P26" s="71" t="str">
        <f>SETUP!A12</f>
        <v>N/A</v>
      </c>
      <c r="Q26" s="72" t="str">
        <f t="shared" si="6"/>
        <v/>
      </c>
      <c r="R26" s="89">
        <f t="shared" si="7"/>
        <v>3</v>
      </c>
      <c r="S26" s="90"/>
    </row>
    <row r="27">
      <c r="A27" s="87" t="str">
        <f>SETUP!A13</f>
        <v>N/A</v>
      </c>
      <c r="B27" s="72"/>
      <c r="C27" s="91"/>
      <c r="D27" s="72"/>
      <c r="E27" s="72"/>
      <c r="F27" s="91"/>
      <c r="G27" s="91"/>
      <c r="H27" s="91"/>
      <c r="I27" s="72"/>
      <c r="J27" s="72">
        <v>10.0</v>
      </c>
      <c r="K27" s="72"/>
      <c r="L27" s="72"/>
      <c r="M27" s="72"/>
      <c r="N27" s="88">
        <f t="shared" si="5"/>
        <v>20</v>
      </c>
      <c r="O27" s="77"/>
      <c r="P27" s="71" t="str">
        <f>SETUP!A13</f>
        <v>N/A</v>
      </c>
      <c r="Q27" s="72" t="str">
        <f t="shared" si="6"/>
        <v/>
      </c>
      <c r="R27" s="89">
        <f t="shared" si="7"/>
        <v>3</v>
      </c>
      <c r="S27" s="90"/>
    </row>
    <row r="28">
      <c r="A28" s="87" t="str">
        <f>SETUP!A14</f>
        <v>N/A</v>
      </c>
      <c r="B28" s="72"/>
      <c r="C28" s="91"/>
      <c r="D28" s="72"/>
      <c r="E28" s="72"/>
      <c r="F28" s="91"/>
      <c r="G28" s="91"/>
      <c r="H28" s="91"/>
      <c r="I28" s="72"/>
      <c r="J28" s="72"/>
      <c r="K28" s="72"/>
      <c r="L28" s="72"/>
      <c r="M28" s="72"/>
      <c r="N28" s="88">
        <f t="shared" si="5"/>
        <v>0</v>
      </c>
      <c r="O28" s="77"/>
      <c r="P28" s="71" t="str">
        <f>SETUP!A14</f>
        <v>N/A</v>
      </c>
      <c r="Q28" s="72" t="str">
        <f t="shared" si="6"/>
        <v/>
      </c>
      <c r="R28" s="89">
        <f t="shared" si="7"/>
        <v>3</v>
      </c>
      <c r="S28" s="90"/>
    </row>
    <row r="29">
      <c r="A29" s="87" t="str">
        <f>SETUP!A15</f>
        <v>N/A</v>
      </c>
      <c r="B29" s="72"/>
      <c r="C29" s="91"/>
      <c r="D29" s="72"/>
      <c r="E29" s="72"/>
      <c r="F29" s="91"/>
      <c r="G29" s="91"/>
      <c r="H29" s="91"/>
      <c r="I29" s="72"/>
      <c r="J29" s="72">
        <v>5.0</v>
      </c>
      <c r="K29" s="72">
        <v>5.0</v>
      </c>
      <c r="L29" s="72"/>
      <c r="M29" s="72"/>
      <c r="N29" s="88">
        <f t="shared" si="5"/>
        <v>20</v>
      </c>
      <c r="O29" s="77"/>
      <c r="P29" s="71" t="str">
        <f>SETUP!A15</f>
        <v>N/A</v>
      </c>
      <c r="Q29" s="72" t="str">
        <f t="shared" si="6"/>
        <v/>
      </c>
      <c r="R29" s="89">
        <f t="shared" si="7"/>
        <v>3</v>
      </c>
      <c r="S29" s="90"/>
    </row>
    <row r="30">
      <c r="A30" s="87" t="str">
        <f>SETUP!A16</f>
        <v>N/A</v>
      </c>
      <c r="B30" s="72">
        <v>4.0</v>
      </c>
      <c r="C30" s="72">
        <v>3.0</v>
      </c>
      <c r="D30" s="72"/>
      <c r="E30" s="91"/>
      <c r="F30" s="91"/>
      <c r="G30" s="91"/>
      <c r="H30" s="91"/>
      <c r="I30" s="72"/>
      <c r="J30" s="72">
        <v>3.0</v>
      </c>
      <c r="K30" s="72"/>
      <c r="L30" s="72"/>
      <c r="M30" s="72"/>
      <c r="N30" s="88">
        <f t="shared" si="5"/>
        <v>20</v>
      </c>
      <c r="O30" s="77"/>
      <c r="P30" s="71" t="str">
        <f>SETUP!A16</f>
        <v>N/A</v>
      </c>
      <c r="Q30" s="72" t="str">
        <f t="shared" si="6"/>
        <v/>
      </c>
      <c r="R30" s="89">
        <f t="shared" si="7"/>
        <v>3</v>
      </c>
      <c r="S30" s="90"/>
    </row>
    <row r="31">
      <c r="A31" s="77"/>
      <c r="B31" s="78">
        <f t="shared" ref="B31:M31" si="8">SUM(B19:B30)</f>
        <v>9</v>
      </c>
      <c r="C31" s="78">
        <f t="shared" si="8"/>
        <v>27</v>
      </c>
      <c r="D31" s="78">
        <f t="shared" si="8"/>
        <v>10</v>
      </c>
      <c r="E31" s="78">
        <f t="shared" si="8"/>
        <v>3</v>
      </c>
      <c r="F31" s="78">
        <f t="shared" si="8"/>
        <v>0</v>
      </c>
      <c r="G31" s="78">
        <f t="shared" si="8"/>
        <v>0</v>
      </c>
      <c r="H31" s="78">
        <f t="shared" si="8"/>
        <v>0</v>
      </c>
      <c r="I31" s="78">
        <f t="shared" si="8"/>
        <v>0</v>
      </c>
      <c r="J31" s="78">
        <f t="shared" si="8"/>
        <v>36</v>
      </c>
      <c r="K31" s="78">
        <f t="shared" si="8"/>
        <v>5</v>
      </c>
      <c r="L31" s="78">
        <f t="shared" si="8"/>
        <v>0</v>
      </c>
      <c r="M31" s="78">
        <f t="shared" si="8"/>
        <v>0</v>
      </c>
      <c r="N31" s="79">
        <f>sum(B31:M31)</f>
        <v>90</v>
      </c>
      <c r="O31" s="77"/>
      <c r="P31" s="92"/>
      <c r="Q31" s="93">
        <f>if($P$18="","TBD",if($P$18=B2,B15,if($P$18=C2,C15,if($P$18=D2,D15,if($P$18=E2,E15,if($P$18=F2,F15,if($P$18=G2,G15,if($P$18=H2,H15,if($P$18=I2,I15,"TBD")))))))))</f>
        <v>16</v>
      </c>
      <c r="R31" s="93">
        <f>if(P18="","TBD",if($P$18=B18,B31,if($P$18=C18,C31,if($P$18=D18,D31,if($P$18=E18,E31,if($P$18=F18,F31,if($P$18=G18,G31,if($P$18=H18,H31,if($P$18=I18,I31,"TBD")))))))))</f>
        <v>9</v>
      </c>
      <c r="S31" s="94"/>
    </row>
  </sheetData>
  <conditionalFormatting sqref="B3:M3 A18 B18:M31 A31">
    <cfRule type="expression" dxfId="5" priority="1">
      <formula>B$18=$P$18</formula>
    </cfRule>
  </conditionalFormatting>
  <conditionalFormatting sqref="B2:N15 B18:M18">
    <cfRule type="expression" dxfId="5" priority="2">
      <formula>B$2=$P$18</formula>
    </cfRule>
  </conditionalFormatting>
  <dataValidations>
    <dataValidation type="list" allowBlank="1" showErrorMessage="1" sqref="A3:A14 P3:P14 A19:A30 P18:P30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71"/>
    <col customWidth="1" min="2" max="14" width="8.86"/>
  </cols>
  <sheetData>
    <row r="1" ht="12.75" customHeight="1">
      <c r="A1" s="95" t="s">
        <v>14</v>
      </c>
      <c r="B1" s="95" t="s">
        <v>38</v>
      </c>
      <c r="C1" s="95" t="s">
        <v>38</v>
      </c>
      <c r="D1" s="96" t="str">
        <f>SETUP!C1</f>
        <v>BLACK FOREST</v>
      </c>
      <c r="E1" s="97"/>
      <c r="F1" s="96" t="str">
        <f>SETUP!D1</f>
        <v>LOCHENHEATH</v>
      </c>
      <c r="G1" s="97"/>
      <c r="H1" s="96" t="str">
        <f>SETUP!E1</f>
        <v>THE LEGEND</v>
      </c>
      <c r="I1" s="97"/>
      <c r="J1" s="96" t="str">
        <f>SETUP!F1</f>
        <v>FOREST DUNES</v>
      </c>
      <c r="K1" s="97"/>
      <c r="L1" s="96" t="s">
        <v>8</v>
      </c>
      <c r="M1" s="98"/>
      <c r="N1" s="98"/>
    </row>
    <row r="2" ht="12.75" customHeight="1">
      <c r="A2" s="99"/>
      <c r="B2" s="100" t="s">
        <v>39</v>
      </c>
      <c r="C2" s="100" t="s">
        <v>40</v>
      </c>
      <c r="D2" s="101" t="s">
        <v>41</v>
      </c>
      <c r="E2" s="101" t="s">
        <v>9</v>
      </c>
      <c r="F2" s="101" t="s">
        <v>41</v>
      </c>
      <c r="G2" s="101" t="s">
        <v>9</v>
      </c>
      <c r="H2" s="101" t="s">
        <v>41</v>
      </c>
      <c r="I2" s="101" t="s">
        <v>9</v>
      </c>
      <c r="J2" s="101" t="s">
        <v>41</v>
      </c>
      <c r="K2" s="101" t="s">
        <v>9</v>
      </c>
      <c r="L2" s="102" t="s">
        <v>41</v>
      </c>
      <c r="M2" s="102" t="s">
        <v>9</v>
      </c>
      <c r="N2" s="103" t="s">
        <v>1</v>
      </c>
    </row>
    <row r="3" ht="12.75" customHeight="1">
      <c r="A3" s="104" t="str">
        <f>SETUP!A5</f>
        <v>Aaron J</v>
      </c>
      <c r="B3" s="105">
        <f t="shared" ref="B3:B14" si="1">if(A3="N/A","",RANK(M3,$M$3:$M$14,1)+COUNTIF($M$3:M3,M3)-1)</f>
        <v>2</v>
      </c>
      <c r="C3" s="106">
        <f t="shared" ref="C3:C14" si="2">if(A3="N/A","",if(countif($M$3:$M$14,M3)=1,RANK(M3,$M$3:$M$14,1),"T"&amp;RANK(M3,$M$3:$M$14,1)))</f>
        <v>2</v>
      </c>
      <c r="D3" s="106">
        <f t="array" ref="D3">if(A3="N/A","",index(Scorecards!$X$4:$X$15,match($A3,Scorecards!$A$4:$A$15,0)))</f>
        <v>95</v>
      </c>
      <c r="E3" s="106">
        <f t="array" ref="E3">if(A3="N/A","",index(Scorecards!$Y$4:$Y$15,match($A3,Scorecards!$A$4:$A$15,0)))</f>
        <v>82</v>
      </c>
      <c r="F3" s="106">
        <f t="array" ref="F3">if(A3="N/A","",index(Scorecards!$X$22:$X$33,match($A3,Scorecards!$A$22:$A$33,0)))</f>
        <v>96</v>
      </c>
      <c r="G3" s="106">
        <f t="array" ref="G3">if(A3="N/A","",index(Scorecards!$Y$22:$Y$33,match($A3,Scorecards!$A$22:$A$33,0)))</f>
        <v>83</v>
      </c>
      <c r="H3" s="106">
        <f t="array" ref="H3">if(A3="N/A","",index(Scorecards!$X$40:$X$51,match($A3,Scorecards!$A$40:$A$51,0)))</f>
        <v>89</v>
      </c>
      <c r="I3" s="106">
        <f t="array" ref="I3">if(A3="N/A","",index(Scorecards!$Y$40:$Y$51,match($A3,Scorecards!$A$40:$A$51,0)))</f>
        <v>76</v>
      </c>
      <c r="J3" s="106">
        <f t="array" ref="J3">if(A3="N/A","",index(Scorecards!$X$58:$X$69,match($A3,Scorecards!$A$58:$A$69,0)))</f>
        <v>94</v>
      </c>
      <c r="K3" s="106">
        <f t="array" ref="K3">if(A3="N/A","",index(Scorecards!$Y$58:$Y$69,match($A3,Scorecards!$A$58:$A$69,0)))</f>
        <v>81</v>
      </c>
      <c r="L3" s="104">
        <f t="shared" ref="L3:L14" si="3">if(A3="N/A","",SUM(D3,F3,H3,J3))</f>
        <v>374</v>
      </c>
      <c r="M3" s="104">
        <f t="shared" ref="M3:M14" si="4">if(A3="N/A","",SUM(E3,G3,I3,K3))</f>
        <v>322</v>
      </c>
      <c r="N3" s="107">
        <f>if(A3="N/A","N/A",if(COUNT($D3:$K3)=8,$M3-sum(SETUP!$C$4:$F$4),if(count($D3:$K3)=6,$M3-sum(SETUP!$C$4:$E$4),if(count($D3:$I3)=4,$M3-sum(SETUP!$C$4:$D$4),if(count($D3:$I3)=2,$M3-SETUP!$C$4,"")))))</f>
        <v>33</v>
      </c>
    </row>
    <row r="4" ht="12.75" customHeight="1">
      <c r="A4" s="102" t="str">
        <f>SETUP!A6</f>
        <v>Bob B</v>
      </c>
      <c r="B4" s="108">
        <f t="shared" si="1"/>
        <v>5</v>
      </c>
      <c r="C4" s="101">
        <f t="shared" si="2"/>
        <v>5</v>
      </c>
      <c r="D4" s="101">
        <f t="array" ref="D4">if(A4="N/A","",index(Scorecards!$X$4:$X$15,match($A4,Scorecards!$A$4:$A$15,0)))</f>
        <v>105</v>
      </c>
      <c r="E4" s="101">
        <f t="array" ref="E4">if(A4="N/A","",index(Scorecards!$Y$4:$Y$15,match($A4,Scorecards!$A$4:$A$15,0)))</f>
        <v>88</v>
      </c>
      <c r="F4" s="101">
        <f t="array" ref="F4">if(A4="N/A","",index(Scorecards!$X$22:$X$33,match($A4,Scorecards!$A$22:$A$33,0)))</f>
        <v>96</v>
      </c>
      <c r="G4" s="101">
        <f t="array" ref="G4">if(A4="N/A","",index(Scorecards!$Y$22:$Y$33,match($A4,Scorecards!$A$22:$A$33,0)))</f>
        <v>79</v>
      </c>
      <c r="H4" s="101">
        <f t="array" ref="H4">if(A4="N/A","",index(Scorecards!$X$40:$X$51,match($A4,Scorecards!$A$40:$A$51,0)))</f>
        <v>100</v>
      </c>
      <c r="I4" s="101">
        <f t="array" ref="I4">if(A4="N/A","",index(Scorecards!$Y$40:$Y$51,match($A4,Scorecards!$A$40:$A$51,0)))</f>
        <v>83</v>
      </c>
      <c r="J4" s="101">
        <f t="array" ref="J4">if(A4="N/A","",index(Scorecards!$X$58:$X$69,match($A4,Scorecards!$A$58:$A$69,0)))</f>
        <v>95</v>
      </c>
      <c r="K4" s="101">
        <f t="array" ref="K4">if(A4="N/A","",index(Scorecards!$Y$58:$Y$69,match($A4,Scorecards!$A$58:$A$69,0)))</f>
        <v>78</v>
      </c>
      <c r="L4" s="102">
        <f t="shared" si="3"/>
        <v>396</v>
      </c>
      <c r="M4" s="102">
        <f t="shared" si="4"/>
        <v>328</v>
      </c>
      <c r="N4" s="109">
        <f>if(A4="N/A","N/A",if(COUNT($D4:$K4)=8,$M4-sum(SETUP!$C$4:$F$4),if(count($D4:$K4)=6,$M4-sum(SETUP!$C$4:$E$4),if(count($D4:$I4)=4,$M4-sum(SETUP!$C$4:$D$4),if(count($D4:$I4)=2,$M4-SETUP!$C$4,"")))))</f>
        <v>39</v>
      </c>
    </row>
    <row r="5" ht="12.75" customHeight="1">
      <c r="A5" s="104" t="str">
        <f>SETUP!A7</f>
        <v>Brian K</v>
      </c>
      <c r="B5" s="105">
        <f t="shared" si="1"/>
        <v>4</v>
      </c>
      <c r="C5" s="106">
        <f t="shared" si="2"/>
        <v>4</v>
      </c>
      <c r="D5" s="106">
        <f t="array" ref="D5">if(A5="N/A","",index(Scorecards!$X$4:$X$15,match($A5,Scorecards!$A$4:$A$15,0)))</f>
        <v>101</v>
      </c>
      <c r="E5" s="106">
        <f t="array" ref="E5">if(A5="N/A","",index(Scorecards!$Y$4:$Y$15,match($A5,Scorecards!$A$4:$A$15,0)))</f>
        <v>84</v>
      </c>
      <c r="F5" s="106">
        <f t="array" ref="F5">if(A5="N/A","",index(Scorecards!$X$22:$X$33,match($A5,Scorecards!$A$22:$A$33,0)))</f>
        <v>101</v>
      </c>
      <c r="G5" s="106">
        <f t="array" ref="G5">if(A5="N/A","",index(Scorecards!$Y$22:$Y$33,match($A5,Scorecards!$A$22:$A$33,0)))</f>
        <v>84</v>
      </c>
      <c r="H5" s="106">
        <f t="array" ref="H5">if(A5="N/A","",index(Scorecards!$X$40:$X$51,match($A5,Scorecards!$A$40:$A$51,0)))</f>
        <v>94</v>
      </c>
      <c r="I5" s="106">
        <f t="array" ref="I5">if(A5="N/A","",index(Scorecards!$Y$40:$Y$51,match($A5,Scorecards!$A$40:$A$51,0)))</f>
        <v>77</v>
      </c>
      <c r="J5" s="106">
        <f t="array" ref="J5">if(A5="N/A","",index(Scorecards!$X$58:$X$69,match($A5,Scorecards!$A$58:$A$69,0)))</f>
        <v>98</v>
      </c>
      <c r="K5" s="106">
        <f t="array" ref="K5">if(A5="N/A","",index(Scorecards!$Y$58:$Y$69,match($A5,Scorecards!$A$58:$A$69,0)))</f>
        <v>81</v>
      </c>
      <c r="L5" s="104">
        <f t="shared" si="3"/>
        <v>394</v>
      </c>
      <c r="M5" s="104">
        <f t="shared" si="4"/>
        <v>326</v>
      </c>
      <c r="N5" s="107">
        <f>if(A5="N/A","N/A",if(COUNT($D5:$K5)=8,$M5-sum(SETUP!$C$4:$F$4),if(count($D5:$K5)=6,$M5-sum(SETUP!$C$4:$E$4),if(count($D5:$I5)=4,$M5-sum(SETUP!$C$4:$D$4),if(count($D5:$I5)=2,$M5-SETUP!$C$4,"")))))</f>
        <v>37</v>
      </c>
    </row>
    <row r="6" ht="12.75" customHeight="1">
      <c r="A6" s="102" t="str">
        <f>SETUP!A8</f>
        <v>Eric O</v>
      </c>
      <c r="B6" s="108">
        <f t="shared" si="1"/>
        <v>3</v>
      </c>
      <c r="C6" s="101">
        <f t="shared" si="2"/>
        <v>3</v>
      </c>
      <c r="D6" s="101">
        <f t="array" ref="D6">if(A6="N/A","",index(Scorecards!$X$4:$X$15,match($A6,Scorecards!$A$4:$A$15,0)))</f>
        <v>110</v>
      </c>
      <c r="E6" s="101">
        <f t="array" ref="E6">if(A6="N/A","",index(Scorecards!$Y$4:$Y$15,match($A6,Scorecards!$A$4:$A$15,0)))</f>
        <v>91</v>
      </c>
      <c r="F6" s="101">
        <f t="array" ref="F6">if(A6="N/A","",index(Scorecards!$X$22:$X$33,match($A6,Scorecards!$A$22:$A$33,0)))</f>
        <v>103</v>
      </c>
      <c r="G6" s="101">
        <f t="array" ref="G6">if(A6="N/A","",index(Scorecards!$Y$22:$Y$33,match($A6,Scorecards!$A$22:$A$33,0)))</f>
        <v>84</v>
      </c>
      <c r="H6" s="101">
        <f t="array" ref="H6">if(A6="N/A","",index(Scorecards!$X$40:$X$51,match($A6,Scorecards!$A$40:$A$51,0)))</f>
        <v>92</v>
      </c>
      <c r="I6" s="101">
        <f t="array" ref="I6">if(A6="N/A","",index(Scorecards!$Y$40:$Y$51,match($A6,Scorecards!$A$40:$A$51,0)))</f>
        <v>73</v>
      </c>
      <c r="J6" s="101">
        <f t="array" ref="J6">if(A6="N/A","",index(Scorecards!$X$58:$X$69,match($A6,Scorecards!$A$58:$A$69,0)))</f>
        <v>95</v>
      </c>
      <c r="K6" s="101">
        <f t="array" ref="K6">if(A6="N/A","",index(Scorecards!$Y$58:$Y$69,match($A6,Scorecards!$A$58:$A$69,0)))</f>
        <v>76</v>
      </c>
      <c r="L6" s="102">
        <f t="shared" si="3"/>
        <v>400</v>
      </c>
      <c r="M6" s="102">
        <f t="shared" si="4"/>
        <v>324</v>
      </c>
      <c r="N6" s="109">
        <f>if(A6="N/A","N/A",if(COUNT($D6:$K6)=8,$M6-sum(SETUP!$C$4:$F$4),if(count($D6:$K6)=6,$M6-sum(SETUP!$C$4:$E$4),if(count($D6:$I6)=4,$M6-sum(SETUP!$C$4:$D$4),if(count($D6:$I6)=2,$M6-SETUP!$C$4,"")))))</f>
        <v>35</v>
      </c>
    </row>
    <row r="7" ht="12.75" customHeight="1">
      <c r="A7" s="104" t="str">
        <f>SETUP!A9</f>
        <v>Matt V</v>
      </c>
      <c r="B7" s="105">
        <f t="shared" si="1"/>
        <v>6</v>
      </c>
      <c r="C7" s="106">
        <f t="shared" si="2"/>
        <v>6</v>
      </c>
      <c r="D7" s="106">
        <f t="array" ref="D7">if(A7="N/A","",index(Scorecards!$X$4:$X$15,match($A7,Scorecards!$A$4:$A$15,0)))</f>
        <v>103</v>
      </c>
      <c r="E7" s="106">
        <f t="array" ref="E7">if(A7="N/A","",index(Scorecards!$Y$4:$Y$15,match($A7,Scorecards!$A$4:$A$15,0)))</f>
        <v>87</v>
      </c>
      <c r="F7" s="106">
        <f t="array" ref="F7">if(A7="N/A","",index(Scorecards!$X$22:$X$33,match($A7,Scorecards!$A$22:$A$33,0)))</f>
        <v>97</v>
      </c>
      <c r="G7" s="106">
        <f t="array" ref="G7">if(A7="N/A","",index(Scorecards!$Y$22:$Y$33,match($A7,Scorecards!$A$22:$A$33,0)))</f>
        <v>81</v>
      </c>
      <c r="H7" s="106">
        <f t="array" ref="H7">if(A7="N/A","",index(Scorecards!$X$40:$X$51,match($A7,Scorecards!$A$40:$A$51,0)))</f>
        <v>97</v>
      </c>
      <c r="I7" s="106">
        <f t="array" ref="I7">if(A7="N/A","",index(Scorecards!$Y$40:$Y$51,match($A7,Scorecards!$A$40:$A$51,0)))</f>
        <v>81</v>
      </c>
      <c r="J7" s="106">
        <f t="array" ref="J7">if(A7="N/A","",index(Scorecards!$X$58:$X$69,match($A7,Scorecards!$A$58:$A$69,0)))</f>
        <v>96</v>
      </c>
      <c r="K7" s="106">
        <f t="array" ref="K7">if(A7="N/A","",index(Scorecards!$Y$58:$Y$69,match($A7,Scorecards!$A$58:$A$69,0)))</f>
        <v>80</v>
      </c>
      <c r="L7" s="104">
        <f t="shared" si="3"/>
        <v>393</v>
      </c>
      <c r="M7" s="104">
        <f t="shared" si="4"/>
        <v>329</v>
      </c>
      <c r="N7" s="107">
        <f>if(A7="N/A","N/A",if(COUNT($D7:$K7)=8,$M7-sum(SETUP!$C$4:$F$4),if(count($D7:$K7)=6,$M7-sum(SETUP!$C$4:$E$4),if(count($D7:$I7)=4,$M7-sum(SETUP!$C$4:$D$4),if(count($D7:$I7)=2,$M7-SETUP!$C$4,"")))))</f>
        <v>40</v>
      </c>
    </row>
    <row r="8" ht="12.75" customHeight="1">
      <c r="A8" s="102" t="str">
        <f>SETUP!A10</f>
        <v>Scott R</v>
      </c>
      <c r="B8" s="108">
        <f t="shared" si="1"/>
        <v>1</v>
      </c>
      <c r="C8" s="101">
        <f t="shared" si="2"/>
        <v>1</v>
      </c>
      <c r="D8" s="101">
        <f t="array" ref="D8">if(A8="N/A","",index(Scorecards!$X$4:$X$15,match($A8,Scorecards!$A$4:$A$15,0)))</f>
        <v>92</v>
      </c>
      <c r="E8" s="101">
        <f t="array" ref="E8">if(A8="N/A","",index(Scorecards!$Y$4:$Y$15,match($A8,Scorecards!$A$4:$A$15,0)))</f>
        <v>82</v>
      </c>
      <c r="F8" s="101">
        <f t="array" ref="F8">if(A8="N/A","",index(Scorecards!$X$22:$X$33,match($A8,Scorecards!$A$22:$A$33,0)))</f>
        <v>89</v>
      </c>
      <c r="G8" s="101">
        <f t="array" ref="G8">if(A8="N/A","",index(Scorecards!$Y$22:$Y$33,match($A8,Scorecards!$A$22:$A$33,0)))</f>
        <v>79</v>
      </c>
      <c r="H8" s="101">
        <f t="array" ref="H8">if(A8="N/A","",index(Scorecards!$X$40:$X$51,match($A8,Scorecards!$A$40:$A$51,0)))</f>
        <v>86</v>
      </c>
      <c r="I8" s="101">
        <f t="array" ref="I8">if(A8="N/A","",index(Scorecards!$Y$40:$Y$51,match($A8,Scorecards!$A$40:$A$51,0)))</f>
        <v>76</v>
      </c>
      <c r="J8" s="101">
        <f t="array" ref="J8">if(A8="N/A","",index(Scorecards!$X$58:$X$69,match($A8,Scorecards!$A$58:$A$69,0)))</f>
        <v>90</v>
      </c>
      <c r="K8" s="101">
        <f t="array" ref="K8">if(A8="N/A","",index(Scorecards!$Y$58:$Y$69,match($A8,Scorecards!$A$58:$A$69,0)))</f>
        <v>80</v>
      </c>
      <c r="L8" s="102">
        <f t="shared" si="3"/>
        <v>357</v>
      </c>
      <c r="M8" s="102">
        <f t="shared" si="4"/>
        <v>317</v>
      </c>
      <c r="N8" s="109">
        <f>if(A8="N/A","N/A",if(COUNT($D8:$K8)=8,$M8-sum(SETUP!$C$4:$F$4),if(count($D8:$K8)=6,$M8-sum(SETUP!$C$4:$E$4),if(count($D8:$I8)=4,$M8-sum(SETUP!$C$4:$D$4),if(count($D8:$I8)=2,$M8-SETUP!$C$4,"")))))</f>
        <v>28</v>
      </c>
    </row>
    <row r="9" ht="12.75" customHeight="1">
      <c r="A9" s="104" t="str">
        <f>SETUP!A11</f>
        <v>N/A</v>
      </c>
      <c r="B9" s="105" t="str">
        <f t="shared" si="1"/>
        <v/>
      </c>
      <c r="C9" s="106" t="str">
        <f t="shared" si="2"/>
        <v/>
      </c>
      <c r="D9" s="106" t="str">
        <f t="array" ref="D9">if(A9="N/A","",index(Scorecards!$X$4:$X$15,match($A9,Scorecards!$A$4:$A$15,0)))</f>
        <v/>
      </c>
      <c r="E9" s="106" t="str">
        <f t="array" ref="E9">if(A9="N/A","",index(Scorecards!$Y$4:$Y$15,match($A9,Scorecards!$A$4:$A$15,0)))</f>
        <v/>
      </c>
      <c r="F9" s="106" t="str">
        <f t="array" ref="F9">if(A9="N/A","",index(Scorecards!$X$22:$X$33,match($A9,Scorecards!$A$22:$A$33,0)))</f>
        <v/>
      </c>
      <c r="G9" s="106" t="str">
        <f t="array" ref="G9">if(A9="N/A","",index(Scorecards!$Y$22:$Y$33,match($A9,Scorecards!$A$22:$A$33,0)))</f>
        <v/>
      </c>
      <c r="H9" s="106" t="str">
        <f t="array" ref="H9">if(A9="N/A","",index(Scorecards!$X$40:$X$51,match($A9,Scorecards!$A$40:$A$51,0)))</f>
        <v/>
      </c>
      <c r="I9" s="106" t="str">
        <f t="array" ref="I9">if(A9="N/A","",index(Scorecards!$Y$40:$Y$51,match($A9,Scorecards!$A$40:$A$51,0)))</f>
        <v/>
      </c>
      <c r="J9" s="106" t="str">
        <f t="array" ref="J9">if(A9="N/A","",index(Scorecards!$X$58:$X$69,match($A9,Scorecards!$A$58:$A$69,0)))</f>
        <v/>
      </c>
      <c r="K9" s="106" t="str">
        <f t="array" ref="K9">if(A9="N/A","",index(Scorecards!$Y$58:$Y$69,match($A9,Scorecards!$A$58:$A$69,0)))</f>
        <v/>
      </c>
      <c r="L9" s="104" t="str">
        <f t="shared" si="3"/>
        <v/>
      </c>
      <c r="M9" s="104" t="str">
        <f t="shared" si="4"/>
        <v/>
      </c>
      <c r="N9" s="107" t="str">
        <f>if(A9="N/A","N/A",if(COUNT($D9:$K9)=8,$M9-sum(SETUP!$C$4:$F$4),if(count($D9:$K9)=6,$M9-sum(SETUP!$C$4:$E$4),if(count($D9:$I9)=4,$M9-sum(SETUP!$C$4:$D$4),if(count($D9:$I9)=2,$M9-SETUP!$C$4,"")))))</f>
        <v>N/A</v>
      </c>
    </row>
    <row r="10" ht="12.75" customHeight="1">
      <c r="A10" s="102" t="str">
        <f>SETUP!A12</f>
        <v>N/A</v>
      </c>
      <c r="B10" s="108" t="str">
        <f t="shared" si="1"/>
        <v/>
      </c>
      <c r="C10" s="101" t="str">
        <f t="shared" si="2"/>
        <v/>
      </c>
      <c r="D10" s="101" t="str">
        <f t="array" ref="D10">if(A10="N/A","",index(Scorecards!$X$4:$X$15,match($A10,Scorecards!$A$4:$A$15,0)))</f>
        <v/>
      </c>
      <c r="E10" s="101" t="str">
        <f t="array" ref="E10">if(A10="N/A","",index(Scorecards!$Y$4:$Y$15,match($A10,Scorecards!$A$4:$A$15,0)))</f>
        <v/>
      </c>
      <c r="F10" s="101" t="str">
        <f t="array" ref="F10">if(A10="N/A","",index(Scorecards!$X$22:$X$33,match($A10,Scorecards!$A$22:$A$33,0)))</f>
        <v/>
      </c>
      <c r="G10" s="101" t="str">
        <f t="array" ref="G10">if(A10="N/A","",index(Scorecards!$Y$22:$Y$33,match($A10,Scorecards!$A$22:$A$33,0)))</f>
        <v/>
      </c>
      <c r="H10" s="101" t="str">
        <f t="array" ref="H10">if(A10="N/A","",index(Scorecards!$X$40:$X$51,match($A10,Scorecards!$A$40:$A$51,0)))</f>
        <v/>
      </c>
      <c r="I10" s="101" t="str">
        <f t="array" ref="I10">if(A10="N/A","",index(Scorecards!$Y$40:$Y$51,match($A10,Scorecards!$A$40:$A$51,0)))</f>
        <v/>
      </c>
      <c r="J10" s="101" t="str">
        <f t="array" ref="J10">if(A10="N/A","",index(Scorecards!$X$58:$X$69,match($A10,Scorecards!$A$58:$A$69,0)))</f>
        <v/>
      </c>
      <c r="K10" s="101" t="str">
        <f t="array" ref="K10">if(A10="N/A","",index(Scorecards!$Y$58:$Y$69,match($A10,Scorecards!$A$58:$A$69,0)))</f>
        <v/>
      </c>
      <c r="L10" s="102" t="str">
        <f t="shared" si="3"/>
        <v/>
      </c>
      <c r="M10" s="102" t="str">
        <f t="shared" si="4"/>
        <v/>
      </c>
      <c r="N10" s="109" t="str">
        <f>if(A10="N/A","N/A",if(COUNT($D10:$K10)=8,$M10-sum(SETUP!$C$4:$F$4),if(count($D10:$K10)=6,$M10-sum(SETUP!$C$4:$E$4),if(count($D10:$I10)=4,$M10-sum(SETUP!$C$4:$D$4),if(count($D10:$I10)=2,$M10-SETUP!$C$4,"")))))</f>
        <v>N/A</v>
      </c>
    </row>
    <row r="11" ht="12.75" customHeight="1">
      <c r="A11" s="104" t="str">
        <f>SETUP!A13</f>
        <v>N/A</v>
      </c>
      <c r="B11" s="105" t="str">
        <f t="shared" si="1"/>
        <v/>
      </c>
      <c r="C11" s="106" t="str">
        <f t="shared" si="2"/>
        <v/>
      </c>
      <c r="D11" s="106" t="str">
        <f t="array" ref="D11">if(A11="N/A","",index(Scorecards!$X$4:$X$15,match($A11,Scorecards!$A$4:$A$15,0)))</f>
        <v/>
      </c>
      <c r="E11" s="106" t="str">
        <f t="array" ref="E11">if(A11="N/A","",index(Scorecards!$Y$4:$Y$15,match($A11,Scorecards!$A$4:$A$15,0)))</f>
        <v/>
      </c>
      <c r="F11" s="106" t="str">
        <f t="array" ref="F11">if(A11="N/A","",index(Scorecards!$X$22:$X$33,match($A11,Scorecards!$A$22:$A$33,0)))</f>
        <v/>
      </c>
      <c r="G11" s="106" t="str">
        <f t="array" ref="G11">if(A11="N/A","",index(Scorecards!$Y$22:$Y$33,match($A11,Scorecards!$A$22:$A$33,0)))</f>
        <v/>
      </c>
      <c r="H11" s="106" t="str">
        <f t="array" ref="H11">if(A11="N/A","",index(Scorecards!$X$40:$X$51,match($A11,Scorecards!$A$40:$A$51,0)))</f>
        <v/>
      </c>
      <c r="I11" s="106" t="str">
        <f t="array" ref="I11">if(A11="N/A","",index(Scorecards!$Y$40:$Y$51,match($A11,Scorecards!$A$40:$A$51,0)))</f>
        <v/>
      </c>
      <c r="J11" s="106" t="str">
        <f t="array" ref="J11">if(A11="N/A","",index(Scorecards!$X$58:$X$69,match($A11,Scorecards!$A$58:$A$69,0)))</f>
        <v/>
      </c>
      <c r="K11" s="106" t="str">
        <f t="array" ref="K11">if(A11="N/A","",index(Scorecards!$Y$58:$Y$69,match($A11,Scorecards!$A$58:$A$69,0)))</f>
        <v/>
      </c>
      <c r="L11" s="104" t="str">
        <f t="shared" si="3"/>
        <v/>
      </c>
      <c r="M11" s="104" t="str">
        <f t="shared" si="4"/>
        <v/>
      </c>
      <c r="N11" s="107" t="str">
        <f>if(A11="N/A","N/A",if(COUNT($D11:$K11)=8,$M11-sum(SETUP!$C$4:$F$4),if(count($D11:$K11)=6,$M11-sum(SETUP!$C$4:$E$4),if(count($D11:$I11)=4,$M11-sum(SETUP!$C$4:$D$4),if(count($D11:$I11)=2,$M11-SETUP!$C$4,"")))))</f>
        <v>N/A</v>
      </c>
    </row>
    <row r="12" ht="12.75" customHeight="1">
      <c r="A12" s="102" t="str">
        <f>SETUP!A14</f>
        <v>N/A</v>
      </c>
      <c r="B12" s="108" t="str">
        <f t="shared" si="1"/>
        <v/>
      </c>
      <c r="C12" s="101" t="str">
        <f t="shared" si="2"/>
        <v/>
      </c>
      <c r="D12" s="101" t="str">
        <f t="array" ref="D12">if(A12="N/A","",index(Scorecards!$X$4:$X$15,match($A12,Scorecards!$A$4:$A$15,0)))</f>
        <v/>
      </c>
      <c r="E12" s="101" t="str">
        <f t="array" ref="E12">if(A12="N/A","",index(Scorecards!$Y$4:$Y$15,match($A12,Scorecards!$A$4:$A$15,0)))</f>
        <v/>
      </c>
      <c r="F12" s="101" t="str">
        <f t="array" ref="F12">if(A12="N/A","",index(Scorecards!$X$22:$X$33,match($A12,Scorecards!$A$22:$A$33,0)))</f>
        <v/>
      </c>
      <c r="G12" s="101" t="str">
        <f t="array" ref="G12">if(A12="N/A","",index(Scorecards!$Y$22:$Y$33,match($A12,Scorecards!$A$22:$A$33,0)))</f>
        <v/>
      </c>
      <c r="H12" s="101" t="str">
        <f t="array" ref="H12">if(A12="N/A","",index(Scorecards!$X$40:$X$51,match($A12,Scorecards!$A$40:$A$51,0)))</f>
        <v/>
      </c>
      <c r="I12" s="101" t="str">
        <f t="array" ref="I12">if(A12="N/A","",index(Scorecards!$Y$40:$Y$51,match($A12,Scorecards!$A$40:$A$51,0)))</f>
        <v/>
      </c>
      <c r="J12" s="101" t="str">
        <f t="array" ref="J12">if(A12="N/A","",index(Scorecards!$X$58:$X$69,match($A12,Scorecards!$A$58:$A$69,0)))</f>
        <v/>
      </c>
      <c r="K12" s="101" t="str">
        <f t="array" ref="K12">if(A12="N/A","",index(Scorecards!$Y$58:$Y$69,match($A12,Scorecards!$A$58:$A$69,0)))</f>
        <v/>
      </c>
      <c r="L12" s="102" t="str">
        <f t="shared" si="3"/>
        <v/>
      </c>
      <c r="M12" s="102" t="str">
        <f t="shared" si="4"/>
        <v/>
      </c>
      <c r="N12" s="109" t="str">
        <f>if(A12="N/A","N/A",if(COUNT($D12:$K12)=8,$M12-sum(SETUP!$C$4:$F$4),if(count($D12:$K12)=6,$M12-sum(SETUP!$C$4:$E$4),if(count($D12:$I12)=4,$M12-sum(SETUP!$C$4:$D$4),if(count($D12:$I12)=2,$M12-SETUP!$C$4,"")))))</f>
        <v>N/A</v>
      </c>
    </row>
    <row r="13" ht="12.75" customHeight="1">
      <c r="A13" s="104" t="str">
        <f>SETUP!A15</f>
        <v>N/A</v>
      </c>
      <c r="B13" s="105" t="str">
        <f t="shared" si="1"/>
        <v/>
      </c>
      <c r="C13" s="106" t="str">
        <f t="shared" si="2"/>
        <v/>
      </c>
      <c r="D13" s="106" t="str">
        <f t="array" ref="D13">if(A13="N/A","",index(Scorecards!$X$4:$X$15,match($A13,Scorecards!$A$4:$A$15,0)))</f>
        <v/>
      </c>
      <c r="E13" s="106" t="str">
        <f t="array" ref="E13">if(A13="N/A","",index(Scorecards!$Y$4:$Y$15,match($A13,Scorecards!$A$4:$A$15,0)))</f>
        <v/>
      </c>
      <c r="F13" s="106" t="str">
        <f t="array" ref="F13">if(A13="N/A","",index(Scorecards!$X$22:$X$33,match($A13,Scorecards!$A$22:$A$33,0)))</f>
        <v/>
      </c>
      <c r="G13" s="106" t="str">
        <f t="array" ref="G13">if(A13="N/A","",index(Scorecards!$Y$22:$Y$33,match($A13,Scorecards!$A$22:$A$33,0)))</f>
        <v/>
      </c>
      <c r="H13" s="106" t="str">
        <f t="array" ref="H13">if(A13="N/A","",index(Scorecards!$X$40:$X$51,match($A13,Scorecards!$A$40:$A$51,0)))</f>
        <v/>
      </c>
      <c r="I13" s="106" t="str">
        <f t="array" ref="I13">if(A13="N/A","",index(Scorecards!$Y$40:$Y$51,match($A13,Scorecards!$A$40:$A$51,0)))</f>
        <v/>
      </c>
      <c r="J13" s="106" t="str">
        <f t="array" ref="J13">if(A13="N/A","",index(Scorecards!$X$58:$X$69,match($A13,Scorecards!$A$58:$A$69,0)))</f>
        <v/>
      </c>
      <c r="K13" s="106" t="str">
        <f t="array" ref="K13">if(A13="N/A","",index(Scorecards!$Y$58:$Y$69,match($A13,Scorecards!$A$58:$A$69,0)))</f>
        <v/>
      </c>
      <c r="L13" s="104" t="str">
        <f t="shared" si="3"/>
        <v/>
      </c>
      <c r="M13" s="104" t="str">
        <f t="shared" si="4"/>
        <v/>
      </c>
      <c r="N13" s="107" t="str">
        <f>if(A13="N/A","N/A",if(COUNT($D13:$K13)=8,$M13-sum(SETUP!$C$4:$F$4),if(count($D13:$K13)=6,$M13-sum(SETUP!$C$4:$E$4),if(count($D13:$I13)=4,$M13-sum(SETUP!$C$4:$D$4),if(count($D13:$I13)=2,$M13-SETUP!$C$4,"")))))</f>
        <v>N/A</v>
      </c>
    </row>
    <row r="14" ht="12.75" customHeight="1">
      <c r="A14" s="102" t="str">
        <f>SETUP!A16</f>
        <v>N/A</v>
      </c>
      <c r="B14" s="108" t="str">
        <f t="shared" si="1"/>
        <v/>
      </c>
      <c r="C14" s="101" t="str">
        <f t="shared" si="2"/>
        <v/>
      </c>
      <c r="D14" s="101" t="str">
        <f t="array" ref="D14">if(A14="N/A","",index(Scorecards!$X$4:$X$15,match($A14,Scorecards!$A$4:$A$15,0)))</f>
        <v/>
      </c>
      <c r="E14" s="101" t="str">
        <f t="array" ref="E14">if(A14="N/A","",index(Scorecards!$Y$4:$Y$15,match($A14,Scorecards!$A$4:$A$15,0)))</f>
        <v/>
      </c>
      <c r="F14" s="101" t="str">
        <f t="array" ref="F14">if(A14="N/A","",index(Scorecards!$X$22:$X$33,match($A14,Scorecards!$A$22:$A$33,0)))</f>
        <v/>
      </c>
      <c r="G14" s="101" t="str">
        <f t="array" ref="G14">if(A14="N/A","",index(Scorecards!$Y$22:$Y$33,match($A14,Scorecards!$A$22:$A$33,0)))</f>
        <v/>
      </c>
      <c r="H14" s="101" t="str">
        <f t="array" ref="H14">if(A14="N/A","",index(Scorecards!$X$40:$X$51,match($A14,Scorecards!$A$40:$A$51,0)))</f>
        <v/>
      </c>
      <c r="I14" s="101" t="str">
        <f t="array" ref="I14">if(A14="N/A","",index(Scorecards!$Y$40:$Y$51,match($A14,Scorecards!$A$40:$A$51,0)))</f>
        <v/>
      </c>
      <c r="J14" s="101" t="str">
        <f t="array" ref="J14">if(A14="N/A","",index(Scorecards!$X$58:$X$69,match($A14,Scorecards!$A$58:$A$69,0)))</f>
        <v/>
      </c>
      <c r="K14" s="101" t="str">
        <f t="array" ref="K14">if(A14="N/A","",index(Scorecards!$Y$58:$Y$69,match($A14,Scorecards!$A$58:$A$69,0)))</f>
        <v/>
      </c>
      <c r="L14" s="102" t="str">
        <f t="shared" si="3"/>
        <v/>
      </c>
      <c r="M14" s="102" t="str">
        <f t="shared" si="4"/>
        <v/>
      </c>
      <c r="N14" s="109" t="str">
        <f>if(A14="N/A","N/A",if(COUNT($D14:$K14)=8,$M14-sum(SETUP!$C$4:$F$4),if(count($D14:$K14)=6,$M14-sum(SETUP!$C$4:$E$4),if(count($D14:$I14)=4,$M14-sum(SETUP!$C$4:$D$4),if(count($D14:$I14)=2,$M14-SETUP!$C$4,"")))))</f>
        <v>N/A</v>
      </c>
    </row>
  </sheetData>
  <mergeCells count="5">
    <mergeCell ref="D1:E1"/>
    <mergeCell ref="F1:G1"/>
    <mergeCell ref="H1:I1"/>
    <mergeCell ref="J1:K1"/>
    <mergeCell ref="L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2" max="2" width="7.43"/>
    <col customWidth="1" min="3" max="7" width="14.43"/>
  </cols>
  <sheetData>
    <row r="1">
      <c r="A1" s="110" t="s">
        <v>42</v>
      </c>
      <c r="B1" s="111">
        <f t="shared" ref="B1:B2" si="1">sum(C1:G1)</f>
        <v>80</v>
      </c>
      <c r="C1" s="112">
        <v>6.67</v>
      </c>
      <c r="D1" s="112">
        <v>43.33</v>
      </c>
      <c r="E1" s="112">
        <v>20.0</v>
      </c>
      <c r="F1" s="112">
        <v>5.0</v>
      </c>
      <c r="G1" s="112">
        <v>5.0</v>
      </c>
    </row>
    <row r="2">
      <c r="A2" s="110" t="s">
        <v>43</v>
      </c>
      <c r="B2" s="111">
        <f t="shared" si="1"/>
        <v>960</v>
      </c>
      <c r="C2" s="112">
        <f>C3*counta(SETUP!C1:F1)</f>
        <v>80.04</v>
      </c>
      <c r="D2" s="112">
        <f>(COUNTIF(D5:D16,"Y") *D1)</f>
        <v>519.96</v>
      </c>
      <c r="E2" s="112">
        <f>E3*sum(countif(Scorecards!D3:U3,3),countif(Scorecards!D21:U21,3),countif(Scorecards!D39:U39,3),countif(Scorecards!D57:U57,3))</f>
        <v>240</v>
      </c>
      <c r="F2" s="112">
        <f t="shared" ref="F2:G2" si="2">F3</f>
        <v>60</v>
      </c>
      <c r="G2" s="112">
        <f t="shared" si="2"/>
        <v>60</v>
      </c>
    </row>
    <row r="3">
      <c r="A3" s="110" t="s">
        <v>44</v>
      </c>
      <c r="B3" s="111"/>
      <c r="C3" s="112">
        <f>(COUNTIF(C5:C16,"Y") *C1)/counta(SETUP!C1:F1)</f>
        <v>20.01</v>
      </c>
      <c r="D3" s="112">
        <f>(COUNTIF(D5:D16,"Y") *D1)/(sum(Scorecards!X16,Scorecards!X34,Scorecards!X52,Scorecards!X70))</f>
        <v>14.44333333</v>
      </c>
      <c r="E3" s="112">
        <f>(COUNTIF(E5:E16,"Y") *E1)/sum(countif(Scorecards!D3:U3,3),countif(Scorecards!D21:U21,3),countif(Scorecards!D39:U39,3),countif(Scorecards!D57:U57,3))</f>
        <v>15</v>
      </c>
      <c r="F3" s="112">
        <f t="shared" ref="F3:G3" si="3">COUNTIF(F5:F16,"Y") *F1</f>
        <v>60</v>
      </c>
      <c r="G3" s="112">
        <f t="shared" si="3"/>
        <v>60</v>
      </c>
    </row>
    <row r="4">
      <c r="A4" s="45" t="s">
        <v>14</v>
      </c>
      <c r="B4" s="113" t="s">
        <v>45</v>
      </c>
      <c r="C4" s="114" t="s">
        <v>46</v>
      </c>
      <c r="D4" s="114" t="s">
        <v>47</v>
      </c>
      <c r="E4" s="114" t="s">
        <v>13</v>
      </c>
      <c r="F4" s="114" t="s">
        <v>48</v>
      </c>
      <c r="G4" s="114" t="s">
        <v>49</v>
      </c>
    </row>
    <row r="5">
      <c r="A5" s="51" t="str">
        <f>SETUP!A5</f>
        <v>Aaron J</v>
      </c>
      <c r="B5" s="115" t="s">
        <v>50</v>
      </c>
      <c r="C5" s="116" t="s">
        <v>50</v>
      </c>
      <c r="D5" s="117" t="s">
        <v>50</v>
      </c>
      <c r="E5" s="116" t="s">
        <v>50</v>
      </c>
      <c r="F5" s="116" t="s">
        <v>50</v>
      </c>
      <c r="G5" s="116" t="s">
        <v>50</v>
      </c>
    </row>
    <row r="6">
      <c r="A6" s="51" t="str">
        <f>SETUP!A6</f>
        <v>Bob B</v>
      </c>
      <c r="B6" s="118" t="s">
        <v>50</v>
      </c>
      <c r="C6" s="119" t="s">
        <v>50</v>
      </c>
      <c r="D6" s="119" t="s">
        <v>50</v>
      </c>
      <c r="E6" s="119" t="s">
        <v>50</v>
      </c>
      <c r="F6" s="119" t="s">
        <v>50</v>
      </c>
      <c r="G6" s="119" t="s">
        <v>50</v>
      </c>
    </row>
    <row r="7">
      <c r="A7" s="51" t="str">
        <f>SETUP!A7</f>
        <v>Brian K</v>
      </c>
      <c r="B7" s="117" t="s">
        <v>50</v>
      </c>
      <c r="C7" s="116" t="s">
        <v>50</v>
      </c>
      <c r="D7" s="116" t="s">
        <v>50</v>
      </c>
      <c r="E7" s="116" t="s">
        <v>50</v>
      </c>
      <c r="F7" s="116" t="s">
        <v>50</v>
      </c>
      <c r="G7" s="116" t="s">
        <v>50</v>
      </c>
    </row>
    <row r="8">
      <c r="A8" s="51" t="str">
        <f>SETUP!A8</f>
        <v>Eric O</v>
      </c>
      <c r="B8" s="115" t="s">
        <v>50</v>
      </c>
      <c r="C8" s="119" t="s">
        <v>50</v>
      </c>
      <c r="D8" s="119" t="s">
        <v>50</v>
      </c>
      <c r="E8" s="119" t="s">
        <v>50</v>
      </c>
      <c r="F8" s="119" t="s">
        <v>50</v>
      </c>
      <c r="G8" s="119" t="s">
        <v>50</v>
      </c>
    </row>
    <row r="9">
      <c r="A9" s="51" t="str">
        <f>SETUP!A9</f>
        <v>Matt V</v>
      </c>
      <c r="B9" s="118" t="s">
        <v>50</v>
      </c>
      <c r="C9" s="116" t="s">
        <v>50</v>
      </c>
      <c r="D9" s="116" t="s">
        <v>50</v>
      </c>
      <c r="E9" s="116" t="s">
        <v>50</v>
      </c>
      <c r="F9" s="116" t="s">
        <v>50</v>
      </c>
      <c r="G9" s="116" t="s">
        <v>50</v>
      </c>
    </row>
    <row r="10">
      <c r="A10" s="51" t="str">
        <f>SETUP!A10</f>
        <v>Scott R</v>
      </c>
      <c r="B10" s="117" t="s">
        <v>50</v>
      </c>
      <c r="C10" s="119" t="s">
        <v>50</v>
      </c>
      <c r="D10" s="119" t="s">
        <v>50</v>
      </c>
      <c r="E10" s="119" t="s">
        <v>50</v>
      </c>
      <c r="F10" s="119" t="s">
        <v>50</v>
      </c>
      <c r="G10" s="119" t="s">
        <v>50</v>
      </c>
    </row>
    <row r="11">
      <c r="A11" s="51" t="str">
        <f>SETUP!A11</f>
        <v>N/A</v>
      </c>
      <c r="B11" s="115" t="s">
        <v>50</v>
      </c>
      <c r="C11" s="116" t="s">
        <v>50</v>
      </c>
      <c r="D11" s="116" t="s">
        <v>50</v>
      </c>
      <c r="E11" s="116" t="s">
        <v>50</v>
      </c>
      <c r="F11" s="116" t="s">
        <v>50</v>
      </c>
      <c r="G11" s="116" t="s">
        <v>50</v>
      </c>
    </row>
    <row r="12">
      <c r="A12" s="51" t="str">
        <f>SETUP!A12</f>
        <v>N/A</v>
      </c>
      <c r="B12" s="118" t="s">
        <v>50</v>
      </c>
      <c r="C12" s="119" t="s">
        <v>50</v>
      </c>
      <c r="D12" s="119" t="s">
        <v>50</v>
      </c>
      <c r="E12" s="119" t="s">
        <v>50</v>
      </c>
      <c r="F12" s="119" t="s">
        <v>50</v>
      </c>
      <c r="G12" s="119" t="s">
        <v>50</v>
      </c>
    </row>
    <row r="13">
      <c r="A13" s="51" t="str">
        <f>SETUP!A13</f>
        <v>N/A</v>
      </c>
      <c r="B13" s="117" t="s">
        <v>50</v>
      </c>
      <c r="C13" s="119" t="s">
        <v>50</v>
      </c>
      <c r="D13" s="119" t="s">
        <v>50</v>
      </c>
      <c r="E13" s="119" t="s">
        <v>50</v>
      </c>
      <c r="F13" s="119" t="s">
        <v>50</v>
      </c>
      <c r="G13" s="119" t="s">
        <v>50</v>
      </c>
    </row>
    <row r="14">
      <c r="A14" s="51" t="str">
        <f>SETUP!A14</f>
        <v>N/A</v>
      </c>
      <c r="B14" s="115" t="s">
        <v>50</v>
      </c>
      <c r="C14" s="119" t="s">
        <v>50</v>
      </c>
      <c r="D14" s="119" t="s">
        <v>50</v>
      </c>
      <c r="E14" s="119" t="s">
        <v>50</v>
      </c>
      <c r="F14" s="119" t="s">
        <v>50</v>
      </c>
      <c r="G14" s="119" t="s">
        <v>50</v>
      </c>
    </row>
    <row r="15">
      <c r="A15" s="51" t="str">
        <f>SETUP!A15</f>
        <v>N/A</v>
      </c>
      <c r="B15" s="118" t="s">
        <v>50</v>
      </c>
      <c r="C15" s="120" t="s">
        <v>50</v>
      </c>
      <c r="D15" s="120" t="s">
        <v>50</v>
      </c>
      <c r="E15" s="120" t="s">
        <v>50</v>
      </c>
      <c r="F15" s="120" t="s">
        <v>50</v>
      </c>
      <c r="G15" s="120" t="s">
        <v>50</v>
      </c>
    </row>
    <row r="16">
      <c r="A16" s="51" t="str">
        <f>SETUP!A16</f>
        <v>N/A</v>
      </c>
      <c r="B16" s="117" t="s">
        <v>50</v>
      </c>
      <c r="C16" s="120" t="s">
        <v>50</v>
      </c>
      <c r="D16" s="120" t="s">
        <v>50</v>
      </c>
      <c r="E16" s="120" t="s">
        <v>50</v>
      </c>
      <c r="F16" s="120" t="s">
        <v>50</v>
      </c>
      <c r="G16" s="120" t="s">
        <v>50</v>
      </c>
    </row>
  </sheetData>
  <conditionalFormatting sqref="C1:C3">
    <cfRule type="expression" dxfId="6" priority="1">
      <formula>#REF!="YES"</formula>
    </cfRule>
  </conditionalFormatting>
  <conditionalFormatting sqref="D1:D3">
    <cfRule type="expression" dxfId="6" priority="2">
      <formula>#REF!="YES"</formula>
    </cfRule>
  </conditionalFormatting>
  <conditionalFormatting sqref="E1:G3">
    <cfRule type="expression" dxfId="6" priority="3">
      <formula>#REF!="YES"</formula>
    </cfRule>
  </conditionalFormatting>
  <conditionalFormatting sqref="B1:B3">
    <cfRule type="expression" dxfId="6" priority="4">
      <formula>#REF!="YES"</formula>
    </cfRule>
  </conditionalFormatting>
  <conditionalFormatting sqref="B5:B16">
    <cfRule type="cellIs" dxfId="5" priority="5" operator="equal">
      <formula>"Y"</formula>
    </cfRule>
  </conditionalFormatting>
  <dataValidations>
    <dataValidation type="list" allowBlank="1" sqref="B5:B16">
      <formula1>"Y"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10.86"/>
    <col customWidth="1" min="3" max="6" width="15.86"/>
  </cols>
  <sheetData>
    <row r="1">
      <c r="C1" s="121" t="s">
        <v>51</v>
      </c>
      <c r="D1" s="122" t="s">
        <v>52</v>
      </c>
      <c r="E1" s="122" t="s">
        <v>53</v>
      </c>
      <c r="F1" s="122" t="s">
        <v>54</v>
      </c>
    </row>
    <row r="2">
      <c r="C2" s="123">
        <v>72.8</v>
      </c>
      <c r="D2" s="124">
        <v>74.4</v>
      </c>
      <c r="E2" s="124">
        <v>71.4</v>
      </c>
      <c r="F2" s="124">
        <v>72.4</v>
      </c>
    </row>
    <row r="3">
      <c r="C3" s="125">
        <v>143.0</v>
      </c>
      <c r="D3" s="126">
        <v>144.0</v>
      </c>
      <c r="E3" s="126">
        <v>130.0</v>
      </c>
      <c r="F3" s="126">
        <v>139.0</v>
      </c>
    </row>
    <row r="4">
      <c r="A4" s="71" t="s">
        <v>14</v>
      </c>
      <c r="B4" s="71" t="s">
        <v>55</v>
      </c>
      <c r="C4" s="71">
        <v>73.0</v>
      </c>
      <c r="D4" s="71">
        <v>72.0</v>
      </c>
      <c r="E4" s="71">
        <v>72.0</v>
      </c>
      <c r="F4" s="71">
        <v>72.0</v>
      </c>
    </row>
    <row r="5">
      <c r="A5" s="127" t="s">
        <v>37</v>
      </c>
      <c r="B5" s="128">
        <v>13.0</v>
      </c>
      <c r="C5" s="129">
        <v>13.0</v>
      </c>
      <c r="D5" s="129">
        <v>13.0</v>
      </c>
      <c r="E5" s="129">
        <v>13.0</v>
      </c>
      <c r="F5" s="129">
        <v>13.0</v>
      </c>
    </row>
    <row r="6">
      <c r="A6" s="127" t="s">
        <v>25</v>
      </c>
      <c r="B6" s="128">
        <v>17.0</v>
      </c>
      <c r="C6" s="129">
        <v>17.0</v>
      </c>
      <c r="D6" s="129">
        <v>17.0</v>
      </c>
      <c r="E6" s="129">
        <v>17.0</v>
      </c>
      <c r="F6" s="129">
        <v>17.0</v>
      </c>
    </row>
    <row r="7">
      <c r="A7" s="127" t="s">
        <v>26</v>
      </c>
      <c r="B7" s="128">
        <v>17.0</v>
      </c>
      <c r="C7" s="129">
        <v>17.0</v>
      </c>
      <c r="D7" s="129">
        <v>17.0</v>
      </c>
      <c r="E7" s="129">
        <v>17.0</v>
      </c>
      <c r="F7" s="129">
        <v>17.0</v>
      </c>
    </row>
    <row r="8">
      <c r="A8" s="127" t="s">
        <v>27</v>
      </c>
      <c r="B8" s="128">
        <v>19.0</v>
      </c>
      <c r="C8" s="129">
        <v>19.0</v>
      </c>
      <c r="D8" s="129">
        <v>19.0</v>
      </c>
      <c r="E8" s="129">
        <v>19.0</v>
      </c>
      <c r="F8" s="129">
        <v>19.0</v>
      </c>
    </row>
    <row r="9">
      <c r="A9" s="127" t="s">
        <v>28</v>
      </c>
      <c r="B9" s="128">
        <v>16.0</v>
      </c>
      <c r="C9" s="129">
        <v>16.0</v>
      </c>
      <c r="D9" s="129">
        <v>16.0</v>
      </c>
      <c r="E9" s="129">
        <v>16.0</v>
      </c>
      <c r="F9" s="129">
        <v>16.0</v>
      </c>
    </row>
    <row r="10">
      <c r="A10" s="127" t="s">
        <v>29</v>
      </c>
      <c r="B10" s="128">
        <v>10.0</v>
      </c>
      <c r="C10" s="129">
        <v>10.0</v>
      </c>
      <c r="D10" s="129">
        <v>10.0</v>
      </c>
      <c r="E10" s="129">
        <v>10.0</v>
      </c>
      <c r="F10" s="129">
        <v>10.0</v>
      </c>
    </row>
    <row r="11">
      <c r="A11" s="127" t="s">
        <v>30</v>
      </c>
      <c r="B11" s="128"/>
      <c r="C11" s="129"/>
      <c r="D11" s="129"/>
      <c r="E11" s="129"/>
      <c r="F11" s="129"/>
    </row>
    <row r="12">
      <c r="A12" s="127" t="s">
        <v>30</v>
      </c>
      <c r="B12" s="128"/>
      <c r="C12" s="129"/>
      <c r="D12" s="129"/>
      <c r="E12" s="129"/>
      <c r="F12" s="129"/>
    </row>
    <row r="13">
      <c r="A13" s="127" t="s">
        <v>30</v>
      </c>
      <c r="B13" s="128"/>
      <c r="C13" s="129"/>
      <c r="D13" s="129"/>
      <c r="E13" s="129"/>
      <c r="F13" s="129"/>
    </row>
    <row r="14">
      <c r="A14" s="127" t="s">
        <v>30</v>
      </c>
      <c r="B14" s="128"/>
      <c r="C14" s="129"/>
      <c r="D14" s="129"/>
      <c r="E14" s="129"/>
      <c r="F14" s="129"/>
    </row>
    <row r="15">
      <c r="A15" s="127" t="s">
        <v>30</v>
      </c>
      <c r="B15" s="128"/>
      <c r="C15" s="129"/>
      <c r="D15" s="129"/>
      <c r="E15" s="129"/>
      <c r="F15" s="129"/>
    </row>
    <row r="16">
      <c r="A16" s="127" t="s">
        <v>30</v>
      </c>
      <c r="B16" s="128"/>
      <c r="C16" s="129"/>
      <c r="D16" s="129"/>
      <c r="E16" s="129"/>
      <c r="F16" s="12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4.29"/>
    <col customWidth="1" min="2" max="2" width="17.29"/>
    <col customWidth="1" min="3" max="3" width="8.71"/>
    <col customWidth="1" min="4" max="4" width="3.0"/>
    <col customWidth="1" min="5" max="5" width="4.29"/>
    <col customWidth="1" min="6" max="6" width="17.29"/>
    <col customWidth="1" min="7" max="7" width="8.71"/>
    <col customWidth="1" min="8" max="8" width="3.0"/>
    <col customWidth="1" min="9" max="9" width="4.29"/>
    <col customWidth="1" min="10" max="10" width="17.29"/>
    <col customWidth="1" min="11" max="11" width="8.71"/>
    <col customWidth="1" min="12" max="12" width="3.0"/>
    <col customWidth="1" min="13" max="13" width="4.29"/>
    <col customWidth="1" min="14" max="14" width="17.29"/>
    <col customWidth="1" min="15" max="15" width="8.71"/>
    <col customWidth="1" min="16" max="16" width="3.0"/>
    <col customWidth="1" min="17" max="17" width="4.29"/>
    <col customWidth="1" min="18" max="18" width="17.29"/>
    <col customWidth="1" min="19" max="19" width="8.71"/>
    <col customWidth="1" min="20" max="20" width="3.0"/>
    <col customWidth="1" min="21" max="21" width="4.29"/>
    <col customWidth="1" min="22" max="22" width="17.29"/>
    <col customWidth="1" min="23" max="23" width="8.71"/>
  </cols>
  <sheetData>
    <row r="1" ht="15.0" customHeight="1">
      <c r="A1" s="130"/>
      <c r="B1" s="130"/>
      <c r="E1" s="130"/>
      <c r="F1" s="130"/>
      <c r="I1" s="130"/>
      <c r="J1" s="130"/>
      <c r="M1" s="130"/>
      <c r="N1" s="130"/>
      <c r="Q1" s="130"/>
      <c r="R1" s="130"/>
      <c r="U1" s="130"/>
      <c r="V1" s="130"/>
    </row>
    <row r="2">
      <c r="A2" s="131" t="s">
        <v>56</v>
      </c>
      <c r="B2" s="132"/>
      <c r="C2" s="132"/>
      <c r="E2" s="131" t="s">
        <v>57</v>
      </c>
      <c r="F2" s="133"/>
      <c r="G2" s="132"/>
      <c r="I2" s="131" t="s">
        <v>58</v>
      </c>
      <c r="J2" s="133"/>
      <c r="K2" s="132"/>
      <c r="M2" s="131" t="s">
        <v>59</v>
      </c>
      <c r="N2" s="133"/>
      <c r="O2" s="132"/>
      <c r="Q2" s="131" t="s">
        <v>60</v>
      </c>
      <c r="R2" s="133"/>
      <c r="S2" s="132"/>
      <c r="U2" s="131" t="s">
        <v>61</v>
      </c>
      <c r="V2" s="133"/>
      <c r="W2" s="132"/>
    </row>
    <row r="3" ht="7.5" customHeight="1">
      <c r="A3" s="134"/>
      <c r="B3" s="134"/>
      <c r="C3" s="132"/>
      <c r="E3" s="134"/>
      <c r="F3" s="134"/>
      <c r="G3" s="132"/>
      <c r="I3" s="134"/>
      <c r="J3" s="134"/>
      <c r="K3" s="132"/>
      <c r="M3" s="134"/>
      <c r="N3" s="134"/>
      <c r="O3" s="132"/>
      <c r="Q3" s="134"/>
      <c r="R3" s="134"/>
      <c r="S3" s="132"/>
      <c r="U3" s="134"/>
      <c r="V3" s="134"/>
      <c r="W3" s="132"/>
    </row>
    <row r="4" ht="27.0" customHeight="1">
      <c r="A4" s="135">
        <v>1.0</v>
      </c>
      <c r="B4" s="136" t="s">
        <v>37</v>
      </c>
      <c r="C4" s="137"/>
      <c r="D4" s="138"/>
      <c r="E4" s="135">
        <v>1.0</v>
      </c>
      <c r="F4" s="136" t="s">
        <v>37</v>
      </c>
      <c r="G4" s="137"/>
      <c r="H4" s="138"/>
      <c r="I4" s="135">
        <v>1.0</v>
      </c>
      <c r="J4" s="136" t="s">
        <v>37</v>
      </c>
      <c r="K4" s="137"/>
      <c r="L4" s="138"/>
      <c r="M4" s="135">
        <v>1.0</v>
      </c>
      <c r="N4" s="136" t="s">
        <v>37</v>
      </c>
      <c r="O4" s="137"/>
      <c r="P4" s="138"/>
      <c r="Q4" s="135">
        <v>1.0</v>
      </c>
      <c r="R4" s="136" t="s">
        <v>37</v>
      </c>
      <c r="S4" s="137"/>
      <c r="T4" s="138"/>
      <c r="U4" s="135">
        <v>1.0</v>
      </c>
      <c r="V4" s="136" t="s">
        <v>37</v>
      </c>
      <c r="W4" s="137"/>
    </row>
    <row r="5" ht="27.0" customHeight="1">
      <c r="A5" s="139">
        <v>1.0</v>
      </c>
      <c r="B5" s="140" t="s">
        <v>62</v>
      </c>
      <c r="C5" s="141"/>
      <c r="D5" s="138"/>
      <c r="E5" s="139">
        <v>1.0</v>
      </c>
      <c r="F5" s="140" t="s">
        <v>62</v>
      </c>
      <c r="G5" s="141"/>
      <c r="H5" s="138"/>
      <c r="I5" s="139">
        <v>1.0</v>
      </c>
      <c r="J5" s="140" t="s">
        <v>62</v>
      </c>
      <c r="K5" s="141"/>
      <c r="L5" s="138"/>
      <c r="M5" s="139">
        <v>1.0</v>
      </c>
      <c r="N5" s="140" t="s">
        <v>62</v>
      </c>
      <c r="O5" s="141"/>
      <c r="P5" s="138"/>
      <c r="Q5" s="139">
        <v>1.0</v>
      </c>
      <c r="R5" s="140" t="s">
        <v>62</v>
      </c>
      <c r="S5" s="141"/>
      <c r="T5" s="138"/>
      <c r="U5" s="139">
        <v>1.0</v>
      </c>
      <c r="V5" s="140" t="s">
        <v>62</v>
      </c>
      <c r="W5" s="141"/>
    </row>
    <row r="6" ht="27.0" customHeight="1">
      <c r="A6" s="135">
        <v>1.0</v>
      </c>
      <c r="B6" s="136" t="s">
        <v>25</v>
      </c>
      <c r="C6" s="137"/>
      <c r="D6" s="138"/>
      <c r="E6" s="135">
        <v>1.0</v>
      </c>
      <c r="F6" s="136" t="s">
        <v>25</v>
      </c>
      <c r="G6" s="137"/>
      <c r="H6" s="138"/>
      <c r="I6" s="135">
        <v>1.0</v>
      </c>
      <c r="J6" s="136" t="s">
        <v>25</v>
      </c>
      <c r="K6" s="137"/>
      <c r="L6" s="138"/>
      <c r="M6" s="135">
        <v>1.0</v>
      </c>
      <c r="N6" s="136" t="s">
        <v>25</v>
      </c>
      <c r="O6" s="137"/>
      <c r="P6" s="138"/>
      <c r="Q6" s="135">
        <v>1.0</v>
      </c>
      <c r="R6" s="136" t="s">
        <v>25</v>
      </c>
      <c r="S6" s="137"/>
      <c r="T6" s="138"/>
      <c r="U6" s="135">
        <v>1.0</v>
      </c>
      <c r="V6" s="136" t="s">
        <v>25</v>
      </c>
      <c r="W6" s="137"/>
    </row>
    <row r="7" ht="27.0" customHeight="1">
      <c r="A7" s="139">
        <v>1.0</v>
      </c>
      <c r="B7" s="140" t="s">
        <v>26</v>
      </c>
      <c r="C7" s="141"/>
      <c r="D7" s="138"/>
      <c r="E7" s="139">
        <v>1.0</v>
      </c>
      <c r="F7" s="140" t="s">
        <v>26</v>
      </c>
      <c r="G7" s="141"/>
      <c r="H7" s="138"/>
      <c r="I7" s="139">
        <v>1.0</v>
      </c>
      <c r="J7" s="140" t="s">
        <v>26</v>
      </c>
      <c r="K7" s="141"/>
      <c r="L7" s="138"/>
      <c r="M7" s="139">
        <v>1.0</v>
      </c>
      <c r="N7" s="140" t="s">
        <v>26</v>
      </c>
      <c r="O7" s="141"/>
      <c r="P7" s="138"/>
      <c r="Q7" s="139">
        <v>1.0</v>
      </c>
      <c r="R7" s="140" t="s">
        <v>26</v>
      </c>
      <c r="S7" s="141"/>
      <c r="T7" s="138"/>
      <c r="U7" s="139">
        <v>1.0</v>
      </c>
      <c r="V7" s="140" t="s">
        <v>26</v>
      </c>
      <c r="W7" s="141"/>
    </row>
    <row r="8" ht="27.0" customHeight="1">
      <c r="A8" s="135">
        <v>1.0</v>
      </c>
      <c r="B8" s="136" t="s">
        <v>63</v>
      </c>
      <c r="C8" s="137"/>
      <c r="D8" s="138"/>
      <c r="E8" s="135">
        <v>1.0</v>
      </c>
      <c r="F8" s="136" t="s">
        <v>63</v>
      </c>
      <c r="G8" s="137"/>
      <c r="H8" s="138"/>
      <c r="I8" s="135">
        <v>1.0</v>
      </c>
      <c r="J8" s="136" t="s">
        <v>63</v>
      </c>
      <c r="K8" s="137"/>
      <c r="L8" s="138"/>
      <c r="M8" s="135">
        <v>1.0</v>
      </c>
      <c r="N8" s="136" t="s">
        <v>63</v>
      </c>
      <c r="O8" s="137"/>
      <c r="P8" s="138"/>
      <c r="Q8" s="135">
        <v>1.0</v>
      </c>
      <c r="R8" s="136" t="s">
        <v>63</v>
      </c>
      <c r="S8" s="137"/>
      <c r="T8" s="138"/>
      <c r="U8" s="135">
        <v>1.0</v>
      </c>
      <c r="V8" s="136" t="s">
        <v>63</v>
      </c>
      <c r="W8" s="137"/>
    </row>
    <row r="9" ht="27.0" customHeight="1">
      <c r="A9" s="139">
        <v>1.0</v>
      </c>
      <c r="B9" s="140" t="s">
        <v>27</v>
      </c>
      <c r="C9" s="141"/>
      <c r="D9" s="138"/>
      <c r="E9" s="139">
        <v>1.0</v>
      </c>
      <c r="F9" s="140" t="s">
        <v>27</v>
      </c>
      <c r="G9" s="141"/>
      <c r="H9" s="138"/>
      <c r="I9" s="139">
        <v>1.0</v>
      </c>
      <c r="J9" s="140" t="s">
        <v>27</v>
      </c>
      <c r="K9" s="141"/>
      <c r="L9" s="138"/>
      <c r="M9" s="139">
        <v>1.0</v>
      </c>
      <c r="N9" s="140" t="s">
        <v>27</v>
      </c>
      <c r="O9" s="141"/>
      <c r="P9" s="138"/>
      <c r="Q9" s="139">
        <v>1.0</v>
      </c>
      <c r="R9" s="140" t="s">
        <v>27</v>
      </c>
      <c r="S9" s="141"/>
      <c r="T9" s="138"/>
      <c r="U9" s="139">
        <v>1.0</v>
      </c>
      <c r="V9" s="140" t="s">
        <v>27</v>
      </c>
      <c r="W9" s="141"/>
    </row>
    <row r="10" ht="27.0" customHeight="1">
      <c r="A10" s="135">
        <v>1.0</v>
      </c>
      <c r="B10" s="136" t="s">
        <v>64</v>
      </c>
      <c r="C10" s="137"/>
      <c r="D10" s="138"/>
      <c r="E10" s="135">
        <v>1.0</v>
      </c>
      <c r="F10" s="136" t="s">
        <v>64</v>
      </c>
      <c r="G10" s="137"/>
      <c r="H10" s="138"/>
      <c r="I10" s="135">
        <v>1.0</v>
      </c>
      <c r="J10" s="136" t="s">
        <v>64</v>
      </c>
      <c r="K10" s="137"/>
      <c r="L10" s="138"/>
      <c r="M10" s="135">
        <v>1.0</v>
      </c>
      <c r="N10" s="136" t="s">
        <v>64</v>
      </c>
      <c r="O10" s="137"/>
      <c r="P10" s="138"/>
      <c r="Q10" s="135">
        <v>1.0</v>
      </c>
      <c r="R10" s="136" t="s">
        <v>64</v>
      </c>
      <c r="S10" s="137"/>
      <c r="T10" s="138"/>
      <c r="U10" s="135">
        <v>1.0</v>
      </c>
      <c r="V10" s="136" t="s">
        <v>64</v>
      </c>
      <c r="W10" s="137"/>
    </row>
    <row r="11" ht="27.0" customHeight="1">
      <c r="A11" s="139">
        <v>1.0</v>
      </c>
      <c r="B11" s="140" t="s">
        <v>65</v>
      </c>
      <c r="C11" s="141"/>
      <c r="D11" s="138"/>
      <c r="E11" s="139">
        <v>1.0</v>
      </c>
      <c r="F11" s="140" t="s">
        <v>65</v>
      </c>
      <c r="G11" s="141"/>
      <c r="H11" s="138"/>
      <c r="I11" s="139">
        <v>1.0</v>
      </c>
      <c r="J11" s="140" t="s">
        <v>65</v>
      </c>
      <c r="K11" s="141"/>
      <c r="L11" s="138"/>
      <c r="M11" s="139">
        <v>1.0</v>
      </c>
      <c r="N11" s="140" t="s">
        <v>65</v>
      </c>
      <c r="O11" s="141"/>
      <c r="P11" s="138"/>
      <c r="Q11" s="139">
        <v>1.0</v>
      </c>
      <c r="R11" s="140" t="s">
        <v>65</v>
      </c>
      <c r="S11" s="141"/>
      <c r="T11" s="138"/>
      <c r="U11" s="139">
        <v>1.0</v>
      </c>
      <c r="V11" s="140" t="s">
        <v>65</v>
      </c>
      <c r="W11" s="141"/>
    </row>
    <row r="12" ht="27.0" customHeight="1">
      <c r="A12" s="135">
        <v>1.0</v>
      </c>
      <c r="B12" s="136" t="s">
        <v>66</v>
      </c>
      <c r="C12" s="137"/>
      <c r="D12" s="138"/>
      <c r="E12" s="135">
        <v>1.0</v>
      </c>
      <c r="F12" s="136" t="s">
        <v>66</v>
      </c>
      <c r="G12" s="137"/>
      <c r="H12" s="138"/>
      <c r="I12" s="135">
        <v>1.0</v>
      </c>
      <c r="J12" s="136" t="s">
        <v>66</v>
      </c>
      <c r="K12" s="137"/>
      <c r="L12" s="138"/>
      <c r="M12" s="135">
        <v>1.0</v>
      </c>
      <c r="N12" s="136" t="s">
        <v>66</v>
      </c>
      <c r="O12" s="137"/>
      <c r="P12" s="138"/>
      <c r="Q12" s="135">
        <v>1.0</v>
      </c>
      <c r="R12" s="136" t="s">
        <v>66</v>
      </c>
      <c r="S12" s="137"/>
      <c r="T12" s="138"/>
      <c r="U12" s="135">
        <v>1.0</v>
      </c>
      <c r="V12" s="136" t="s">
        <v>66</v>
      </c>
      <c r="W12" s="137"/>
    </row>
    <row r="13" ht="27.0" customHeight="1">
      <c r="A13" s="139">
        <v>1.0</v>
      </c>
      <c r="B13" s="140" t="s">
        <v>28</v>
      </c>
      <c r="C13" s="141"/>
      <c r="D13" s="138"/>
      <c r="E13" s="139">
        <v>1.0</v>
      </c>
      <c r="F13" s="140" t="s">
        <v>28</v>
      </c>
      <c r="G13" s="141"/>
      <c r="H13" s="138"/>
      <c r="I13" s="139">
        <v>1.0</v>
      </c>
      <c r="J13" s="140" t="s">
        <v>28</v>
      </c>
      <c r="K13" s="141"/>
      <c r="L13" s="138"/>
      <c r="M13" s="139">
        <v>1.0</v>
      </c>
      <c r="N13" s="140" t="s">
        <v>28</v>
      </c>
      <c r="O13" s="141"/>
      <c r="P13" s="138"/>
      <c r="Q13" s="139">
        <v>1.0</v>
      </c>
      <c r="R13" s="140" t="s">
        <v>28</v>
      </c>
      <c r="S13" s="141"/>
      <c r="T13" s="138"/>
      <c r="U13" s="139">
        <v>1.0</v>
      </c>
      <c r="V13" s="140" t="s">
        <v>28</v>
      </c>
      <c r="W13" s="141"/>
    </row>
    <row r="14" ht="27.0" customHeight="1">
      <c r="A14" s="135">
        <v>1.0</v>
      </c>
      <c r="B14" s="136" t="s">
        <v>67</v>
      </c>
      <c r="C14" s="137"/>
      <c r="D14" s="138"/>
      <c r="E14" s="135">
        <v>1.0</v>
      </c>
      <c r="F14" s="136" t="s">
        <v>67</v>
      </c>
      <c r="G14" s="137"/>
      <c r="H14" s="138"/>
      <c r="I14" s="135">
        <v>1.0</v>
      </c>
      <c r="J14" s="136" t="s">
        <v>67</v>
      </c>
      <c r="K14" s="137"/>
      <c r="L14" s="138"/>
      <c r="M14" s="135">
        <v>1.0</v>
      </c>
      <c r="N14" s="136" t="s">
        <v>67</v>
      </c>
      <c r="O14" s="137"/>
      <c r="P14" s="138"/>
      <c r="Q14" s="135">
        <v>1.0</v>
      </c>
      <c r="R14" s="136" t="s">
        <v>67</v>
      </c>
      <c r="S14" s="137"/>
      <c r="T14" s="138"/>
      <c r="U14" s="135">
        <v>1.0</v>
      </c>
      <c r="V14" s="136" t="s">
        <v>67</v>
      </c>
      <c r="W14" s="137"/>
    </row>
    <row r="15" ht="27.0" customHeight="1">
      <c r="A15" s="139">
        <v>1.0</v>
      </c>
      <c r="B15" s="140" t="s">
        <v>29</v>
      </c>
      <c r="C15" s="141"/>
      <c r="D15" s="138"/>
      <c r="E15" s="139">
        <v>1.0</v>
      </c>
      <c r="F15" s="140" t="s">
        <v>29</v>
      </c>
      <c r="G15" s="141"/>
      <c r="H15" s="138"/>
      <c r="I15" s="139">
        <v>1.0</v>
      </c>
      <c r="J15" s="140" t="s">
        <v>29</v>
      </c>
      <c r="K15" s="141"/>
      <c r="L15" s="138"/>
      <c r="M15" s="139">
        <v>1.0</v>
      </c>
      <c r="N15" s="140" t="s">
        <v>29</v>
      </c>
      <c r="O15" s="141"/>
      <c r="P15" s="138"/>
      <c r="Q15" s="139">
        <v>1.0</v>
      </c>
      <c r="R15" s="140" t="s">
        <v>29</v>
      </c>
      <c r="S15" s="141"/>
      <c r="T15" s="138"/>
      <c r="U15" s="139">
        <v>1.0</v>
      </c>
      <c r="V15" s="140" t="s">
        <v>29</v>
      </c>
      <c r="W15" s="141"/>
    </row>
    <row r="16" ht="27.0" customHeight="1">
      <c r="A16" s="142"/>
      <c r="B16" s="143" t="s">
        <v>68</v>
      </c>
      <c r="C16" s="144"/>
      <c r="E16" s="142"/>
      <c r="F16" s="143" t="s">
        <v>68</v>
      </c>
      <c r="G16" s="144"/>
      <c r="I16" s="142"/>
      <c r="J16" s="143" t="s">
        <v>68</v>
      </c>
      <c r="K16" s="144"/>
      <c r="M16" s="142"/>
      <c r="N16" s="143" t="s">
        <v>68</v>
      </c>
      <c r="O16" s="144"/>
      <c r="Q16" s="142"/>
      <c r="R16" s="143" t="s">
        <v>68</v>
      </c>
      <c r="S16" s="144"/>
      <c r="U16" s="142"/>
      <c r="V16" s="143" t="s">
        <v>68</v>
      </c>
      <c r="W16" s="144"/>
    </row>
    <row r="17" ht="15.0" customHeight="1">
      <c r="A17" s="130"/>
      <c r="B17" s="130"/>
      <c r="E17" s="130"/>
      <c r="F17" s="130"/>
      <c r="I17" s="130"/>
      <c r="J17" s="130"/>
      <c r="M17" s="130"/>
      <c r="N17" s="130"/>
      <c r="Q17" s="130"/>
      <c r="R17" s="130"/>
      <c r="U17" s="130"/>
      <c r="V17" s="130"/>
    </row>
    <row r="18">
      <c r="A18" s="131" t="s">
        <v>69</v>
      </c>
      <c r="B18" s="133"/>
      <c r="C18" s="132"/>
      <c r="E18" s="131" t="s">
        <v>70</v>
      </c>
      <c r="F18" s="133"/>
      <c r="G18" s="132"/>
      <c r="I18" s="131" t="s">
        <v>71</v>
      </c>
      <c r="J18" s="133"/>
      <c r="K18" s="132"/>
      <c r="M18" s="131" t="s">
        <v>72</v>
      </c>
      <c r="N18" s="133"/>
      <c r="O18" s="132"/>
      <c r="Q18" s="131" t="s">
        <v>73</v>
      </c>
      <c r="R18" s="133"/>
      <c r="S18" s="132"/>
      <c r="U18" s="131" t="s">
        <v>74</v>
      </c>
      <c r="V18" s="133"/>
      <c r="W18" s="132"/>
    </row>
    <row r="19" ht="7.5" customHeight="1">
      <c r="A19" s="134"/>
      <c r="B19" s="134"/>
      <c r="C19" s="132"/>
      <c r="E19" s="134"/>
      <c r="F19" s="134"/>
      <c r="G19" s="132"/>
      <c r="I19" s="134"/>
      <c r="J19" s="134"/>
      <c r="K19" s="132"/>
      <c r="M19" s="134"/>
      <c r="N19" s="134"/>
      <c r="O19" s="132"/>
      <c r="Q19" s="134"/>
      <c r="R19" s="134"/>
      <c r="S19" s="132"/>
      <c r="U19" s="134"/>
      <c r="V19" s="134"/>
      <c r="W19" s="132"/>
    </row>
    <row r="20" ht="27.0" customHeight="1">
      <c r="A20" s="135">
        <v>1.0</v>
      </c>
      <c r="B20" s="136" t="s">
        <v>37</v>
      </c>
      <c r="C20" s="137"/>
      <c r="D20" s="138"/>
      <c r="E20" s="135">
        <v>1.0</v>
      </c>
      <c r="F20" s="136" t="s">
        <v>37</v>
      </c>
      <c r="G20" s="137"/>
      <c r="H20" s="138"/>
      <c r="I20" s="135">
        <v>1.0</v>
      </c>
      <c r="J20" s="136" t="s">
        <v>37</v>
      </c>
      <c r="K20" s="137"/>
      <c r="L20" s="138"/>
      <c r="M20" s="135">
        <v>1.0</v>
      </c>
      <c r="N20" s="136" t="s">
        <v>37</v>
      </c>
      <c r="O20" s="137"/>
      <c r="P20" s="138"/>
      <c r="Q20" s="135">
        <v>1.0</v>
      </c>
      <c r="R20" s="136" t="s">
        <v>37</v>
      </c>
      <c r="S20" s="137"/>
      <c r="T20" s="138"/>
      <c r="U20" s="135">
        <v>1.0</v>
      </c>
      <c r="V20" s="136" t="s">
        <v>37</v>
      </c>
      <c r="W20" s="137"/>
    </row>
    <row r="21" ht="27.0" customHeight="1">
      <c r="A21" s="139">
        <v>1.0</v>
      </c>
      <c r="B21" s="140" t="s">
        <v>62</v>
      </c>
      <c r="C21" s="141"/>
      <c r="D21" s="138"/>
      <c r="E21" s="139">
        <v>1.0</v>
      </c>
      <c r="F21" s="140" t="s">
        <v>62</v>
      </c>
      <c r="G21" s="141"/>
      <c r="H21" s="138"/>
      <c r="I21" s="139">
        <v>1.0</v>
      </c>
      <c r="J21" s="140" t="s">
        <v>62</v>
      </c>
      <c r="K21" s="141"/>
      <c r="L21" s="138"/>
      <c r="M21" s="139">
        <v>1.0</v>
      </c>
      <c r="N21" s="140" t="s">
        <v>62</v>
      </c>
      <c r="O21" s="141"/>
      <c r="P21" s="138"/>
      <c r="Q21" s="139">
        <v>1.0</v>
      </c>
      <c r="R21" s="140" t="s">
        <v>62</v>
      </c>
      <c r="S21" s="141"/>
      <c r="T21" s="138"/>
      <c r="U21" s="139">
        <v>1.0</v>
      </c>
      <c r="V21" s="140" t="s">
        <v>62</v>
      </c>
      <c r="W21" s="141"/>
    </row>
    <row r="22" ht="27.0" customHeight="1">
      <c r="A22" s="135">
        <v>1.0</v>
      </c>
      <c r="B22" s="136" t="s">
        <v>25</v>
      </c>
      <c r="C22" s="137"/>
      <c r="D22" s="138"/>
      <c r="E22" s="135">
        <v>1.0</v>
      </c>
      <c r="F22" s="136" t="s">
        <v>25</v>
      </c>
      <c r="G22" s="137"/>
      <c r="H22" s="138"/>
      <c r="I22" s="135">
        <v>1.0</v>
      </c>
      <c r="J22" s="136" t="s">
        <v>25</v>
      </c>
      <c r="K22" s="137"/>
      <c r="L22" s="138"/>
      <c r="M22" s="135">
        <v>1.0</v>
      </c>
      <c r="N22" s="136" t="s">
        <v>25</v>
      </c>
      <c r="O22" s="137"/>
      <c r="P22" s="138"/>
      <c r="Q22" s="135">
        <v>1.0</v>
      </c>
      <c r="R22" s="136" t="s">
        <v>25</v>
      </c>
      <c r="S22" s="137"/>
      <c r="T22" s="138"/>
      <c r="U22" s="135">
        <v>1.0</v>
      </c>
      <c r="V22" s="136" t="s">
        <v>25</v>
      </c>
      <c r="W22" s="137"/>
    </row>
    <row r="23" ht="27.0" customHeight="1">
      <c r="A23" s="139">
        <v>1.0</v>
      </c>
      <c r="B23" s="140" t="s">
        <v>26</v>
      </c>
      <c r="C23" s="141"/>
      <c r="D23" s="138"/>
      <c r="E23" s="139">
        <v>1.0</v>
      </c>
      <c r="F23" s="140" t="s">
        <v>26</v>
      </c>
      <c r="G23" s="141"/>
      <c r="H23" s="138"/>
      <c r="I23" s="139">
        <v>1.0</v>
      </c>
      <c r="J23" s="140" t="s">
        <v>26</v>
      </c>
      <c r="K23" s="141"/>
      <c r="L23" s="138"/>
      <c r="M23" s="139">
        <v>1.0</v>
      </c>
      <c r="N23" s="140" t="s">
        <v>26</v>
      </c>
      <c r="O23" s="141"/>
      <c r="P23" s="138"/>
      <c r="Q23" s="139">
        <v>1.0</v>
      </c>
      <c r="R23" s="140" t="s">
        <v>26</v>
      </c>
      <c r="S23" s="141"/>
      <c r="T23" s="138"/>
      <c r="U23" s="139">
        <v>1.0</v>
      </c>
      <c r="V23" s="140" t="s">
        <v>26</v>
      </c>
      <c r="W23" s="141"/>
    </row>
    <row r="24" ht="27.0" customHeight="1">
      <c r="A24" s="135">
        <v>1.0</v>
      </c>
      <c r="B24" s="136" t="s">
        <v>63</v>
      </c>
      <c r="C24" s="137"/>
      <c r="D24" s="138"/>
      <c r="E24" s="135">
        <v>1.0</v>
      </c>
      <c r="F24" s="136" t="s">
        <v>63</v>
      </c>
      <c r="G24" s="137"/>
      <c r="H24" s="138"/>
      <c r="I24" s="135">
        <v>1.0</v>
      </c>
      <c r="J24" s="136" t="s">
        <v>63</v>
      </c>
      <c r="K24" s="137"/>
      <c r="L24" s="138"/>
      <c r="M24" s="135">
        <v>1.0</v>
      </c>
      <c r="N24" s="136" t="s">
        <v>63</v>
      </c>
      <c r="O24" s="137"/>
      <c r="P24" s="138"/>
      <c r="Q24" s="135">
        <v>1.0</v>
      </c>
      <c r="R24" s="136" t="s">
        <v>63</v>
      </c>
      <c r="S24" s="137"/>
      <c r="T24" s="138"/>
      <c r="U24" s="135">
        <v>1.0</v>
      </c>
      <c r="V24" s="136" t="s">
        <v>63</v>
      </c>
      <c r="W24" s="137"/>
    </row>
    <row r="25" ht="27.0" customHeight="1">
      <c r="A25" s="139">
        <v>1.0</v>
      </c>
      <c r="B25" s="140" t="s">
        <v>27</v>
      </c>
      <c r="C25" s="141"/>
      <c r="D25" s="138"/>
      <c r="E25" s="139">
        <v>1.0</v>
      </c>
      <c r="F25" s="140" t="s">
        <v>27</v>
      </c>
      <c r="G25" s="141"/>
      <c r="H25" s="138"/>
      <c r="I25" s="139">
        <v>1.0</v>
      </c>
      <c r="J25" s="140" t="s">
        <v>27</v>
      </c>
      <c r="K25" s="141"/>
      <c r="L25" s="138"/>
      <c r="M25" s="139">
        <v>1.0</v>
      </c>
      <c r="N25" s="140" t="s">
        <v>27</v>
      </c>
      <c r="O25" s="141"/>
      <c r="P25" s="138"/>
      <c r="Q25" s="139">
        <v>1.0</v>
      </c>
      <c r="R25" s="140" t="s">
        <v>27</v>
      </c>
      <c r="S25" s="141"/>
      <c r="T25" s="138"/>
      <c r="U25" s="139">
        <v>1.0</v>
      </c>
      <c r="V25" s="140" t="s">
        <v>27</v>
      </c>
      <c r="W25" s="141"/>
    </row>
    <row r="26" ht="27.0" customHeight="1">
      <c r="A26" s="135">
        <v>1.0</v>
      </c>
      <c r="B26" s="136" t="s">
        <v>64</v>
      </c>
      <c r="C26" s="137"/>
      <c r="D26" s="138"/>
      <c r="E26" s="135">
        <v>1.0</v>
      </c>
      <c r="F26" s="136" t="s">
        <v>64</v>
      </c>
      <c r="G26" s="137"/>
      <c r="H26" s="138"/>
      <c r="I26" s="135">
        <v>1.0</v>
      </c>
      <c r="J26" s="136" t="s">
        <v>64</v>
      </c>
      <c r="K26" s="137"/>
      <c r="L26" s="138"/>
      <c r="M26" s="135">
        <v>1.0</v>
      </c>
      <c r="N26" s="136" t="s">
        <v>64</v>
      </c>
      <c r="O26" s="137"/>
      <c r="P26" s="138"/>
      <c r="Q26" s="135">
        <v>1.0</v>
      </c>
      <c r="R26" s="136" t="s">
        <v>64</v>
      </c>
      <c r="S26" s="137"/>
      <c r="T26" s="138"/>
      <c r="U26" s="135">
        <v>1.0</v>
      </c>
      <c r="V26" s="136" t="s">
        <v>64</v>
      </c>
      <c r="W26" s="137"/>
    </row>
    <row r="27" ht="27.0" customHeight="1">
      <c r="A27" s="139">
        <v>1.0</v>
      </c>
      <c r="B27" s="140" t="s">
        <v>65</v>
      </c>
      <c r="C27" s="141"/>
      <c r="D27" s="138"/>
      <c r="E27" s="139">
        <v>1.0</v>
      </c>
      <c r="F27" s="140" t="s">
        <v>65</v>
      </c>
      <c r="G27" s="141"/>
      <c r="H27" s="138"/>
      <c r="I27" s="139">
        <v>1.0</v>
      </c>
      <c r="J27" s="140" t="s">
        <v>65</v>
      </c>
      <c r="K27" s="141"/>
      <c r="L27" s="138"/>
      <c r="M27" s="139">
        <v>1.0</v>
      </c>
      <c r="N27" s="140" t="s">
        <v>65</v>
      </c>
      <c r="O27" s="141"/>
      <c r="P27" s="138"/>
      <c r="Q27" s="139">
        <v>1.0</v>
      </c>
      <c r="R27" s="140" t="s">
        <v>65</v>
      </c>
      <c r="S27" s="141"/>
      <c r="T27" s="138"/>
      <c r="U27" s="139">
        <v>1.0</v>
      </c>
      <c r="V27" s="140" t="s">
        <v>65</v>
      </c>
      <c r="W27" s="141"/>
    </row>
    <row r="28" ht="27.0" customHeight="1">
      <c r="A28" s="135">
        <v>1.0</v>
      </c>
      <c r="B28" s="136" t="s">
        <v>66</v>
      </c>
      <c r="C28" s="137"/>
      <c r="D28" s="138"/>
      <c r="E28" s="135">
        <v>1.0</v>
      </c>
      <c r="F28" s="136" t="s">
        <v>66</v>
      </c>
      <c r="G28" s="137"/>
      <c r="H28" s="138"/>
      <c r="I28" s="135">
        <v>1.0</v>
      </c>
      <c r="J28" s="136" t="s">
        <v>66</v>
      </c>
      <c r="K28" s="137"/>
      <c r="L28" s="138"/>
      <c r="M28" s="135">
        <v>1.0</v>
      </c>
      <c r="N28" s="136" t="s">
        <v>66</v>
      </c>
      <c r="O28" s="137"/>
      <c r="P28" s="138"/>
      <c r="Q28" s="135">
        <v>1.0</v>
      </c>
      <c r="R28" s="136" t="s">
        <v>66</v>
      </c>
      <c r="S28" s="137"/>
      <c r="T28" s="138"/>
      <c r="U28" s="135">
        <v>1.0</v>
      </c>
      <c r="V28" s="136" t="s">
        <v>66</v>
      </c>
      <c r="W28" s="137"/>
    </row>
    <row r="29" ht="27.0" customHeight="1">
      <c r="A29" s="139">
        <v>1.0</v>
      </c>
      <c r="B29" s="140" t="s">
        <v>28</v>
      </c>
      <c r="C29" s="141"/>
      <c r="D29" s="138"/>
      <c r="E29" s="139">
        <v>1.0</v>
      </c>
      <c r="F29" s="140" t="s">
        <v>28</v>
      </c>
      <c r="G29" s="141"/>
      <c r="H29" s="138"/>
      <c r="I29" s="139">
        <v>1.0</v>
      </c>
      <c r="J29" s="140" t="s">
        <v>28</v>
      </c>
      <c r="K29" s="141"/>
      <c r="L29" s="138"/>
      <c r="M29" s="139">
        <v>1.0</v>
      </c>
      <c r="N29" s="140" t="s">
        <v>28</v>
      </c>
      <c r="O29" s="141"/>
      <c r="P29" s="138"/>
      <c r="Q29" s="139">
        <v>1.0</v>
      </c>
      <c r="R29" s="140" t="s">
        <v>28</v>
      </c>
      <c r="S29" s="141"/>
      <c r="T29" s="138"/>
      <c r="U29" s="139">
        <v>1.0</v>
      </c>
      <c r="V29" s="140" t="s">
        <v>28</v>
      </c>
      <c r="W29" s="141"/>
    </row>
    <row r="30" ht="27.0" customHeight="1">
      <c r="A30" s="135">
        <v>1.0</v>
      </c>
      <c r="B30" s="136" t="s">
        <v>67</v>
      </c>
      <c r="C30" s="137"/>
      <c r="D30" s="138"/>
      <c r="E30" s="135">
        <v>1.0</v>
      </c>
      <c r="F30" s="136" t="s">
        <v>67</v>
      </c>
      <c r="G30" s="137"/>
      <c r="H30" s="138"/>
      <c r="I30" s="135">
        <v>1.0</v>
      </c>
      <c r="J30" s="136" t="s">
        <v>67</v>
      </c>
      <c r="K30" s="137"/>
      <c r="L30" s="138"/>
      <c r="M30" s="135">
        <v>1.0</v>
      </c>
      <c r="N30" s="136" t="s">
        <v>67</v>
      </c>
      <c r="O30" s="137"/>
      <c r="P30" s="138"/>
      <c r="Q30" s="135">
        <v>1.0</v>
      </c>
      <c r="R30" s="136" t="s">
        <v>67</v>
      </c>
      <c r="S30" s="137"/>
      <c r="T30" s="138"/>
      <c r="U30" s="135">
        <v>1.0</v>
      </c>
      <c r="V30" s="136" t="s">
        <v>67</v>
      </c>
      <c r="W30" s="137"/>
    </row>
    <row r="31" ht="27.0" customHeight="1">
      <c r="A31" s="139">
        <v>1.0</v>
      </c>
      <c r="B31" s="140" t="s">
        <v>29</v>
      </c>
      <c r="C31" s="141"/>
      <c r="D31" s="138"/>
      <c r="E31" s="139">
        <v>1.0</v>
      </c>
      <c r="F31" s="140" t="s">
        <v>29</v>
      </c>
      <c r="G31" s="141"/>
      <c r="H31" s="138"/>
      <c r="I31" s="139">
        <v>1.0</v>
      </c>
      <c r="J31" s="140" t="s">
        <v>29</v>
      </c>
      <c r="K31" s="141"/>
      <c r="L31" s="138"/>
      <c r="M31" s="139">
        <v>1.0</v>
      </c>
      <c r="N31" s="140" t="s">
        <v>29</v>
      </c>
      <c r="O31" s="141"/>
      <c r="P31" s="138"/>
      <c r="Q31" s="139">
        <v>1.0</v>
      </c>
      <c r="R31" s="140" t="s">
        <v>29</v>
      </c>
      <c r="S31" s="141"/>
      <c r="T31" s="138"/>
      <c r="U31" s="139">
        <v>1.0</v>
      </c>
      <c r="V31" s="140" t="s">
        <v>29</v>
      </c>
      <c r="W31" s="141"/>
    </row>
    <row r="32" ht="27.0" customHeight="1">
      <c r="A32" s="142"/>
      <c r="B32" s="143" t="s">
        <v>68</v>
      </c>
      <c r="C32" s="144"/>
      <c r="E32" s="142"/>
      <c r="F32" s="143" t="s">
        <v>68</v>
      </c>
      <c r="G32" s="144"/>
      <c r="I32" s="142"/>
      <c r="J32" s="143" t="s">
        <v>68</v>
      </c>
      <c r="K32" s="144"/>
      <c r="M32" s="142"/>
      <c r="N32" s="143" t="s">
        <v>68</v>
      </c>
      <c r="O32" s="144"/>
      <c r="Q32" s="142"/>
      <c r="R32" s="143" t="s">
        <v>68</v>
      </c>
      <c r="S32" s="144"/>
      <c r="U32" s="142"/>
      <c r="V32" s="143" t="s">
        <v>68</v>
      </c>
      <c r="W32" s="144"/>
    </row>
    <row r="33" ht="15.0" customHeight="1">
      <c r="A33" s="130"/>
      <c r="B33" s="130"/>
      <c r="E33" s="130"/>
      <c r="F33" s="130"/>
      <c r="I33" s="130"/>
      <c r="J33" s="130"/>
      <c r="M33" s="130"/>
      <c r="N33" s="130"/>
      <c r="Q33" s="130"/>
      <c r="R33" s="130"/>
      <c r="U33" s="130"/>
      <c r="V33" s="130"/>
    </row>
    <row r="34">
      <c r="A34" s="131" t="s">
        <v>75</v>
      </c>
      <c r="B34" s="132"/>
      <c r="C34" s="132"/>
      <c r="E34" s="131" t="s">
        <v>76</v>
      </c>
      <c r="F34" s="133"/>
      <c r="G34" s="132"/>
      <c r="I34" s="131" t="s">
        <v>77</v>
      </c>
      <c r="J34" s="133"/>
      <c r="K34" s="132"/>
      <c r="M34" s="131" t="s">
        <v>78</v>
      </c>
      <c r="N34" s="133"/>
      <c r="O34" s="132"/>
      <c r="Q34" s="131" t="s">
        <v>79</v>
      </c>
      <c r="R34" s="133"/>
      <c r="S34" s="132"/>
      <c r="U34" s="131" t="s">
        <v>80</v>
      </c>
      <c r="V34" s="133"/>
      <c r="W34" s="132"/>
    </row>
    <row r="35" ht="7.5" customHeight="1">
      <c r="A35" s="134"/>
      <c r="B35" s="134"/>
      <c r="C35" s="132"/>
      <c r="E35" s="134"/>
      <c r="F35" s="134"/>
      <c r="G35" s="132"/>
      <c r="I35" s="134"/>
      <c r="J35" s="134"/>
      <c r="K35" s="132"/>
      <c r="M35" s="134"/>
      <c r="N35" s="134"/>
      <c r="O35" s="132"/>
      <c r="Q35" s="134"/>
      <c r="R35" s="134"/>
      <c r="S35" s="132"/>
      <c r="U35" s="134"/>
      <c r="V35" s="134"/>
      <c r="W35" s="132"/>
    </row>
    <row r="36" ht="27.0" customHeight="1">
      <c r="A36" s="135">
        <v>2.0</v>
      </c>
      <c r="B36" s="136" t="s">
        <v>37</v>
      </c>
      <c r="C36" s="137"/>
      <c r="D36" s="138"/>
      <c r="E36" s="135">
        <v>2.0</v>
      </c>
      <c r="F36" s="136" t="s">
        <v>37</v>
      </c>
      <c r="G36" s="137"/>
      <c r="H36" s="138"/>
      <c r="I36" s="135">
        <v>2.0</v>
      </c>
      <c r="J36" s="136" t="s">
        <v>37</v>
      </c>
      <c r="K36" s="137"/>
      <c r="L36" s="138"/>
      <c r="M36" s="135">
        <v>2.0</v>
      </c>
      <c r="N36" s="136" t="s">
        <v>37</v>
      </c>
      <c r="O36" s="137"/>
      <c r="P36" s="138"/>
      <c r="Q36" s="135">
        <v>2.0</v>
      </c>
      <c r="R36" s="136" t="s">
        <v>37</v>
      </c>
      <c r="S36" s="137"/>
      <c r="T36" s="138"/>
      <c r="U36" s="135">
        <v>2.0</v>
      </c>
      <c r="V36" s="136" t="s">
        <v>37</v>
      </c>
      <c r="W36" s="137"/>
    </row>
    <row r="37" ht="27.0" customHeight="1">
      <c r="A37" s="139">
        <v>2.0</v>
      </c>
      <c r="B37" s="140" t="s">
        <v>62</v>
      </c>
      <c r="C37" s="141"/>
      <c r="D37" s="138"/>
      <c r="E37" s="139">
        <v>2.0</v>
      </c>
      <c r="F37" s="140" t="s">
        <v>62</v>
      </c>
      <c r="G37" s="141"/>
      <c r="H37" s="138"/>
      <c r="I37" s="139">
        <v>2.0</v>
      </c>
      <c r="J37" s="140" t="s">
        <v>62</v>
      </c>
      <c r="K37" s="141"/>
      <c r="L37" s="138"/>
      <c r="M37" s="139">
        <v>2.0</v>
      </c>
      <c r="N37" s="140" t="s">
        <v>62</v>
      </c>
      <c r="O37" s="141"/>
      <c r="P37" s="138"/>
      <c r="Q37" s="139">
        <v>2.0</v>
      </c>
      <c r="R37" s="140" t="s">
        <v>62</v>
      </c>
      <c r="S37" s="141"/>
      <c r="T37" s="138"/>
      <c r="U37" s="139">
        <v>2.0</v>
      </c>
      <c r="V37" s="140" t="s">
        <v>62</v>
      </c>
      <c r="W37" s="141"/>
    </row>
    <row r="38" ht="27.0" customHeight="1">
      <c r="A38" s="139">
        <v>2.0</v>
      </c>
      <c r="B38" s="136" t="s">
        <v>25</v>
      </c>
      <c r="C38" s="137"/>
      <c r="D38" s="138"/>
      <c r="E38" s="139">
        <v>2.0</v>
      </c>
      <c r="F38" s="136" t="s">
        <v>25</v>
      </c>
      <c r="G38" s="137"/>
      <c r="H38" s="138"/>
      <c r="I38" s="139">
        <v>2.0</v>
      </c>
      <c r="J38" s="136" t="s">
        <v>25</v>
      </c>
      <c r="K38" s="137"/>
      <c r="L38" s="138"/>
      <c r="M38" s="139">
        <v>2.0</v>
      </c>
      <c r="N38" s="136" t="s">
        <v>25</v>
      </c>
      <c r="O38" s="137"/>
      <c r="P38" s="138"/>
      <c r="Q38" s="139">
        <v>2.0</v>
      </c>
      <c r="R38" s="136" t="s">
        <v>25</v>
      </c>
      <c r="S38" s="137"/>
      <c r="T38" s="138"/>
      <c r="U38" s="139">
        <v>2.0</v>
      </c>
      <c r="V38" s="136" t="s">
        <v>25</v>
      </c>
      <c r="W38" s="137"/>
    </row>
    <row r="39" ht="27.0" customHeight="1">
      <c r="A39" s="139">
        <v>2.0</v>
      </c>
      <c r="B39" s="140" t="s">
        <v>26</v>
      </c>
      <c r="C39" s="141"/>
      <c r="D39" s="138"/>
      <c r="E39" s="139">
        <v>2.0</v>
      </c>
      <c r="F39" s="140" t="s">
        <v>26</v>
      </c>
      <c r="G39" s="141"/>
      <c r="H39" s="138"/>
      <c r="I39" s="139">
        <v>2.0</v>
      </c>
      <c r="J39" s="140" t="s">
        <v>26</v>
      </c>
      <c r="K39" s="141"/>
      <c r="L39" s="138"/>
      <c r="M39" s="139">
        <v>2.0</v>
      </c>
      <c r="N39" s="140" t="s">
        <v>26</v>
      </c>
      <c r="O39" s="141"/>
      <c r="P39" s="138"/>
      <c r="Q39" s="139">
        <v>2.0</v>
      </c>
      <c r="R39" s="140" t="s">
        <v>26</v>
      </c>
      <c r="S39" s="141"/>
      <c r="T39" s="138"/>
      <c r="U39" s="139">
        <v>2.0</v>
      </c>
      <c r="V39" s="140" t="s">
        <v>26</v>
      </c>
      <c r="W39" s="141"/>
    </row>
    <row r="40" ht="27.0" customHeight="1">
      <c r="A40" s="139">
        <v>2.0</v>
      </c>
      <c r="B40" s="136" t="s">
        <v>63</v>
      </c>
      <c r="C40" s="137"/>
      <c r="D40" s="138"/>
      <c r="E40" s="139">
        <v>2.0</v>
      </c>
      <c r="F40" s="136" t="s">
        <v>63</v>
      </c>
      <c r="G40" s="137"/>
      <c r="H40" s="138"/>
      <c r="I40" s="139">
        <v>2.0</v>
      </c>
      <c r="J40" s="136" t="s">
        <v>63</v>
      </c>
      <c r="K40" s="137"/>
      <c r="L40" s="138"/>
      <c r="M40" s="139">
        <v>2.0</v>
      </c>
      <c r="N40" s="136" t="s">
        <v>63</v>
      </c>
      <c r="O40" s="137"/>
      <c r="P40" s="138"/>
      <c r="Q40" s="139">
        <v>2.0</v>
      </c>
      <c r="R40" s="136" t="s">
        <v>63</v>
      </c>
      <c r="S40" s="137"/>
      <c r="T40" s="138"/>
      <c r="U40" s="139">
        <v>2.0</v>
      </c>
      <c r="V40" s="136" t="s">
        <v>63</v>
      </c>
      <c r="W40" s="137"/>
    </row>
    <row r="41" ht="27.0" customHeight="1">
      <c r="A41" s="139">
        <v>2.0</v>
      </c>
      <c r="B41" s="140" t="s">
        <v>27</v>
      </c>
      <c r="C41" s="141"/>
      <c r="D41" s="138"/>
      <c r="E41" s="139">
        <v>2.0</v>
      </c>
      <c r="F41" s="140" t="s">
        <v>27</v>
      </c>
      <c r="G41" s="141"/>
      <c r="H41" s="138"/>
      <c r="I41" s="139">
        <v>2.0</v>
      </c>
      <c r="J41" s="140" t="s">
        <v>27</v>
      </c>
      <c r="K41" s="141"/>
      <c r="L41" s="138"/>
      <c r="M41" s="139">
        <v>2.0</v>
      </c>
      <c r="N41" s="140" t="s">
        <v>27</v>
      </c>
      <c r="O41" s="141"/>
      <c r="P41" s="138"/>
      <c r="Q41" s="139">
        <v>2.0</v>
      </c>
      <c r="R41" s="140" t="s">
        <v>27</v>
      </c>
      <c r="S41" s="141"/>
      <c r="T41" s="138"/>
      <c r="U41" s="139">
        <v>2.0</v>
      </c>
      <c r="V41" s="140" t="s">
        <v>27</v>
      </c>
      <c r="W41" s="141"/>
    </row>
    <row r="42" ht="27.0" customHeight="1">
      <c r="A42" s="139">
        <v>2.0</v>
      </c>
      <c r="B42" s="136" t="s">
        <v>64</v>
      </c>
      <c r="C42" s="137"/>
      <c r="D42" s="138"/>
      <c r="E42" s="139">
        <v>2.0</v>
      </c>
      <c r="F42" s="136" t="s">
        <v>64</v>
      </c>
      <c r="G42" s="137"/>
      <c r="H42" s="138"/>
      <c r="I42" s="139">
        <v>2.0</v>
      </c>
      <c r="J42" s="136" t="s">
        <v>64</v>
      </c>
      <c r="K42" s="137"/>
      <c r="L42" s="138"/>
      <c r="M42" s="139">
        <v>2.0</v>
      </c>
      <c r="N42" s="136" t="s">
        <v>64</v>
      </c>
      <c r="O42" s="137"/>
      <c r="P42" s="138"/>
      <c r="Q42" s="139">
        <v>2.0</v>
      </c>
      <c r="R42" s="136" t="s">
        <v>64</v>
      </c>
      <c r="S42" s="137"/>
      <c r="T42" s="138"/>
      <c r="U42" s="139">
        <v>2.0</v>
      </c>
      <c r="V42" s="136" t="s">
        <v>64</v>
      </c>
      <c r="W42" s="137"/>
    </row>
    <row r="43" ht="27.0" customHeight="1">
      <c r="A43" s="139">
        <v>2.0</v>
      </c>
      <c r="B43" s="140" t="s">
        <v>65</v>
      </c>
      <c r="C43" s="141"/>
      <c r="D43" s="138"/>
      <c r="E43" s="139">
        <v>2.0</v>
      </c>
      <c r="F43" s="140" t="s">
        <v>65</v>
      </c>
      <c r="G43" s="141"/>
      <c r="H43" s="138"/>
      <c r="I43" s="139">
        <v>2.0</v>
      </c>
      <c r="J43" s="140" t="s">
        <v>65</v>
      </c>
      <c r="K43" s="141"/>
      <c r="L43" s="138"/>
      <c r="M43" s="139">
        <v>2.0</v>
      </c>
      <c r="N43" s="140" t="s">
        <v>65</v>
      </c>
      <c r="O43" s="141"/>
      <c r="P43" s="138"/>
      <c r="Q43" s="139">
        <v>2.0</v>
      </c>
      <c r="R43" s="140" t="s">
        <v>65</v>
      </c>
      <c r="S43" s="141"/>
      <c r="T43" s="138"/>
      <c r="U43" s="139">
        <v>2.0</v>
      </c>
      <c r="V43" s="140" t="s">
        <v>65</v>
      </c>
      <c r="W43" s="141"/>
    </row>
    <row r="44" ht="27.0" customHeight="1">
      <c r="A44" s="139">
        <v>2.0</v>
      </c>
      <c r="B44" s="136" t="s">
        <v>66</v>
      </c>
      <c r="C44" s="137"/>
      <c r="D44" s="138"/>
      <c r="E44" s="139">
        <v>2.0</v>
      </c>
      <c r="F44" s="136" t="s">
        <v>66</v>
      </c>
      <c r="G44" s="137"/>
      <c r="H44" s="138"/>
      <c r="I44" s="139">
        <v>2.0</v>
      </c>
      <c r="J44" s="136" t="s">
        <v>66</v>
      </c>
      <c r="K44" s="137"/>
      <c r="L44" s="138"/>
      <c r="M44" s="139">
        <v>2.0</v>
      </c>
      <c r="N44" s="136" t="s">
        <v>66</v>
      </c>
      <c r="O44" s="137"/>
      <c r="P44" s="138"/>
      <c r="Q44" s="139">
        <v>2.0</v>
      </c>
      <c r="R44" s="136" t="s">
        <v>66</v>
      </c>
      <c r="S44" s="137"/>
      <c r="T44" s="138"/>
      <c r="U44" s="139">
        <v>2.0</v>
      </c>
      <c r="V44" s="136" t="s">
        <v>66</v>
      </c>
      <c r="W44" s="137"/>
    </row>
    <row r="45" ht="27.0" customHeight="1">
      <c r="A45" s="139">
        <v>2.0</v>
      </c>
      <c r="B45" s="140" t="s">
        <v>28</v>
      </c>
      <c r="C45" s="141"/>
      <c r="D45" s="138"/>
      <c r="E45" s="139">
        <v>2.0</v>
      </c>
      <c r="F45" s="140" t="s">
        <v>28</v>
      </c>
      <c r="G45" s="141"/>
      <c r="H45" s="138"/>
      <c r="I45" s="139">
        <v>2.0</v>
      </c>
      <c r="J45" s="140" t="s">
        <v>28</v>
      </c>
      <c r="K45" s="141"/>
      <c r="L45" s="138"/>
      <c r="M45" s="139">
        <v>2.0</v>
      </c>
      <c r="N45" s="140" t="s">
        <v>28</v>
      </c>
      <c r="O45" s="141"/>
      <c r="P45" s="138"/>
      <c r="Q45" s="139">
        <v>2.0</v>
      </c>
      <c r="R45" s="140" t="s">
        <v>28</v>
      </c>
      <c r="S45" s="141"/>
      <c r="T45" s="138"/>
      <c r="U45" s="139">
        <v>2.0</v>
      </c>
      <c r="V45" s="140" t="s">
        <v>28</v>
      </c>
      <c r="W45" s="141"/>
    </row>
    <row r="46" ht="27.0" customHeight="1">
      <c r="A46" s="139">
        <v>2.0</v>
      </c>
      <c r="B46" s="136" t="s">
        <v>67</v>
      </c>
      <c r="C46" s="137"/>
      <c r="D46" s="138"/>
      <c r="E46" s="139">
        <v>2.0</v>
      </c>
      <c r="F46" s="136" t="s">
        <v>67</v>
      </c>
      <c r="G46" s="137"/>
      <c r="H46" s="138"/>
      <c r="I46" s="139">
        <v>2.0</v>
      </c>
      <c r="J46" s="136" t="s">
        <v>67</v>
      </c>
      <c r="K46" s="137"/>
      <c r="L46" s="138"/>
      <c r="M46" s="139">
        <v>2.0</v>
      </c>
      <c r="N46" s="136" t="s">
        <v>67</v>
      </c>
      <c r="O46" s="137"/>
      <c r="P46" s="138"/>
      <c r="Q46" s="139">
        <v>2.0</v>
      </c>
      <c r="R46" s="136" t="s">
        <v>67</v>
      </c>
      <c r="S46" s="137"/>
      <c r="T46" s="138"/>
      <c r="U46" s="139">
        <v>2.0</v>
      </c>
      <c r="V46" s="136" t="s">
        <v>67</v>
      </c>
      <c r="W46" s="137"/>
    </row>
    <row r="47" ht="27.0" customHeight="1">
      <c r="A47" s="139">
        <v>2.0</v>
      </c>
      <c r="B47" s="140" t="s">
        <v>29</v>
      </c>
      <c r="C47" s="141"/>
      <c r="D47" s="138"/>
      <c r="E47" s="139">
        <v>2.0</v>
      </c>
      <c r="F47" s="140" t="s">
        <v>29</v>
      </c>
      <c r="G47" s="141"/>
      <c r="H47" s="138"/>
      <c r="I47" s="139">
        <v>2.0</v>
      </c>
      <c r="J47" s="140" t="s">
        <v>29</v>
      </c>
      <c r="K47" s="141"/>
      <c r="L47" s="138"/>
      <c r="M47" s="139">
        <v>2.0</v>
      </c>
      <c r="N47" s="140" t="s">
        <v>29</v>
      </c>
      <c r="O47" s="141"/>
      <c r="P47" s="138"/>
      <c r="Q47" s="139">
        <v>2.0</v>
      </c>
      <c r="R47" s="140" t="s">
        <v>29</v>
      </c>
      <c r="S47" s="141"/>
      <c r="T47" s="138"/>
      <c r="U47" s="139">
        <v>2.0</v>
      </c>
      <c r="V47" s="140" t="s">
        <v>29</v>
      </c>
      <c r="W47" s="141"/>
    </row>
    <row r="48" ht="27.0" customHeight="1">
      <c r="A48" s="142"/>
      <c r="B48" s="143" t="s">
        <v>81</v>
      </c>
      <c r="C48" s="144"/>
      <c r="E48" s="142"/>
      <c r="F48" s="143" t="s">
        <v>81</v>
      </c>
      <c r="G48" s="144"/>
      <c r="I48" s="142"/>
      <c r="J48" s="143" t="s">
        <v>81</v>
      </c>
      <c r="K48" s="144"/>
      <c r="M48" s="142"/>
      <c r="N48" s="143" t="s">
        <v>81</v>
      </c>
      <c r="O48" s="144"/>
      <c r="Q48" s="142"/>
      <c r="R48" s="143" t="s">
        <v>81</v>
      </c>
      <c r="S48" s="144"/>
      <c r="U48" s="142"/>
      <c r="V48" s="143" t="s">
        <v>81</v>
      </c>
      <c r="W48" s="144"/>
    </row>
    <row r="49" ht="15.0" customHeight="1">
      <c r="A49" s="130"/>
      <c r="B49" s="130"/>
      <c r="E49" s="130"/>
      <c r="F49" s="130"/>
      <c r="I49" s="130"/>
      <c r="J49" s="130"/>
      <c r="M49" s="130"/>
      <c r="N49" s="130"/>
      <c r="Q49" s="130"/>
      <c r="R49" s="130"/>
      <c r="U49" s="130"/>
      <c r="V49" s="130"/>
    </row>
    <row r="50">
      <c r="A50" s="131" t="s">
        <v>82</v>
      </c>
      <c r="B50" s="133"/>
      <c r="C50" s="132"/>
      <c r="E50" s="131" t="s">
        <v>83</v>
      </c>
      <c r="F50" s="133"/>
      <c r="G50" s="132"/>
      <c r="I50" s="131" t="s">
        <v>84</v>
      </c>
      <c r="J50" s="133"/>
      <c r="K50" s="132"/>
      <c r="M50" s="131" t="s">
        <v>85</v>
      </c>
      <c r="N50" s="133"/>
      <c r="O50" s="132"/>
      <c r="Q50" s="131" t="s">
        <v>86</v>
      </c>
      <c r="R50" s="133"/>
      <c r="S50" s="132"/>
      <c r="U50" s="131" t="s">
        <v>87</v>
      </c>
      <c r="V50" s="133"/>
      <c r="W50" s="132"/>
    </row>
    <row r="51" ht="7.5" customHeight="1">
      <c r="A51" s="134"/>
      <c r="B51" s="134"/>
      <c r="C51" s="132"/>
      <c r="E51" s="134"/>
      <c r="F51" s="134"/>
      <c r="G51" s="132"/>
      <c r="I51" s="134"/>
      <c r="J51" s="134"/>
      <c r="K51" s="132"/>
      <c r="M51" s="134"/>
      <c r="N51" s="134"/>
      <c r="O51" s="132"/>
      <c r="Q51" s="134"/>
      <c r="R51" s="134"/>
      <c r="S51" s="132"/>
      <c r="U51" s="134"/>
      <c r="V51" s="134"/>
      <c r="W51" s="132"/>
    </row>
    <row r="52" ht="27.0" customHeight="1">
      <c r="A52" s="135">
        <v>2.0</v>
      </c>
      <c r="B52" s="136" t="s">
        <v>37</v>
      </c>
      <c r="C52" s="137"/>
      <c r="D52" s="138"/>
      <c r="E52" s="135">
        <v>2.0</v>
      </c>
      <c r="F52" s="136" t="s">
        <v>37</v>
      </c>
      <c r="G52" s="137"/>
      <c r="H52" s="138"/>
      <c r="I52" s="135">
        <v>2.0</v>
      </c>
      <c r="J52" s="136" t="s">
        <v>37</v>
      </c>
      <c r="K52" s="137"/>
      <c r="L52" s="138"/>
      <c r="M52" s="135">
        <v>2.0</v>
      </c>
      <c r="N52" s="136" t="s">
        <v>37</v>
      </c>
      <c r="O52" s="137"/>
      <c r="P52" s="138"/>
      <c r="Q52" s="135">
        <v>2.0</v>
      </c>
      <c r="R52" s="136" t="s">
        <v>37</v>
      </c>
      <c r="S52" s="137"/>
      <c r="T52" s="138"/>
      <c r="U52" s="135">
        <v>2.0</v>
      </c>
      <c r="V52" s="136" t="s">
        <v>37</v>
      </c>
      <c r="W52" s="137"/>
    </row>
    <row r="53" ht="27.0" customHeight="1">
      <c r="A53" s="139">
        <v>2.0</v>
      </c>
      <c r="B53" s="140" t="s">
        <v>62</v>
      </c>
      <c r="C53" s="141"/>
      <c r="D53" s="138"/>
      <c r="E53" s="139">
        <v>2.0</v>
      </c>
      <c r="F53" s="140" t="s">
        <v>62</v>
      </c>
      <c r="G53" s="141"/>
      <c r="H53" s="138"/>
      <c r="I53" s="139">
        <v>2.0</v>
      </c>
      <c r="J53" s="140" t="s">
        <v>62</v>
      </c>
      <c r="K53" s="141"/>
      <c r="L53" s="138"/>
      <c r="M53" s="139">
        <v>2.0</v>
      </c>
      <c r="N53" s="140" t="s">
        <v>62</v>
      </c>
      <c r="O53" s="141"/>
      <c r="P53" s="138"/>
      <c r="Q53" s="139">
        <v>2.0</v>
      </c>
      <c r="R53" s="140" t="s">
        <v>62</v>
      </c>
      <c r="S53" s="141"/>
      <c r="T53" s="138"/>
      <c r="U53" s="139">
        <v>2.0</v>
      </c>
      <c r="V53" s="140" t="s">
        <v>62</v>
      </c>
      <c r="W53" s="141"/>
    </row>
    <row r="54" ht="27.0" customHeight="1">
      <c r="A54" s="139">
        <v>2.0</v>
      </c>
      <c r="B54" s="136" t="s">
        <v>25</v>
      </c>
      <c r="C54" s="137"/>
      <c r="D54" s="138"/>
      <c r="E54" s="139">
        <v>2.0</v>
      </c>
      <c r="F54" s="136" t="s">
        <v>25</v>
      </c>
      <c r="G54" s="137"/>
      <c r="H54" s="138"/>
      <c r="I54" s="139">
        <v>2.0</v>
      </c>
      <c r="J54" s="136" t="s">
        <v>25</v>
      </c>
      <c r="K54" s="137"/>
      <c r="L54" s="138"/>
      <c r="M54" s="139">
        <v>2.0</v>
      </c>
      <c r="N54" s="136" t="s">
        <v>25</v>
      </c>
      <c r="O54" s="137"/>
      <c r="P54" s="138"/>
      <c r="Q54" s="139">
        <v>2.0</v>
      </c>
      <c r="R54" s="136" t="s">
        <v>25</v>
      </c>
      <c r="S54" s="137"/>
      <c r="T54" s="138"/>
      <c r="U54" s="139">
        <v>2.0</v>
      </c>
      <c r="V54" s="136" t="s">
        <v>25</v>
      </c>
      <c r="W54" s="137"/>
    </row>
    <row r="55" ht="27.0" customHeight="1">
      <c r="A55" s="139">
        <v>2.0</v>
      </c>
      <c r="B55" s="140" t="s">
        <v>26</v>
      </c>
      <c r="C55" s="141"/>
      <c r="D55" s="138"/>
      <c r="E55" s="139">
        <v>2.0</v>
      </c>
      <c r="F55" s="140" t="s">
        <v>26</v>
      </c>
      <c r="G55" s="141"/>
      <c r="H55" s="138"/>
      <c r="I55" s="139">
        <v>2.0</v>
      </c>
      <c r="J55" s="140" t="s">
        <v>26</v>
      </c>
      <c r="K55" s="141"/>
      <c r="L55" s="138"/>
      <c r="M55" s="139">
        <v>2.0</v>
      </c>
      <c r="N55" s="140" t="s">
        <v>26</v>
      </c>
      <c r="O55" s="141"/>
      <c r="P55" s="138"/>
      <c r="Q55" s="139">
        <v>2.0</v>
      </c>
      <c r="R55" s="140" t="s">
        <v>26</v>
      </c>
      <c r="S55" s="141"/>
      <c r="T55" s="138"/>
      <c r="U55" s="139">
        <v>2.0</v>
      </c>
      <c r="V55" s="140" t="s">
        <v>26</v>
      </c>
      <c r="W55" s="141"/>
    </row>
    <row r="56" ht="27.0" customHeight="1">
      <c r="A56" s="139">
        <v>2.0</v>
      </c>
      <c r="B56" s="136" t="s">
        <v>63</v>
      </c>
      <c r="C56" s="137"/>
      <c r="D56" s="138"/>
      <c r="E56" s="139">
        <v>2.0</v>
      </c>
      <c r="F56" s="136" t="s">
        <v>63</v>
      </c>
      <c r="G56" s="137"/>
      <c r="H56" s="138"/>
      <c r="I56" s="139">
        <v>2.0</v>
      </c>
      <c r="J56" s="136" t="s">
        <v>63</v>
      </c>
      <c r="K56" s="137"/>
      <c r="L56" s="138"/>
      <c r="M56" s="139">
        <v>2.0</v>
      </c>
      <c r="N56" s="136" t="s">
        <v>63</v>
      </c>
      <c r="O56" s="137"/>
      <c r="P56" s="138"/>
      <c r="Q56" s="139">
        <v>2.0</v>
      </c>
      <c r="R56" s="136" t="s">
        <v>63</v>
      </c>
      <c r="S56" s="137"/>
      <c r="T56" s="138"/>
      <c r="U56" s="139">
        <v>2.0</v>
      </c>
      <c r="V56" s="136" t="s">
        <v>63</v>
      </c>
      <c r="W56" s="137"/>
    </row>
    <row r="57" ht="27.0" customHeight="1">
      <c r="A57" s="139">
        <v>2.0</v>
      </c>
      <c r="B57" s="140" t="s">
        <v>27</v>
      </c>
      <c r="C57" s="141"/>
      <c r="D57" s="138"/>
      <c r="E57" s="139">
        <v>2.0</v>
      </c>
      <c r="F57" s="140" t="s">
        <v>27</v>
      </c>
      <c r="G57" s="141"/>
      <c r="H57" s="138"/>
      <c r="I57" s="139">
        <v>2.0</v>
      </c>
      <c r="J57" s="140" t="s">
        <v>27</v>
      </c>
      <c r="K57" s="141"/>
      <c r="L57" s="138"/>
      <c r="M57" s="139">
        <v>2.0</v>
      </c>
      <c r="N57" s="140" t="s">
        <v>27</v>
      </c>
      <c r="O57" s="141"/>
      <c r="P57" s="138"/>
      <c r="Q57" s="139">
        <v>2.0</v>
      </c>
      <c r="R57" s="140" t="s">
        <v>27</v>
      </c>
      <c r="S57" s="141"/>
      <c r="T57" s="138"/>
      <c r="U57" s="139">
        <v>2.0</v>
      </c>
      <c r="V57" s="140" t="s">
        <v>27</v>
      </c>
      <c r="W57" s="141"/>
    </row>
    <row r="58" ht="27.0" customHeight="1">
      <c r="A58" s="139">
        <v>2.0</v>
      </c>
      <c r="B58" s="136" t="s">
        <v>64</v>
      </c>
      <c r="C58" s="137"/>
      <c r="D58" s="138"/>
      <c r="E58" s="139">
        <v>2.0</v>
      </c>
      <c r="F58" s="136" t="s">
        <v>64</v>
      </c>
      <c r="G58" s="137"/>
      <c r="H58" s="138"/>
      <c r="I58" s="139">
        <v>2.0</v>
      </c>
      <c r="J58" s="136" t="s">
        <v>64</v>
      </c>
      <c r="K58" s="137"/>
      <c r="L58" s="138"/>
      <c r="M58" s="139">
        <v>2.0</v>
      </c>
      <c r="N58" s="136" t="s">
        <v>64</v>
      </c>
      <c r="O58" s="137"/>
      <c r="P58" s="138"/>
      <c r="Q58" s="139">
        <v>2.0</v>
      </c>
      <c r="R58" s="136" t="s">
        <v>64</v>
      </c>
      <c r="S58" s="137"/>
      <c r="T58" s="138"/>
      <c r="U58" s="139">
        <v>2.0</v>
      </c>
      <c r="V58" s="136" t="s">
        <v>64</v>
      </c>
      <c r="W58" s="137"/>
    </row>
    <row r="59" ht="27.0" customHeight="1">
      <c r="A59" s="139">
        <v>2.0</v>
      </c>
      <c r="B59" s="140" t="s">
        <v>65</v>
      </c>
      <c r="C59" s="141"/>
      <c r="D59" s="138"/>
      <c r="E59" s="139">
        <v>2.0</v>
      </c>
      <c r="F59" s="140" t="s">
        <v>65</v>
      </c>
      <c r="G59" s="141"/>
      <c r="H59" s="138"/>
      <c r="I59" s="139">
        <v>2.0</v>
      </c>
      <c r="J59" s="140" t="s">
        <v>65</v>
      </c>
      <c r="K59" s="141"/>
      <c r="L59" s="138"/>
      <c r="M59" s="139">
        <v>2.0</v>
      </c>
      <c r="N59" s="140" t="s">
        <v>65</v>
      </c>
      <c r="O59" s="141"/>
      <c r="P59" s="138"/>
      <c r="Q59" s="139">
        <v>2.0</v>
      </c>
      <c r="R59" s="140" t="s">
        <v>65</v>
      </c>
      <c r="S59" s="141"/>
      <c r="T59" s="138"/>
      <c r="U59" s="139">
        <v>2.0</v>
      </c>
      <c r="V59" s="140" t="s">
        <v>65</v>
      </c>
      <c r="W59" s="141"/>
    </row>
    <row r="60" ht="27.0" customHeight="1">
      <c r="A60" s="139">
        <v>2.0</v>
      </c>
      <c r="B60" s="136" t="s">
        <v>66</v>
      </c>
      <c r="C60" s="137"/>
      <c r="D60" s="138"/>
      <c r="E60" s="139">
        <v>2.0</v>
      </c>
      <c r="F60" s="136" t="s">
        <v>66</v>
      </c>
      <c r="G60" s="137"/>
      <c r="H60" s="138"/>
      <c r="I60" s="139">
        <v>2.0</v>
      </c>
      <c r="J60" s="136" t="s">
        <v>66</v>
      </c>
      <c r="K60" s="137"/>
      <c r="L60" s="138"/>
      <c r="M60" s="139">
        <v>2.0</v>
      </c>
      <c r="N60" s="136" t="s">
        <v>66</v>
      </c>
      <c r="O60" s="137"/>
      <c r="P60" s="138"/>
      <c r="Q60" s="139">
        <v>2.0</v>
      </c>
      <c r="R60" s="136" t="s">
        <v>66</v>
      </c>
      <c r="S60" s="137"/>
      <c r="T60" s="138"/>
      <c r="U60" s="139">
        <v>2.0</v>
      </c>
      <c r="V60" s="136" t="s">
        <v>66</v>
      </c>
      <c r="W60" s="137"/>
    </row>
    <row r="61" ht="27.0" customHeight="1">
      <c r="A61" s="139">
        <v>2.0</v>
      </c>
      <c r="B61" s="140" t="s">
        <v>28</v>
      </c>
      <c r="C61" s="141"/>
      <c r="D61" s="138"/>
      <c r="E61" s="139">
        <v>2.0</v>
      </c>
      <c r="F61" s="140" t="s">
        <v>28</v>
      </c>
      <c r="G61" s="141"/>
      <c r="H61" s="138"/>
      <c r="I61" s="139">
        <v>2.0</v>
      </c>
      <c r="J61" s="140" t="s">
        <v>28</v>
      </c>
      <c r="K61" s="141"/>
      <c r="L61" s="138"/>
      <c r="M61" s="139">
        <v>2.0</v>
      </c>
      <c r="N61" s="140" t="s">
        <v>28</v>
      </c>
      <c r="O61" s="141"/>
      <c r="P61" s="138"/>
      <c r="Q61" s="139">
        <v>2.0</v>
      </c>
      <c r="R61" s="140" t="s">
        <v>28</v>
      </c>
      <c r="S61" s="141"/>
      <c r="T61" s="138"/>
      <c r="U61" s="139">
        <v>2.0</v>
      </c>
      <c r="V61" s="140" t="s">
        <v>28</v>
      </c>
      <c r="W61" s="141"/>
    </row>
    <row r="62" ht="27.0" customHeight="1">
      <c r="A62" s="139">
        <v>2.0</v>
      </c>
      <c r="B62" s="136" t="s">
        <v>67</v>
      </c>
      <c r="C62" s="137"/>
      <c r="D62" s="138"/>
      <c r="E62" s="139">
        <v>2.0</v>
      </c>
      <c r="F62" s="136" t="s">
        <v>67</v>
      </c>
      <c r="G62" s="137"/>
      <c r="H62" s="138"/>
      <c r="I62" s="139">
        <v>2.0</v>
      </c>
      <c r="J62" s="136" t="s">
        <v>67</v>
      </c>
      <c r="K62" s="137"/>
      <c r="L62" s="138"/>
      <c r="M62" s="139">
        <v>2.0</v>
      </c>
      <c r="N62" s="136" t="s">
        <v>67</v>
      </c>
      <c r="O62" s="137"/>
      <c r="P62" s="138"/>
      <c r="Q62" s="139">
        <v>2.0</v>
      </c>
      <c r="R62" s="136" t="s">
        <v>67</v>
      </c>
      <c r="S62" s="137"/>
      <c r="T62" s="138"/>
      <c r="U62" s="139">
        <v>2.0</v>
      </c>
      <c r="V62" s="136" t="s">
        <v>67</v>
      </c>
      <c r="W62" s="137"/>
    </row>
    <row r="63" ht="27.0" customHeight="1">
      <c r="A63" s="139">
        <v>2.0</v>
      </c>
      <c r="B63" s="140" t="s">
        <v>29</v>
      </c>
      <c r="C63" s="141"/>
      <c r="D63" s="138"/>
      <c r="E63" s="139">
        <v>2.0</v>
      </c>
      <c r="F63" s="140" t="s">
        <v>29</v>
      </c>
      <c r="G63" s="141"/>
      <c r="H63" s="138"/>
      <c r="I63" s="139">
        <v>2.0</v>
      </c>
      <c r="J63" s="140" t="s">
        <v>29</v>
      </c>
      <c r="K63" s="141"/>
      <c r="L63" s="138"/>
      <c r="M63" s="139">
        <v>2.0</v>
      </c>
      <c r="N63" s="140" t="s">
        <v>29</v>
      </c>
      <c r="O63" s="141"/>
      <c r="P63" s="138"/>
      <c r="Q63" s="139">
        <v>2.0</v>
      </c>
      <c r="R63" s="140" t="s">
        <v>29</v>
      </c>
      <c r="S63" s="141"/>
      <c r="T63" s="138"/>
      <c r="U63" s="139">
        <v>2.0</v>
      </c>
      <c r="V63" s="140" t="s">
        <v>29</v>
      </c>
      <c r="W63" s="141"/>
    </row>
    <row r="64" ht="27.0" customHeight="1">
      <c r="A64" s="142"/>
      <c r="B64" s="143" t="s">
        <v>81</v>
      </c>
      <c r="C64" s="144"/>
      <c r="E64" s="142"/>
      <c r="F64" s="143" t="s">
        <v>81</v>
      </c>
      <c r="G64" s="144"/>
      <c r="I64" s="142"/>
      <c r="J64" s="143" t="s">
        <v>81</v>
      </c>
      <c r="K64" s="144"/>
      <c r="M64" s="142"/>
      <c r="N64" s="143" t="s">
        <v>81</v>
      </c>
      <c r="O64" s="144"/>
      <c r="Q64" s="142"/>
      <c r="R64" s="143" t="s">
        <v>81</v>
      </c>
      <c r="S64" s="144"/>
      <c r="U64" s="142"/>
      <c r="V64" s="143" t="s">
        <v>81</v>
      </c>
      <c r="W64" s="144"/>
    </row>
  </sheetData>
  <printOptions horizontalCentered="1"/>
  <pageMargins bottom="0.15" footer="0.0" header="0.0" left="0.0673469387755102" right="0.0673469387755102" top="0.15"/>
  <pageSetup cellComments="atEnd" orientation="landscape" pageOrder="overThenDown"/>
  <rowBreaks count="2" manualBreakCount="2">
    <brk man="1"/>
    <brk id="33" man="1"/>
  </rowBreaks>
  <colBreaks count="2" manualBreakCount="2">
    <brk man="1"/>
    <brk id="23" man="1"/>
  </colBreaks>
  <drawing r:id="rId1"/>
</worksheet>
</file>